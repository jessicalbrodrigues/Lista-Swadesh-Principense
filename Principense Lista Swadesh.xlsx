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adesh_Principense" sheetId="1" r:id="rId4"/>
    <sheet state="visible" name="Swadesh_Principense_FonologiaI" sheetId="2" r:id="rId5"/>
    <sheet state="visible" name="Principense_Syllables" sheetId="3" r:id="rId6"/>
    <sheet state="visible" name="Principense_Words" sheetId="4" r:id="rId7"/>
    <sheet state="visible" name="Metadata_Principense" sheetId="5" r:id="rId8"/>
  </sheets>
  <definedNames/>
  <calcPr/>
</workbook>
</file>

<file path=xl/sharedStrings.xml><?xml version="1.0" encoding="utf-8"?>
<sst xmlns="http://schemas.openxmlformats.org/spreadsheetml/2006/main" count="44219" uniqueCount="3729">
  <si>
    <t>Language</t>
  </si>
  <si>
    <t>SourceWord</t>
  </si>
  <si>
    <t>TargetWord</t>
  </si>
  <si>
    <t>SourceWordSyl</t>
  </si>
  <si>
    <t>TargetWordSyl</t>
  </si>
  <si>
    <t>SourceWordSyllabe</t>
  </si>
  <si>
    <t>TargetWordSyllabe</t>
  </si>
  <si>
    <t>PositionSource</t>
  </si>
  <si>
    <t>PositionTarget</t>
  </si>
  <si>
    <t>Process</t>
  </si>
  <si>
    <t>TargetOrthography</t>
  </si>
  <si>
    <t>Translation</t>
  </si>
  <si>
    <t>References</t>
  </si>
  <si>
    <t>Notes</t>
  </si>
  <si>
    <t>Principense</t>
  </si>
  <si>
    <t>ˈaju</t>
  </si>
  <si>
    <t>ˈaʎu</t>
  </si>
  <si>
    <t>ˈa.ju</t>
  </si>
  <si>
    <t>ˈa.ʎu</t>
  </si>
  <si>
    <t>ˈa</t>
  </si>
  <si>
    <t>alho</t>
  </si>
  <si>
    <t>garlic</t>
  </si>
  <si>
    <t>Bandeira2017[366-412]</t>
  </si>
  <si>
    <t>ju</t>
  </si>
  <si>
    <t>ʎu</t>
  </si>
  <si>
    <t>oˈroso</t>
  </si>
  <si>
    <t>aˈʀoʃ</t>
  </si>
  <si>
    <t>o.’ro.so</t>
  </si>
  <si>
    <t>a.ˈʀoʃ</t>
  </si>
  <si>
    <t>o</t>
  </si>
  <si>
    <t>a</t>
  </si>
  <si>
    <t>arroz</t>
  </si>
  <si>
    <t>rice</t>
  </si>
  <si>
    <t>ˈro</t>
  </si>
  <si>
    <t>ˈʀoʃ</t>
  </si>
  <si>
    <t>so</t>
  </si>
  <si>
    <t>-</t>
  </si>
  <si>
    <t>ˈawɐ</t>
  </si>
  <si>
    <t>ˈaguɐ</t>
  </si>
  <si>
    <t>ˈa.wɐ</t>
  </si>
  <si>
    <t>ˈa.guɐ</t>
  </si>
  <si>
    <t>água</t>
  </si>
  <si>
    <t>Water</t>
  </si>
  <si>
    <t>wɐ</t>
  </si>
  <si>
    <t>guɐ</t>
  </si>
  <si>
    <t>ˈawɐˈdẽt̠ʃi</t>
  </si>
  <si>
    <t>ɐguaɾˈdẽtɨ</t>
  </si>
  <si>
    <t>ˈa.wɐ.dẽ.t̠ʃi</t>
  </si>
  <si>
    <t>ɐ.guaɾ.ˈdẽ.tɨ</t>
  </si>
  <si>
    <t>ɐ</t>
  </si>
  <si>
    <t>aguardente</t>
  </si>
  <si>
    <t>brandy</t>
  </si>
  <si>
    <t>guaɾ</t>
  </si>
  <si>
    <t>dẽ</t>
  </si>
  <si>
    <t>ˈdẽ</t>
  </si>
  <si>
    <t>t̠ʃi</t>
  </si>
  <si>
    <t>tɨ</t>
  </si>
  <si>
    <t>baˈnɐ</t>
  </si>
  <si>
    <t>bɐˈnɐnɐ</t>
  </si>
  <si>
    <t>baˈ.nɐ</t>
  </si>
  <si>
    <t>bɐ.ˈnɐ.nɐ</t>
  </si>
  <si>
    <t>ba</t>
  </si>
  <si>
    <t>bɐ</t>
  </si>
  <si>
    <t>banana</t>
  </si>
  <si>
    <t>ˈnɐ</t>
  </si>
  <si>
    <t>nɐ</t>
  </si>
  <si>
    <t>ˈbɐ̃ɲɐ</t>
  </si>
  <si>
    <t>ˈbɐɲɐ</t>
  </si>
  <si>
    <t>ˈbɐ̃.ɲɐ</t>
  </si>
  <si>
    <t>ˈbɐ.ɲɐ</t>
  </si>
  <si>
    <t>ˈbɐ̃</t>
  </si>
  <si>
    <t>ˈbɐ</t>
  </si>
  <si>
    <t>assimilation</t>
  </si>
  <si>
    <t>banha</t>
  </si>
  <si>
    <t>fat</t>
  </si>
  <si>
    <t>ɲɐ</t>
  </si>
  <si>
    <t>ˈfjɐ̃</t>
  </si>
  <si>
    <t>fɐˈɾiɲɐ</t>
  </si>
  <si>
    <t>fɐ.ˈɾi.ɲɐ</t>
  </si>
  <si>
    <t>fɐ</t>
  </si>
  <si>
    <t>metathesis</t>
  </si>
  <si>
    <t>farinha</t>
  </si>
  <si>
    <t>flour</t>
  </si>
  <si>
    <t>ˈɾi</t>
  </si>
  <si>
    <t>fɛˈzɐ̃</t>
  </si>
  <si>
    <t>fejˈʒɐ̃w̃</t>
  </si>
  <si>
    <t>fɛ.ˈzɐ̃</t>
  </si>
  <si>
    <t>fɐj.ˈʒɐ̃w̃</t>
  </si>
  <si>
    <t>fɛ</t>
  </si>
  <si>
    <t>fɐj</t>
  </si>
  <si>
    <t>feijão</t>
  </si>
  <si>
    <t>bean</t>
  </si>
  <si>
    <t>ˈzɐ̃</t>
  </si>
  <si>
    <t>ˈʒɐ̃w̃</t>
  </si>
  <si>
    <t>guˈdurɐ</t>
  </si>
  <si>
    <t>ɡuɾˈduɾɐ</t>
  </si>
  <si>
    <t>gu.ˈdu.rɐ</t>
  </si>
  <si>
    <t>guɾ.ˈdu.ɾɐ</t>
  </si>
  <si>
    <t>gu</t>
  </si>
  <si>
    <t>guɾ</t>
  </si>
  <si>
    <t>gordura</t>
  </si>
  <si>
    <t>ˈdu</t>
  </si>
  <si>
    <t>rɐ</t>
  </si>
  <si>
    <t>ɾɐ</t>
  </si>
  <si>
    <t>kadɛˈradɐ</t>
  </si>
  <si>
    <t>kaldejˈɾadɐ</t>
  </si>
  <si>
    <t>ka.dɛ.'ra.dɐ</t>
  </si>
  <si>
    <t>kal.dɐj.ˈɾa.dɐ</t>
  </si>
  <si>
    <t>ka</t>
  </si>
  <si>
    <t>kal</t>
  </si>
  <si>
    <t>caldeirada</t>
  </si>
  <si>
    <t>fish stew</t>
  </si>
  <si>
    <t>dɛ</t>
  </si>
  <si>
    <t>dɐj</t>
  </si>
  <si>
    <t>ra</t>
  </si>
  <si>
    <t>ˈɾa</t>
  </si>
  <si>
    <t>dɐ</t>
  </si>
  <si>
    <t>kaˈnɐ</t>
  </si>
  <si>
    <t>ˈkɐnɐ</t>
  </si>
  <si>
    <t>ka.'nɐ</t>
  </si>
  <si>
    <t>ˈkɐ.nɐ</t>
  </si>
  <si>
    <t>ˈkɐ</t>
  </si>
  <si>
    <t>cana</t>
  </si>
  <si>
    <t>sugarcane</t>
  </si>
  <si>
    <t>uˈkani</t>
  </si>
  <si>
    <t>ˈkaɾnɨ</t>
  </si>
  <si>
    <t>u.'ka.ni</t>
  </si>
  <si>
    <t>ˈkaɾ.nɨ</t>
  </si>
  <si>
    <t>u</t>
  </si>
  <si>
    <t>carne</t>
  </si>
  <si>
    <t>meat</t>
  </si>
  <si>
    <t>ˈka</t>
  </si>
  <si>
    <t>ˈkaɾ</t>
  </si>
  <si>
    <t>ni</t>
  </si>
  <si>
    <t>nɨ</t>
  </si>
  <si>
    <t>uˈkjabu</t>
  </si>
  <si>
    <t>kiˈabu</t>
  </si>
  <si>
    <t>u.'kja.bu</t>
  </si>
  <si>
    <t>ki.ˈa.bu</t>
  </si>
  <si>
    <t>quiabo</t>
  </si>
  <si>
    <t>okra</t>
  </si>
  <si>
    <t>ˈkja</t>
  </si>
  <si>
    <t>ki</t>
  </si>
  <si>
    <t>bu</t>
  </si>
  <si>
    <t>ˈlete</t>
  </si>
  <si>
    <t>ˈlɐjtɨ</t>
  </si>
  <si>
    <t>ˈle.te</t>
  </si>
  <si>
    <t>ˈlɐj.tɨ</t>
  </si>
  <si>
    <t>ˈle</t>
  </si>
  <si>
    <t>ˈlɐj</t>
  </si>
  <si>
    <t>leite</t>
  </si>
  <si>
    <t>milk</t>
  </si>
  <si>
    <t>te</t>
  </si>
  <si>
    <t>ma'mɐ̃</t>
  </si>
  <si>
    <t>mɐˈmɐ̃w̃</t>
  </si>
  <si>
    <t>mɐ.ˈmɐ̃</t>
  </si>
  <si>
    <t>mɐ.ˈmɐ̃w̃</t>
  </si>
  <si>
    <t>ma</t>
  </si>
  <si>
    <t>mɐ</t>
  </si>
  <si>
    <t>mamão</t>
  </si>
  <si>
    <t>papaya</t>
  </si>
  <si>
    <t>mɐˈmɐ̃</t>
  </si>
  <si>
    <t>ˈmɐ̃</t>
  </si>
  <si>
    <t>ˈmɐ̃w̃</t>
  </si>
  <si>
    <t>mɐ̃ˈdjɔkɔ</t>
  </si>
  <si>
    <t>mɐdiˈɔkɐ</t>
  </si>
  <si>
    <t>mɐ̃.'djɔ.kɔ</t>
  </si>
  <si>
    <t>mɐ.di.ˈɔ.kɐ</t>
  </si>
  <si>
    <t>mɐ̃</t>
  </si>
  <si>
    <t>mandioca</t>
  </si>
  <si>
    <t>manjoka</t>
  </si>
  <si>
    <t>ˈdjɔ</t>
  </si>
  <si>
    <t>di</t>
  </si>
  <si>
    <t>ˈɔ</t>
  </si>
  <si>
    <t>kɔ</t>
  </si>
  <si>
    <t>kɐ</t>
  </si>
  <si>
    <t>mɐ̃ˈsɐ̃</t>
  </si>
  <si>
    <t>mɐˈsɐ̃</t>
  </si>
  <si>
    <t>mɐ̃.'sɐ̃</t>
  </si>
  <si>
    <t>maçã</t>
  </si>
  <si>
    <t>apple</t>
  </si>
  <si>
    <t>ˈsɐ̃</t>
  </si>
  <si>
    <t>mɐ̃ˈtɛgɐ</t>
  </si>
  <si>
    <t>ˈmɐ̃tɐjgɐ</t>
  </si>
  <si>
    <t>mɐ̃.'tɛ.gɐ</t>
  </si>
  <si>
    <t>mɐ̃.tɐj.gɐ</t>
  </si>
  <si>
    <t>manteiga</t>
  </si>
  <si>
    <t>butter</t>
  </si>
  <si>
    <t>tɛ</t>
  </si>
  <si>
    <t>tɐj</t>
  </si>
  <si>
    <t>gɐ</t>
  </si>
  <si>
    <t>ˈmɛli</t>
  </si>
  <si>
    <t>ˈmɛɫ</t>
  </si>
  <si>
    <t>ˈmɛ.li</t>
  </si>
  <si>
    <t>ˈmɛ</t>
  </si>
  <si>
    <t>mel</t>
  </si>
  <si>
    <t>honey</t>
  </si>
  <si>
    <t>li</t>
  </si>
  <si>
    <t>ˈmojo</t>
  </si>
  <si>
    <t>ˈmoʎu</t>
  </si>
  <si>
    <t>ˈmo.jo</t>
  </si>
  <si>
    <t>ˈmo.ʎu</t>
  </si>
  <si>
    <t>ˈmo</t>
  </si>
  <si>
    <t>molho</t>
  </si>
  <si>
    <t>bunch</t>
  </si>
  <si>
    <t>jo</t>
  </si>
  <si>
    <t>naˈnaʒi</t>
  </si>
  <si>
    <t>ɐbɐkɐˈʃi</t>
  </si>
  <si>
    <t>na.ˈna.ʒi</t>
  </si>
  <si>
    <t>ɐ.bɐ.kɐ.ˈʃi</t>
  </si>
  <si>
    <t>na</t>
  </si>
  <si>
    <t>abacaxi</t>
  </si>
  <si>
    <t>pineapple</t>
  </si>
  <si>
    <t>ʒi</t>
  </si>
  <si>
    <t>ˈʃi</t>
  </si>
  <si>
    <t>ˈɔvu</t>
  </si>
  <si>
    <t>ˈovu</t>
  </si>
  <si>
    <t>ˈɔ.vu</t>
  </si>
  <si>
    <t>ˈo.vu</t>
  </si>
  <si>
    <t>ˈo</t>
  </si>
  <si>
    <t>ovo</t>
  </si>
  <si>
    <t>egg</t>
  </si>
  <si>
    <t>vu</t>
  </si>
  <si>
    <t>oˈpɐ̃</t>
  </si>
  <si>
    <t>ˈpɐ̃w̃</t>
  </si>
  <si>
    <t>o.ˈpɐ̃</t>
  </si>
  <si>
    <t>pão</t>
  </si>
  <si>
    <t>bread</t>
  </si>
  <si>
    <t>ˈpɐ̃</t>
  </si>
  <si>
    <t>piˈmɛ̃tɐ</t>
  </si>
  <si>
    <t>piˈmẽtɐ</t>
  </si>
  <si>
    <t>pi.ˈmɛ̃.tɐ</t>
  </si>
  <si>
    <t>pi.ˈmẽ.tɐ</t>
  </si>
  <si>
    <t>pi</t>
  </si>
  <si>
    <t>pimenta</t>
  </si>
  <si>
    <t>pepper</t>
  </si>
  <si>
    <t>ˈmɛ̃</t>
  </si>
  <si>
    <t>mẽ</t>
  </si>
  <si>
    <t>tɐ</t>
  </si>
  <si>
    <t>uˈsalu</t>
  </si>
  <si>
    <t>ˈsal</t>
  </si>
  <si>
    <t>u.ˈsa.lu</t>
  </si>
  <si>
    <t>sal</t>
  </si>
  <si>
    <t>salt</t>
  </si>
  <si>
    <t>sa</t>
  </si>
  <si>
    <t>lu</t>
  </si>
  <si>
    <t>ˈsɔpɐ</t>
  </si>
  <si>
    <t>ˈsopɐ</t>
  </si>
  <si>
    <t>ˈsɔ.pɐ</t>
  </si>
  <si>
    <t>ˈso.pɐ</t>
  </si>
  <si>
    <t>ˈsɔ</t>
  </si>
  <si>
    <t>ˈso</t>
  </si>
  <si>
    <t>sopa</t>
  </si>
  <si>
    <t>soup</t>
  </si>
  <si>
    <t>pɐ</t>
  </si>
  <si>
    <t>ˈsuke</t>
  </si>
  <si>
    <t>ɐˈsukaɾ</t>
  </si>
  <si>
    <t>ˈsu.ke</t>
  </si>
  <si>
    <t>ɐ.ˈsu.kaɾ</t>
  </si>
  <si>
    <t>açúcar</t>
  </si>
  <si>
    <t>sugar</t>
  </si>
  <si>
    <t>ˈsu</t>
  </si>
  <si>
    <t>ke</t>
  </si>
  <si>
    <t>kaɾ</t>
  </si>
  <si>
    <t>ˈt̠ʃigu</t>
  </si>
  <si>
    <t>ˈtɾigu</t>
  </si>
  <si>
    <t>ˈt̠ʃi.gu</t>
  </si>
  <si>
    <t>ˈtɾi.gu</t>
  </si>
  <si>
    <t>ˈt̠ʃi</t>
  </si>
  <si>
    <t>ˈtɾi</t>
  </si>
  <si>
    <t>trigo</t>
  </si>
  <si>
    <t>wheat</t>
  </si>
  <si>
    <t>viˈnãge</t>
  </si>
  <si>
    <t>viˈnagɾɨ</t>
  </si>
  <si>
    <t>vi.ˈnã.ge</t>
  </si>
  <si>
    <t>vi.ˈna.gɾɨ</t>
  </si>
  <si>
    <t>vi</t>
  </si>
  <si>
    <t>vinagre</t>
  </si>
  <si>
    <t>vinegar</t>
  </si>
  <si>
    <t>ˈnã</t>
  </si>
  <si>
    <t>ˈna</t>
  </si>
  <si>
    <t>ge</t>
  </si>
  <si>
    <t>gɾɨ</t>
  </si>
  <si>
    <t>iˈzet̠ʃi</t>
  </si>
  <si>
    <t>ɐˈzɐjtɨ</t>
  </si>
  <si>
    <t>i.ˈze.t̠ʃi</t>
  </si>
  <si>
    <t>ɐ.ˈzɐj.tɨ</t>
  </si>
  <si>
    <t>i</t>
  </si>
  <si>
    <t>azeite</t>
  </si>
  <si>
    <t>olive oil</t>
  </si>
  <si>
    <t>ˈze</t>
  </si>
  <si>
    <t>ˈzɐj</t>
  </si>
  <si>
    <t>ˈazɐ</t>
  </si>
  <si>
    <t>ˈa.zɐ</t>
  </si>
  <si>
    <t>asa</t>
  </si>
  <si>
    <t>wing</t>
  </si>
  <si>
    <t>zɐ</t>
  </si>
  <si>
    <t>ˈkamɐ</t>
  </si>
  <si>
    <t>ʃˈkɐmɐ</t>
  </si>
  <si>
    <t>ˈka.mɐ</t>
  </si>
  <si>
    <t>ʃ.ˈkɐ.mɐ</t>
  </si>
  <si>
    <t>ʃ</t>
  </si>
  <si>
    <t>escama de peixe</t>
  </si>
  <si>
    <t>fish scale</t>
  </si>
  <si>
    <t>ˈkõni</t>
  </si>
  <si>
    <t>ˈkoɾnu</t>
  </si>
  <si>
    <t>ˈkõ.ni</t>
  </si>
  <si>
    <t>ˈkoɾ.nu</t>
  </si>
  <si>
    <t>ˈkõ</t>
  </si>
  <si>
    <t>ˈkoɾ</t>
  </si>
  <si>
    <t>corno</t>
  </si>
  <si>
    <t>horn</t>
  </si>
  <si>
    <t>nu</t>
  </si>
  <si>
    <t>ˈpenɐ</t>
  </si>
  <si>
    <t>ˈpelu</t>
  </si>
  <si>
    <t>ˈpe.nɐ</t>
  </si>
  <si>
    <t>ˈpe.lu</t>
  </si>
  <si>
    <t>ˈpe</t>
  </si>
  <si>
    <t>pêlo</t>
  </si>
  <si>
    <t>hair</t>
  </si>
  <si>
    <t>uˈrabu</t>
  </si>
  <si>
    <t>ˈʀabu</t>
  </si>
  <si>
    <t>u.ˈra.bu</t>
  </si>
  <si>
    <t>ˈʀa.bu</t>
  </si>
  <si>
    <t>rabo</t>
  </si>
  <si>
    <t>tail</t>
  </si>
  <si>
    <t>ˈra</t>
  </si>
  <si>
    <t>ˈʀa</t>
  </si>
  <si>
    <t>ˈawɐuˈwe</t>
  </si>
  <si>
    <t>ˈaguɐ dɨ ˈoʎu</t>
  </si>
  <si>
    <t>ˈa.wɐ u.ˈwe</t>
  </si>
  <si>
    <t>ˈa.guɐ dɨ ˈo.ʎu</t>
  </si>
  <si>
    <t>água de olho</t>
  </si>
  <si>
    <t>tear</t>
  </si>
  <si>
    <t>dɨ</t>
  </si>
  <si>
    <t>ˈwe</t>
  </si>
  <si>
    <t>ˈbwɛgɐ</t>
  </si>
  <si>
    <t>bɐˈʀigɐ</t>
  </si>
  <si>
    <t>ˈbwɛ.gɐ</t>
  </si>
  <si>
    <t>bɐ.ˈʀi.gɐ</t>
  </si>
  <si>
    <t>bwɛ</t>
  </si>
  <si>
    <t>barriga</t>
  </si>
  <si>
    <t>belly</t>
  </si>
  <si>
    <t>ˈb.wɛ.gɐ</t>
  </si>
  <si>
    <t>ˈʀi</t>
  </si>
  <si>
    <t>biˈgɔdi</t>
  </si>
  <si>
    <t>biˈgodɨ</t>
  </si>
  <si>
    <t>biˈgɔ.di</t>
  </si>
  <si>
    <t>bi.ˈgo.dɨ</t>
  </si>
  <si>
    <t>bi</t>
  </si>
  <si>
    <t>bigode</t>
  </si>
  <si>
    <t>mustache</t>
  </si>
  <si>
    <t>gɔ</t>
  </si>
  <si>
    <t>ˈgo</t>
  </si>
  <si>
    <t>uˈba:su</t>
  </si>
  <si>
    <t>ˈbɾasu</t>
  </si>
  <si>
    <t>u.ˈba:.su</t>
  </si>
  <si>
    <t>ˈbɾa.su</t>
  </si>
  <si>
    <t>ˈbɾa</t>
  </si>
  <si>
    <t>braço</t>
  </si>
  <si>
    <t>arm</t>
  </si>
  <si>
    <t>ˈba:</t>
  </si>
  <si>
    <t>su</t>
  </si>
  <si>
    <t>uˈbukɐ</t>
  </si>
  <si>
    <t>ˈbokɐ</t>
  </si>
  <si>
    <t>u.ˈbu.kɐ</t>
  </si>
  <si>
    <t>ˈbo.kɐ</t>
  </si>
  <si>
    <t>boca</t>
  </si>
  <si>
    <t>mouth</t>
  </si>
  <si>
    <t>ˈbu</t>
  </si>
  <si>
    <t>ˈbo</t>
  </si>
  <si>
    <t>iˈdɛ̃t̠ʃɪ</t>
  </si>
  <si>
    <t>ˈdẽtɨ</t>
  </si>
  <si>
    <t>i.ˈdɛ̃.t̠ʃɪ</t>
  </si>
  <si>
    <t>ˈdẽ.tɨ</t>
  </si>
  <si>
    <t>dente</t>
  </si>
  <si>
    <t>tooth</t>
  </si>
  <si>
    <t>ˈdɛ̃</t>
  </si>
  <si>
    <t>t̠ʃɪ</t>
  </si>
  <si>
    <t>ˈfigadu</t>
  </si>
  <si>
    <t>ˈfiɡɐdu</t>
  </si>
  <si>
    <t>ˈfi.ga.du</t>
  </si>
  <si>
    <t>ˈfi.gɐ.du</t>
  </si>
  <si>
    <t>ˈfi</t>
  </si>
  <si>
    <t>fígado</t>
  </si>
  <si>
    <t>liver</t>
  </si>
  <si>
    <t>ga</t>
  </si>
  <si>
    <t>du</t>
  </si>
  <si>
    <t>kaˈbɛlu</t>
  </si>
  <si>
    <t>kɐˈbelu</t>
  </si>
  <si>
    <t>ka.ˈbɛ.lu</t>
  </si>
  <si>
    <t>kɐ.ˈbe.lu</t>
  </si>
  <si>
    <t>cabelo</t>
  </si>
  <si>
    <t>ˈbɛ</t>
  </si>
  <si>
    <t>ˈbe</t>
  </si>
  <si>
    <t>kaˈbɛsɛ</t>
  </si>
  <si>
    <t>kɐˈbesɐ</t>
  </si>
  <si>
    <t>ka.ˈbɛ.sɛ</t>
  </si>
  <si>
    <t>kɐ.ˈbe.sɐ</t>
  </si>
  <si>
    <t>cabeça</t>
  </si>
  <si>
    <t>head</t>
  </si>
  <si>
    <t>sɛ</t>
  </si>
  <si>
    <t>sɐ</t>
  </si>
  <si>
    <t>kaˈdja</t>
  </si>
  <si>
    <t>ˈnadɨgɐʃ</t>
  </si>
  <si>
    <t>ka.ˈdja</t>
  </si>
  <si>
    <t>ˈna.dɨ.gɐʃ</t>
  </si>
  <si>
    <t>nádegas</t>
  </si>
  <si>
    <t>buttock</t>
  </si>
  <si>
    <t>ˈdja</t>
  </si>
  <si>
    <t>gɐʃ</t>
  </si>
  <si>
    <t>koˈko</t>
  </si>
  <si>
    <t>pɨʃˈkosu</t>
  </si>
  <si>
    <t>ko.ˈko</t>
  </si>
  <si>
    <t>pɨʃ.ˈko.su</t>
  </si>
  <si>
    <t>pɨʃ</t>
  </si>
  <si>
    <t>pescoço</t>
  </si>
  <si>
    <t>neck</t>
  </si>
  <si>
    <t>ideophone</t>
  </si>
  <si>
    <t>ko</t>
  </si>
  <si>
    <t>ˈko</t>
  </si>
  <si>
    <t>kɔˈsɐ̃</t>
  </si>
  <si>
    <t>kuɾɐˈsɐ̃w̃</t>
  </si>
  <si>
    <t>kɔ.ˈsɐ̃</t>
  </si>
  <si>
    <t>ku.ɾɐ.ˈsɐ̃w̃</t>
  </si>
  <si>
    <t>ku</t>
  </si>
  <si>
    <t>coração</t>
  </si>
  <si>
    <t>heart</t>
  </si>
  <si>
    <t>ˈsɐ̃w̃</t>
  </si>
  <si>
    <t>kuˈpi</t>
  </si>
  <si>
    <t>ˈkuʃpu</t>
  </si>
  <si>
    <t>ku.ˈpi</t>
  </si>
  <si>
    <t>ˈkuʃ.pu</t>
  </si>
  <si>
    <t>ˈkuʃ</t>
  </si>
  <si>
    <t>cuspo</t>
  </si>
  <si>
    <t>saliva</t>
  </si>
  <si>
    <t>ˈpi</t>
  </si>
  <si>
    <t>pu</t>
  </si>
  <si>
    <t>ˈlũŋgɛ</t>
  </si>
  <si>
    <t>ˈlĩɡuɐ</t>
  </si>
  <si>
    <t>ˈlũŋ.gɛ</t>
  </si>
  <si>
    <t>ˈlĩ.guɐ</t>
  </si>
  <si>
    <t>ˈlũŋ</t>
  </si>
  <si>
    <t>ˈlĩ</t>
  </si>
  <si>
    <t>língua</t>
  </si>
  <si>
    <t>tongue</t>
  </si>
  <si>
    <t>gɛ</t>
  </si>
  <si>
    <t>ˈmamɐ</t>
  </si>
  <si>
    <t>ˈmɐmɐ</t>
  </si>
  <si>
    <t>ˈma.mɐ</t>
  </si>
  <si>
    <t>ˈmɐ.mɐ</t>
  </si>
  <si>
    <t>ˈma</t>
  </si>
  <si>
    <t>ˈmɐ</t>
  </si>
  <si>
    <t>mama</t>
  </si>
  <si>
    <t>bosom</t>
  </si>
  <si>
    <t>uˈmɐ̃</t>
  </si>
  <si>
    <t>u.ˈmɐ̃</t>
  </si>
  <si>
    <t>mão</t>
  </si>
  <si>
    <t>ˈmbigu</t>
  </si>
  <si>
    <t>ũˈbigu</t>
  </si>
  <si>
    <t>ˈmbi.gu</t>
  </si>
  <si>
    <t>ũ.ˈbi.gu</t>
  </si>
  <si>
    <t>ũ</t>
  </si>
  <si>
    <t>umbigo</t>
  </si>
  <si>
    <t>belly button</t>
  </si>
  <si>
    <t>ˈmbi</t>
  </si>
  <si>
    <t>ˈbi</t>
  </si>
  <si>
    <t>methatesis</t>
  </si>
  <si>
    <t>ɔˈpɛ</t>
  </si>
  <si>
    <t>ˈpɛ</t>
  </si>
  <si>
    <t>ɔ.ˈpɛ</t>
  </si>
  <si>
    <t>ɔ</t>
  </si>
  <si>
    <t>pé</t>
  </si>
  <si>
    <t>foot, leg</t>
  </si>
  <si>
    <t>uˈrja</t>
  </si>
  <si>
    <t>oˈɾɐʎɐ</t>
  </si>
  <si>
    <t>u.ˈrja</t>
  </si>
  <si>
    <t>o.ˈɾɐ.ʎɐ</t>
  </si>
  <si>
    <t>orelha</t>
  </si>
  <si>
    <t>ear</t>
  </si>
  <si>
    <t>ˈɾɐ</t>
  </si>
  <si>
    <t>ˈrja</t>
  </si>
  <si>
    <t>ʎɐ</t>
  </si>
  <si>
    <t>ˈɔsu</t>
  </si>
  <si>
    <t>ˈosu</t>
  </si>
  <si>
    <t>ˈɔ.su</t>
  </si>
  <si>
    <t>ˈo.su</t>
  </si>
  <si>
    <t>osso</t>
  </si>
  <si>
    <t>bone</t>
  </si>
  <si>
    <t>oˈze</t>
  </si>
  <si>
    <t>ʒuˈɐʎu</t>
  </si>
  <si>
    <t>o.ˈze</t>
  </si>
  <si>
    <t>ʒu.ˈɐ.ʎu</t>
  </si>
  <si>
    <t>joelho</t>
  </si>
  <si>
    <t>knee</t>
  </si>
  <si>
    <t>ʒu</t>
  </si>
  <si>
    <t>ˈɐ</t>
  </si>
  <si>
    <t>ˈpɛli</t>
  </si>
  <si>
    <t>ˈpelɨ</t>
  </si>
  <si>
    <t>ˈpɛ.li</t>
  </si>
  <si>
    <t>ˈpe.lɨ</t>
  </si>
  <si>
    <t>pele</t>
  </si>
  <si>
    <t>skin</t>
  </si>
  <si>
    <t>lɨ</t>
  </si>
  <si>
    <t>ˈpusu</t>
  </si>
  <si>
    <t>ˈpulsu</t>
  </si>
  <si>
    <t>ˈpu.su</t>
  </si>
  <si>
    <t>ˈpul.su</t>
  </si>
  <si>
    <t>ˈpu</t>
  </si>
  <si>
    <t>ˈpul</t>
  </si>
  <si>
    <t>pulso</t>
  </si>
  <si>
    <t>pulse</t>
  </si>
  <si>
    <t>puluˈmɐ̃</t>
  </si>
  <si>
    <t>pulˈmɐ̃w̃</t>
  </si>
  <si>
    <t>pu.lu.ˈmɐ̃</t>
  </si>
  <si>
    <t>pul.ˈmɐ̃w̃</t>
  </si>
  <si>
    <t>pul</t>
  </si>
  <si>
    <t>pulmão</t>
  </si>
  <si>
    <t>lung</t>
  </si>
  <si>
    <t>iˈriʃɪ</t>
  </si>
  <si>
    <t>nɐˈɾiʃ</t>
  </si>
  <si>
    <t>i.ˈri.ʃɪ</t>
  </si>
  <si>
    <t>nɐ.ˈɾiʃ</t>
  </si>
  <si>
    <t>nariz</t>
  </si>
  <si>
    <t>nose</t>
  </si>
  <si>
    <t>ˈri</t>
  </si>
  <si>
    <t>ˈɾiʃ</t>
  </si>
  <si>
    <t>ʃɪ</t>
  </si>
  <si>
    <t>ˈsɐ̃gɪ</t>
  </si>
  <si>
    <t>ˈsɐ̃ɡɨ</t>
  </si>
  <si>
    <t>ˈsɐ̃.gɪ</t>
  </si>
  <si>
    <t>ˈsɐ̃.ɡɨ</t>
  </si>
  <si>
    <t>sangue</t>
  </si>
  <si>
    <t>blood</t>
  </si>
  <si>
    <t>gɪ</t>
  </si>
  <si>
    <t>ɡɨ</t>
  </si>
  <si>
    <t>ˈt̠ʃipɐ</t>
  </si>
  <si>
    <t>ˈtɾipɐ</t>
  </si>
  <si>
    <t>ˈt̠ʃi.pɐ</t>
  </si>
  <si>
    <t>ˈtɾi.pɐ</t>
  </si>
  <si>
    <t>tripa</t>
  </si>
  <si>
    <t>guts</t>
  </si>
  <si>
    <t>uˈmuɲɐ</t>
  </si>
  <si>
    <t>ˈuɲɐ</t>
  </si>
  <si>
    <t>u.ˈmu.ɲɐ</t>
  </si>
  <si>
    <t>ˈu.ɲɐ</t>
  </si>
  <si>
    <t>ˈu</t>
  </si>
  <si>
    <t>unha</t>
  </si>
  <si>
    <t>nail</t>
  </si>
  <si>
    <t>ˈmu</t>
  </si>
  <si>
    <t>ˈoʎu</t>
  </si>
  <si>
    <t>ˈo.ʎu</t>
  </si>
  <si>
    <t>olho</t>
  </si>
  <si>
    <t>eye</t>
  </si>
  <si>
    <t>akaˈʀe</t>
  </si>
  <si>
    <t>ˈsapu</t>
  </si>
  <si>
    <t>a.ka.ˈʀe</t>
  </si>
  <si>
    <t>ˈsa.pu</t>
  </si>
  <si>
    <t>sapo</t>
  </si>
  <si>
    <t>frog</t>
  </si>
  <si>
    <t>Not of portuguese origin</t>
  </si>
  <si>
    <t>ˈbisu</t>
  </si>
  <si>
    <t>ˈbi.ʃu</t>
  </si>
  <si>
    <t>ˈbi.su</t>
  </si>
  <si>
    <t>bicho</t>
  </si>
  <si>
    <t>animal</t>
  </si>
  <si>
    <t>ʃu</t>
  </si>
  <si>
    <t>uˈbweɔmi</t>
  </si>
  <si>
    <t>ˈboj ˈomɐ̃j̃</t>
  </si>
  <si>
    <t>u.ˈbwe.ɔ.mi</t>
  </si>
  <si>
    <t>ˈboj ˈo.mɐ̃j̃</t>
  </si>
  <si>
    <t>boi homem</t>
  </si>
  <si>
    <t>bull</t>
  </si>
  <si>
    <t>ˈbwe</t>
  </si>
  <si>
    <t>ˈboj</t>
  </si>
  <si>
    <t>mi</t>
  </si>
  <si>
    <t>mɐ̃j̃</t>
  </si>
  <si>
    <t>ˈkabɐ</t>
  </si>
  <si>
    <t>ˈkabɾɐ</t>
  </si>
  <si>
    <t>ˈka.bɐ</t>
  </si>
  <si>
    <t>ˈka.bɾɐ</t>
  </si>
  <si>
    <t>cabra</t>
  </si>
  <si>
    <t>goat</t>
  </si>
  <si>
    <t>bɾɐ</t>
  </si>
  <si>
    <t>kaˈso</t>
  </si>
  <si>
    <t>kɐˈʃoʀu</t>
  </si>
  <si>
    <t>ka.ˈso</t>
  </si>
  <si>
    <t>kɐ.ˈʃo.ʀu</t>
  </si>
  <si>
    <t>cachorro</t>
  </si>
  <si>
    <t>dog</t>
  </si>
  <si>
    <t>ˈʃo</t>
  </si>
  <si>
    <t>ʀu</t>
  </si>
  <si>
    <t>ˈkɔbɔ</t>
  </si>
  <si>
    <t>ˈkɔbɾɐ</t>
  </si>
  <si>
    <t>ˈkɔ.bɔ</t>
  </si>
  <si>
    <t>ˈkɔ.bɾɐ</t>
  </si>
  <si>
    <t>ˈkɔ</t>
  </si>
  <si>
    <t>cobra</t>
  </si>
  <si>
    <t>snake</t>
  </si>
  <si>
    <t>bɔ</t>
  </si>
  <si>
    <t>maˈkaku</t>
  </si>
  <si>
    <t>mɐˈkaku</t>
  </si>
  <si>
    <t>ma.ˈka.ku</t>
  </si>
  <si>
    <t>mɐ.ˈka.ku</t>
  </si>
  <si>
    <t>macaco</t>
  </si>
  <si>
    <t>monkey</t>
  </si>
  <si>
    <t>muˈsɛgu</t>
  </si>
  <si>
    <t>muɾˈsegu</t>
  </si>
  <si>
    <t>mu.ˈsɛ.gu</t>
  </si>
  <si>
    <t>muɾ.ˈse.gu</t>
  </si>
  <si>
    <t>mu</t>
  </si>
  <si>
    <t>muɾ</t>
  </si>
  <si>
    <t>morcego</t>
  </si>
  <si>
    <t>bat</t>
  </si>
  <si>
    <t>ˈsɛ</t>
  </si>
  <si>
    <t>ˈse</t>
  </si>
  <si>
    <t>giˈɲɐ̃</t>
  </si>
  <si>
    <t>gɐˈliɲɐ</t>
  </si>
  <si>
    <t>gi.ˈɲɐ̃</t>
  </si>
  <si>
    <t>gɐ.ˈli.ɲɐ</t>
  </si>
  <si>
    <t>gi</t>
  </si>
  <si>
    <t>galinha</t>
  </si>
  <si>
    <t>hen</t>
  </si>
  <si>
    <t>ˈli</t>
  </si>
  <si>
    <t>ˈɲɐ̃</t>
  </si>
  <si>
    <t>ˈgasɐ</t>
  </si>
  <si>
    <t>ˈgaɾsɐ</t>
  </si>
  <si>
    <t>ˈga.sɐ</t>
  </si>
  <si>
    <t>ˈgaɾ.sɐ</t>
  </si>
  <si>
    <t>ˈga</t>
  </si>
  <si>
    <t>ˈgaɾ</t>
  </si>
  <si>
    <t>garça</t>
  </si>
  <si>
    <t>heron</t>
  </si>
  <si>
    <t>bẽˈku</t>
  </si>
  <si>
    <t>taɾtɐˈɾugɐ ɐfɾiˈkɐnɐ</t>
  </si>
  <si>
    <t>bẽ.ˈku</t>
  </si>
  <si>
    <t>taɾ.tɐ.ˈɾu.gɐ ɐ.fɾi.ˈkɐ.nɐ</t>
  </si>
  <si>
    <t>tartaruga africana</t>
  </si>
  <si>
    <t>African turtle</t>
  </si>
  <si>
    <t>ˈpo:ko</t>
  </si>
  <si>
    <t>ˈpoɾku</t>
  </si>
  <si>
    <t>ˈpo:.ko</t>
  </si>
  <si>
    <t>ˈpoɾ.ku</t>
  </si>
  <si>
    <t>ˈpo:</t>
  </si>
  <si>
    <t>ˈpoɾ</t>
  </si>
  <si>
    <t>porco</t>
  </si>
  <si>
    <t>pig</t>
  </si>
  <si>
    <t>teˈtu:gɐ</t>
  </si>
  <si>
    <t>taɾtɐˈɾugɐ</t>
  </si>
  <si>
    <t>te.ˈtu:.gɐ</t>
  </si>
  <si>
    <t>taɾ.tɐ.ˈɾu.gɐ</t>
  </si>
  <si>
    <t>tartaruga</t>
  </si>
  <si>
    <t>turtle</t>
  </si>
  <si>
    <t>ˈtu:</t>
  </si>
  <si>
    <t>ˈɾu</t>
  </si>
  <si>
    <t>aˈmwe</t>
  </si>
  <si>
    <t>ɐˈmoɾ</t>
  </si>
  <si>
    <t>a.ˈmwe</t>
  </si>
  <si>
    <t>ɐ.ˈmoɾ</t>
  </si>
  <si>
    <t>amor</t>
  </si>
  <si>
    <t>love</t>
  </si>
  <si>
    <t>ˈmwe</t>
  </si>
  <si>
    <t>ˈmoɾ</t>
  </si>
  <si>
    <t>ˈgɛ</t>
  </si>
  <si>
    <t>ˈgɛʀɐ</t>
  </si>
  <si>
    <t>ˈgɛ.ʀɐ</t>
  </si>
  <si>
    <t>guerra</t>
  </si>
  <si>
    <t>war</t>
  </si>
  <si>
    <t>ʀɐ</t>
  </si>
  <si>
    <t>ˈkalimɐ</t>
  </si>
  <si>
    <t>ˈkalmɐ</t>
  </si>
  <si>
    <t>ˈka.li.mɐ</t>
  </si>
  <si>
    <t>ˈkal.mɐ</t>
  </si>
  <si>
    <t>ˈkal</t>
  </si>
  <si>
    <t>calma</t>
  </si>
  <si>
    <t>calm</t>
  </si>
  <si>
    <t>kɔˈraʒi</t>
  </si>
  <si>
    <t>kuˈɾaʒɐ̃j̃</t>
  </si>
  <si>
    <t>kɔ.ˈra.ʒi</t>
  </si>
  <si>
    <t>ku.ˈɾa.ʒɐ̃j̃</t>
  </si>
  <si>
    <t>coragem</t>
  </si>
  <si>
    <t>courage</t>
  </si>
  <si>
    <t>ʒɐ̃j̃</t>
  </si>
  <si>
    <t>uˈrĩ</t>
  </si>
  <si>
    <t>ʀuˈĩ</t>
  </si>
  <si>
    <t>u.ˈrĩ</t>
  </si>
  <si>
    <t>ʀu.ˈĩ</t>
  </si>
  <si>
    <t>ruim</t>
  </si>
  <si>
    <t>evil</t>
  </si>
  <si>
    <t>ˈrĩ</t>
  </si>
  <si>
    <t>ˈĩ</t>
  </si>
  <si>
    <t>madiˈsɐ̃</t>
  </si>
  <si>
    <t>maldiˈsɐ̃w̃</t>
  </si>
  <si>
    <t>ma.di.ˈsɐ̃</t>
  </si>
  <si>
    <t>mal.di.ˈsɐ̃w̃</t>
  </si>
  <si>
    <t>mal</t>
  </si>
  <si>
    <t>maldição</t>
  </si>
  <si>
    <t>curse</t>
  </si>
  <si>
    <t>pɛˈdɐ̃</t>
  </si>
  <si>
    <t>pɨɾˈdɐ̃w̃</t>
  </si>
  <si>
    <t>pɛ.ˈdɐ̃</t>
  </si>
  <si>
    <t>pɨɾ.ˈdɐ̃w̃</t>
  </si>
  <si>
    <t>pɛ</t>
  </si>
  <si>
    <t>pɨɾ</t>
  </si>
  <si>
    <t>perdão</t>
  </si>
  <si>
    <t>forgiveness</t>
  </si>
  <si>
    <t>ˈdɐ̃</t>
  </si>
  <si>
    <t>ˈdɐ̃w̃</t>
  </si>
  <si>
    <t>piˈgisɐ</t>
  </si>
  <si>
    <t>pɾɨˈgisɐ</t>
  </si>
  <si>
    <t>pi.ˈgi.sɐ</t>
  </si>
  <si>
    <t>pɾɨ.ˈgi.sɐ</t>
  </si>
  <si>
    <t>pɾɨ</t>
  </si>
  <si>
    <t>preguiça</t>
  </si>
  <si>
    <t>laziness</t>
  </si>
  <si>
    <t>ˈgi</t>
  </si>
  <si>
    <t>ˈrɛvɐ</t>
  </si>
  <si>
    <t>ˈʀajvɐ</t>
  </si>
  <si>
    <t>ˈrɛ.vɐ</t>
  </si>
  <si>
    <t>ˈʀaj.vɐ</t>
  </si>
  <si>
    <t>ˈrɛ</t>
  </si>
  <si>
    <t>ˈʀaj</t>
  </si>
  <si>
    <t>raiva</t>
  </si>
  <si>
    <t>rage</t>
  </si>
  <si>
    <t>vɐ</t>
  </si>
  <si>
    <t>ˈsedɪ</t>
  </si>
  <si>
    <t>ˈsedɨ</t>
  </si>
  <si>
    <t>ˈse.dɪ</t>
  </si>
  <si>
    <t>ˈse.dɨ</t>
  </si>
  <si>
    <t>sede</t>
  </si>
  <si>
    <t>thirst</t>
  </si>
  <si>
    <t>dɪ</t>
  </si>
  <si>
    <t>ˈsumi</t>
  </si>
  <si>
    <t>siˈumɨ</t>
  </si>
  <si>
    <t>ˈsu.mi</t>
  </si>
  <si>
    <t>si.ˈu.mɨ</t>
  </si>
  <si>
    <t>si</t>
  </si>
  <si>
    <t>ciúmes</t>
  </si>
  <si>
    <t>jealousy</t>
  </si>
  <si>
    <t>mɨ</t>
  </si>
  <si>
    <t>vɔˈgjɐ̃</t>
  </si>
  <si>
    <t>vɨɾˈgoɲɐ</t>
  </si>
  <si>
    <t>vɔ.ˈgjɐ̃</t>
  </si>
  <si>
    <t>vɨɾ.ˈgo.ɲɐ</t>
  </si>
  <si>
    <t>vɔ</t>
  </si>
  <si>
    <t>vɨɾ</t>
  </si>
  <si>
    <t>vergonha</t>
  </si>
  <si>
    <t>shame</t>
  </si>
  <si>
    <t>ˈgjɐ̃</t>
  </si>
  <si>
    <t>ˈweˈʃja</t>
  </si>
  <si>
    <t>ĩˈvɐjʒɐ</t>
  </si>
  <si>
    <t>ˈwe.ˈʃja</t>
  </si>
  <si>
    <t>ĩ.ˈvɐj.ʒɐ</t>
  </si>
  <si>
    <t>ĩ</t>
  </si>
  <si>
    <t>inveja</t>
  </si>
  <si>
    <t>envy</t>
  </si>
  <si>
    <t>ˈvɐj</t>
  </si>
  <si>
    <t>ˈʃja</t>
  </si>
  <si>
    <t>ʒɐ</t>
  </si>
  <si>
    <t>ˈbɐ̃:ku</t>
  </si>
  <si>
    <t>ˈbɾɐ̃ku</t>
  </si>
  <si>
    <t>ˈbɐ̃:.ku</t>
  </si>
  <si>
    <t>ˈbɾɐ̃.ku</t>
  </si>
  <si>
    <t>ˈbɐ̃:</t>
  </si>
  <si>
    <t>ˈbɾɐ̃</t>
  </si>
  <si>
    <t>branco</t>
  </si>
  <si>
    <t>white</t>
  </si>
  <si>
    <t>cor</t>
  </si>
  <si>
    <t>color</t>
  </si>
  <si>
    <t>maˈrɛlu</t>
  </si>
  <si>
    <t>ɐmɐˈɾelu</t>
  </si>
  <si>
    <t>ma.ˈrɛ.lu</t>
  </si>
  <si>
    <t>ɐ.mɐ.ˈɾe.lu</t>
  </si>
  <si>
    <t>amarelo</t>
  </si>
  <si>
    <t>yellow</t>
  </si>
  <si>
    <t>ˈɾe</t>
  </si>
  <si>
    <t>ˈpɛ:tu</t>
  </si>
  <si>
    <t>ˈpɾetu</t>
  </si>
  <si>
    <t>ˈpɛ:.tu</t>
  </si>
  <si>
    <t>ˈpɾe.tu</t>
  </si>
  <si>
    <t>ˈpɛ:</t>
  </si>
  <si>
    <t>ˈpɾe</t>
  </si>
  <si>
    <t>preto</t>
  </si>
  <si>
    <t>black</t>
  </si>
  <si>
    <t>tu</t>
  </si>
  <si>
    <t>ˈrɔzɐ</t>
  </si>
  <si>
    <t>ˈʀozɐ</t>
  </si>
  <si>
    <t>ˈrɔ.zɐ</t>
  </si>
  <si>
    <t>ˈʀo.zɐ</t>
  </si>
  <si>
    <t>ˈrɔ</t>
  </si>
  <si>
    <t>ˈʀo</t>
  </si>
  <si>
    <t>rosa</t>
  </si>
  <si>
    <t>pink</t>
  </si>
  <si>
    <t>ˈvede</t>
  </si>
  <si>
    <t>ˈveɾdɨ</t>
  </si>
  <si>
    <t>ˈve.de</t>
  </si>
  <si>
    <t>ˈveɾ.dɨ</t>
  </si>
  <si>
    <t>ˈve</t>
  </si>
  <si>
    <t>ˈveɾ</t>
  </si>
  <si>
    <t>verde</t>
  </si>
  <si>
    <t>green</t>
  </si>
  <si>
    <t>de</t>
  </si>
  <si>
    <t>veˈme</t>
  </si>
  <si>
    <t>vɨɾˈmɐjʎu</t>
  </si>
  <si>
    <t>ve.ˈme</t>
  </si>
  <si>
    <t>vɨɾ.ˈmɐj.ʎu</t>
  </si>
  <si>
    <t>ve</t>
  </si>
  <si>
    <t>vermelho</t>
  </si>
  <si>
    <t>red</t>
  </si>
  <si>
    <t>ˈme</t>
  </si>
  <si>
    <t>ˈmɐj</t>
  </si>
  <si>
    <t>ˈzulu</t>
  </si>
  <si>
    <t>ɐˈzuɫ</t>
  </si>
  <si>
    <t>ˈzu.lu</t>
  </si>
  <si>
    <t>ɐ.ˈzuɫ</t>
  </si>
  <si>
    <t>ˈzu</t>
  </si>
  <si>
    <t>azul</t>
  </si>
  <si>
    <t>blue</t>
  </si>
  <si>
    <t>ˈzuɫ</t>
  </si>
  <si>
    <t>kaˈra</t>
  </si>
  <si>
    <t>kɐɾɐ̃ˈgejʒu</t>
  </si>
  <si>
    <t>ka.ˈra</t>
  </si>
  <si>
    <t>kɐ.ɾɐ̃.ˈgej.ʒu</t>
  </si>
  <si>
    <t>caranguejo</t>
  </si>
  <si>
    <t>crab</t>
  </si>
  <si>
    <t>ɾɐ̃</t>
  </si>
  <si>
    <t>ˈgej</t>
  </si>
  <si>
    <t>ˈkisaki</t>
  </si>
  <si>
    <t>baʀɐˈkudɐ</t>
  </si>
  <si>
    <t>ˈki.sa.ki</t>
  </si>
  <si>
    <t>ba.ʀɐ.ˈku.dɐ</t>
  </si>
  <si>
    <t>barracuda</t>
  </si>
  <si>
    <t>scad</t>
  </si>
  <si>
    <t>uˈgujɐ</t>
  </si>
  <si>
    <t>ɐˈguʎɐ</t>
  </si>
  <si>
    <t>u.ˈgu.jɐ</t>
  </si>
  <si>
    <t>ɐ.ˈgu.ʎɐ</t>
  </si>
  <si>
    <t>agulha</t>
  </si>
  <si>
    <t>garfish</t>
  </si>
  <si>
    <t>ˈgu</t>
  </si>
  <si>
    <t>jɐ</t>
  </si>
  <si>
    <t>ˈiʃikɐ</t>
  </si>
  <si>
    <t>ˈiʃkɐ</t>
  </si>
  <si>
    <t>ˈi.ʃi.kɐ</t>
  </si>
  <si>
    <t>ˈiʃ.kɐ</t>
  </si>
  <si>
    <t>ˈi</t>
  </si>
  <si>
    <t>isca</t>
  </si>
  <si>
    <t>bait</t>
  </si>
  <si>
    <t>ʃi</t>
  </si>
  <si>
    <t>ˈiʃ</t>
  </si>
  <si>
    <t>iˈze</t>
  </si>
  <si>
    <t>kɐmɐˈɾɐ̃w̃</t>
  </si>
  <si>
    <t>i.ˈze</t>
  </si>
  <si>
    <t>kɐ.mɐ.ˈɾɐ̃w̃</t>
  </si>
  <si>
    <t>camarão</t>
  </si>
  <si>
    <t>prawn</t>
  </si>
  <si>
    <t>tuˈbɐ̃</t>
  </si>
  <si>
    <t>tubɐˈɾɐ̃w̃</t>
  </si>
  <si>
    <t>tu.ˈbɐ̃</t>
  </si>
  <si>
    <t>tu.bɐ.ˈɾɐ̃w̃</t>
  </si>
  <si>
    <t>tubarão</t>
  </si>
  <si>
    <t>shark</t>
  </si>
  <si>
    <t>ˈɾɐ̃w̃</t>
  </si>
  <si>
    <t>ˈpeʃi</t>
  </si>
  <si>
    <t>ˈpejʃɨ</t>
  </si>
  <si>
    <t>ˈpe.ʃi</t>
  </si>
  <si>
    <t>ˈpej.ʃɨ</t>
  </si>
  <si>
    <t>ˈpej</t>
  </si>
  <si>
    <t>peixe</t>
  </si>
  <si>
    <t>fish</t>
  </si>
  <si>
    <t>ʃɨ</t>
  </si>
  <si>
    <t>voaˈdo</t>
  </si>
  <si>
    <t>vuɐˈdoɾ</t>
  </si>
  <si>
    <t>vo.a.ˈdo</t>
  </si>
  <si>
    <t>vu.ɐ.ˈdoɾ</t>
  </si>
  <si>
    <t>vo</t>
  </si>
  <si>
    <t>voador</t>
  </si>
  <si>
    <t>flying fish</t>
  </si>
  <si>
    <t>ˈdo</t>
  </si>
  <si>
    <t>ˈdoɾ</t>
  </si>
  <si>
    <t>ˈkusu</t>
  </si>
  <si>
    <t>diaˈʀɐjɐ</t>
  </si>
  <si>
    <t>ˈku.su</t>
  </si>
  <si>
    <t>di.a.ˈʀɐj.ɐ</t>
  </si>
  <si>
    <t>diarreia</t>
  </si>
  <si>
    <t>diarrhea</t>
  </si>
  <si>
    <t>biˈʃigɐ</t>
  </si>
  <si>
    <t>bɨˈʃigɐ</t>
  </si>
  <si>
    <t>bi.ˈʃi.gɐ</t>
  </si>
  <si>
    <t>bɨ.ˈʃi.gɐ</t>
  </si>
  <si>
    <t>bɨ</t>
  </si>
  <si>
    <t>varíola</t>
  </si>
  <si>
    <t>variola</t>
  </si>
  <si>
    <t>dor</t>
  </si>
  <si>
    <t>pain</t>
  </si>
  <si>
    <t>ˈfɛbi</t>
  </si>
  <si>
    <t>ˈfɛbɾɨ</t>
  </si>
  <si>
    <t>ˈfɛ.bi</t>
  </si>
  <si>
    <t>ˈfɛ.bɾɨ</t>
  </si>
  <si>
    <t>ˈfɛ</t>
  </si>
  <si>
    <t>febre</t>
  </si>
  <si>
    <t>fever</t>
  </si>
  <si>
    <t>bɾɨ</t>
  </si>
  <si>
    <t>ˈfi:dɐ</t>
  </si>
  <si>
    <t>fɨˈɾidɐ</t>
  </si>
  <si>
    <t>ˈfi:.dɐ</t>
  </si>
  <si>
    <t>fɨ.ˈɾi.dɐ</t>
  </si>
  <si>
    <t>ˈfi:</t>
  </si>
  <si>
    <t>fɨ</t>
  </si>
  <si>
    <t>ferida</t>
  </si>
  <si>
    <t>wound</t>
  </si>
  <si>
    <t>ˈgɔmitu</t>
  </si>
  <si>
    <t>vuˈmitu</t>
  </si>
  <si>
    <t>ˈgɔ.mi.tu</t>
  </si>
  <si>
    <t>vu.ˈmi.tu</t>
  </si>
  <si>
    <t>ˈgɔ</t>
  </si>
  <si>
    <t>vômito</t>
  </si>
  <si>
    <t>spew</t>
  </si>
  <si>
    <t>ˈmi</t>
  </si>
  <si>
    <t>ˈkutuˈkutu</t>
  </si>
  <si>
    <t>sɐˈɾɐ̃pu</t>
  </si>
  <si>
    <t>ˈku.tu.ˈku.tu</t>
  </si>
  <si>
    <t>sɐ.ˈɾɐ̃.pu</t>
  </si>
  <si>
    <t>sarampo</t>
  </si>
  <si>
    <t>measles</t>
  </si>
  <si>
    <t>uˈlalu</t>
  </si>
  <si>
    <t>duˈẽsɐ dɨ ˈpelɨ</t>
  </si>
  <si>
    <t>u.ˈla.lu</t>
  </si>
  <si>
    <t>du.ˈẽ.sɐ dɨ ˈpe.lɨ</t>
  </si>
  <si>
    <t>doença de pele</t>
  </si>
  <si>
    <t>skin disease</t>
  </si>
  <si>
    <t>ˈlɛpɐ</t>
  </si>
  <si>
    <t>ˈlɛpɾɐ</t>
  </si>
  <si>
    <t>ˈlɛ.pɐ</t>
  </si>
  <si>
    <t>ˈlɛ.pɾɐ</t>
  </si>
  <si>
    <t>ˈlɛ</t>
  </si>
  <si>
    <t>lepra</t>
  </si>
  <si>
    <t>leprosy</t>
  </si>
  <si>
    <t>pɾɐ</t>
  </si>
  <si>
    <t>lɔ̃ˈbi:gɐ</t>
  </si>
  <si>
    <t>lõˈbɾigɐ</t>
  </si>
  <si>
    <t>lɔ̃.ˈbi:.gɐ</t>
  </si>
  <si>
    <t>lõ.ˈbɾi.gɐ</t>
  </si>
  <si>
    <t>lɔ̃</t>
  </si>
  <si>
    <t>lõ</t>
  </si>
  <si>
    <t>lombriga</t>
  </si>
  <si>
    <t>ascariasis</t>
  </si>
  <si>
    <t>ˈbi:</t>
  </si>
  <si>
    <t>ˈbɾi</t>
  </si>
  <si>
    <t>ˈmaliˈbwɛgɐ</t>
  </si>
  <si>
    <t>ˈmaɫ dɐ baˈʀigɐ</t>
  </si>
  <si>
    <t>ˈma.li.ˈbwɛ.gɐ</t>
  </si>
  <si>
    <t>ˈmaɫ dɐ ba.ˈʀi.gɐ</t>
  </si>
  <si>
    <t>ˈmaɫ</t>
  </si>
  <si>
    <t>mal de barriga</t>
  </si>
  <si>
    <t>constipation</t>
  </si>
  <si>
    <t>ˈbwɛ</t>
  </si>
  <si>
    <t>ˈkura</t>
  </si>
  <si>
    <t>ˈkuɾɐ</t>
  </si>
  <si>
    <t>ˈku.ra</t>
  </si>
  <si>
    <t>ˈku.ɾɐ</t>
  </si>
  <si>
    <t>ˈku</t>
  </si>
  <si>
    <t>cura</t>
  </si>
  <si>
    <t>medicine</t>
  </si>
  <si>
    <t>ˈpɛʃt̠ʃi</t>
  </si>
  <si>
    <t>ˈpeʃtɨ</t>
  </si>
  <si>
    <t>ˈpɛʃ.t̠ʃi</t>
  </si>
  <si>
    <t>ˈpeʃ.tɨ</t>
  </si>
  <si>
    <t>ˈpɛʃ</t>
  </si>
  <si>
    <t>ˈpeʃ</t>
  </si>
  <si>
    <t>peste</t>
  </si>
  <si>
    <t>plague</t>
  </si>
  <si>
    <t>ˈpa:gɐ</t>
  </si>
  <si>
    <t>ˈpɾagɐ</t>
  </si>
  <si>
    <t>ˈpa:.gɐ</t>
  </si>
  <si>
    <t>ˈpɾa.gɐ</t>
  </si>
  <si>
    <t>ˈpa:</t>
  </si>
  <si>
    <t>ˈpɾa</t>
  </si>
  <si>
    <t>praga</t>
  </si>
  <si>
    <t>ˈtɔʃi</t>
  </si>
  <si>
    <t>ˈtosɨ</t>
  </si>
  <si>
    <t>ˈtɔ.ʃi</t>
  </si>
  <si>
    <t>ˈto.sɨ</t>
  </si>
  <si>
    <t>ˈtɔ</t>
  </si>
  <si>
    <t>ˈto</t>
  </si>
  <si>
    <t>tosse</t>
  </si>
  <si>
    <t>cough</t>
  </si>
  <si>
    <t>sɨ</t>
  </si>
  <si>
    <t>baˈja</t>
  </si>
  <si>
    <t>vɐjˈaɾ</t>
  </si>
  <si>
    <t>ba.ˈja</t>
  </si>
  <si>
    <t>vɐj.ˈaɾ</t>
  </si>
  <si>
    <t>vɐj</t>
  </si>
  <si>
    <t>vaiar</t>
  </si>
  <si>
    <t>cast a spell</t>
  </si>
  <si>
    <t>ˈja</t>
  </si>
  <si>
    <t>ˈaɾ</t>
  </si>
  <si>
    <t>ˈvwɛ</t>
  </si>
  <si>
    <t>vɐˈʀeɾ</t>
  </si>
  <si>
    <t>vɐ.ˈʀeɾ</t>
  </si>
  <si>
    <t>varrer</t>
  </si>
  <si>
    <t>sweep</t>
  </si>
  <si>
    <t>ˈʀeɾ</t>
  </si>
  <si>
    <t>baˈna</t>
  </si>
  <si>
    <t>ɐbɐˈnaɾ</t>
  </si>
  <si>
    <t>ba.ˈna</t>
  </si>
  <si>
    <t>ɐ.bɐ.ˈnaɾ</t>
  </si>
  <si>
    <t>abanar</t>
  </si>
  <si>
    <t>shake</t>
  </si>
  <si>
    <t>ˈnaɾ</t>
  </si>
  <si>
    <t>bɐ̃dɔˈna</t>
  </si>
  <si>
    <t>ɐbɐ̃w̃duˈnaɾ</t>
  </si>
  <si>
    <t>bɐ̃.dɔ.ˈna</t>
  </si>
  <si>
    <t>ɐ.bɐ̃w̃.du.ˈnaɾ</t>
  </si>
  <si>
    <t>abandonar</t>
  </si>
  <si>
    <t>leave</t>
  </si>
  <si>
    <t>bɐ̃</t>
  </si>
  <si>
    <t>bɐ̃w̃</t>
  </si>
  <si>
    <t>dɔ</t>
  </si>
  <si>
    <t>ba:ˈga</t>
  </si>
  <si>
    <t>dɨʃfɐˈzeɾ</t>
  </si>
  <si>
    <t>ba:.ˈga</t>
  </si>
  <si>
    <t>dɨʃ.fɐ.ˈzeɾ</t>
  </si>
  <si>
    <t>desfazer</t>
  </si>
  <si>
    <t>undo</t>
  </si>
  <si>
    <t>baˈsa</t>
  </si>
  <si>
    <t>ɐbajˈʃaɾ</t>
  </si>
  <si>
    <t>ba.ˈsa</t>
  </si>
  <si>
    <t>ɐ.baj.ˈʃaɾ</t>
  </si>
  <si>
    <t>abaixar</t>
  </si>
  <si>
    <t>lower in</t>
  </si>
  <si>
    <t>baj</t>
  </si>
  <si>
    <t>ˈsa</t>
  </si>
  <si>
    <t>ˈʃaɾ</t>
  </si>
  <si>
    <t>baˈte</t>
  </si>
  <si>
    <t>bɐˈteɾ</t>
  </si>
  <si>
    <t>ba.ˈte</t>
  </si>
  <si>
    <t>bɐ.ˈteɾ</t>
  </si>
  <si>
    <t>bater</t>
  </si>
  <si>
    <t>hit</t>
  </si>
  <si>
    <t>ˈte</t>
  </si>
  <si>
    <t>ˈteɾ</t>
  </si>
  <si>
    <t>ver</t>
  </si>
  <si>
    <t>see</t>
  </si>
  <si>
    <t>beˈbe</t>
  </si>
  <si>
    <t>bɨˈbeɾ</t>
  </si>
  <si>
    <t>be.ˈbe</t>
  </si>
  <si>
    <t>bɨ.ˈbeɾ</t>
  </si>
  <si>
    <t>be</t>
  </si>
  <si>
    <t>beber</t>
  </si>
  <si>
    <t>drink</t>
  </si>
  <si>
    <t>ˈbeɾ</t>
  </si>
  <si>
    <t>bɛ̃ˈza</t>
  </si>
  <si>
    <t>bɐjˈʒaɾ</t>
  </si>
  <si>
    <t>bɛ̃.ˈza</t>
  </si>
  <si>
    <t>bɐj.ˈʒaɾ</t>
  </si>
  <si>
    <t>bɛ̃</t>
  </si>
  <si>
    <t>bɐj</t>
  </si>
  <si>
    <t>beijar</t>
  </si>
  <si>
    <t>kiss</t>
  </si>
  <si>
    <t>ˈza</t>
  </si>
  <si>
    <t>ˈʒaɾ</t>
  </si>
  <si>
    <t>viˈka</t>
  </si>
  <si>
    <t>ˈviɾ ˈka</t>
  </si>
  <si>
    <t>vi.ˈka</t>
  </si>
  <si>
    <t xml:space="preserve">ˈviɾ </t>
  </si>
  <si>
    <t>vir cá</t>
  </si>
  <si>
    <t>come</t>
  </si>
  <si>
    <t>vɔˈta</t>
  </si>
  <si>
    <t>vɔlˈtaɾ</t>
  </si>
  <si>
    <t>vɔ.ˈta</t>
  </si>
  <si>
    <t>vɔl.ˈtaɾ</t>
  </si>
  <si>
    <t>vɔl</t>
  </si>
  <si>
    <t>voltar</t>
  </si>
  <si>
    <t>return</t>
  </si>
  <si>
    <t>ˈta</t>
  </si>
  <si>
    <t>ˈtaɾ</t>
  </si>
  <si>
    <t>ɐˈbɾiɾ</t>
  </si>
  <si>
    <t>ɐ.ˈbɾiɾ</t>
  </si>
  <si>
    <t>abrir</t>
  </si>
  <si>
    <t>open</t>
  </si>
  <si>
    <t>ˈbɾiɾ</t>
  </si>
  <si>
    <t>biˈʃi</t>
  </si>
  <si>
    <t>vɨʃˈtiɾ</t>
  </si>
  <si>
    <t>bi.ˈʃi</t>
  </si>
  <si>
    <t>vɨʃ.ˈtiɾ</t>
  </si>
  <si>
    <t>vɨʃ</t>
  </si>
  <si>
    <t>vestir</t>
  </si>
  <si>
    <t>get dressed</t>
  </si>
  <si>
    <t>ˈtiɾ</t>
  </si>
  <si>
    <t>ˈbje</t>
  </si>
  <si>
    <t>kuziˈɲaɾ</t>
  </si>
  <si>
    <t>ku.zi.ˈɲaɾ</t>
  </si>
  <si>
    <t>cozinhar</t>
  </si>
  <si>
    <t>cook</t>
  </si>
  <si>
    <t>bɔˈja</t>
  </si>
  <si>
    <t>bojˈaɾ</t>
  </si>
  <si>
    <t>bɔ.ˈja</t>
  </si>
  <si>
    <t>boj.ˈaɾ</t>
  </si>
  <si>
    <t>boj</t>
  </si>
  <si>
    <t>boiar</t>
  </si>
  <si>
    <t>float</t>
  </si>
  <si>
    <t>buˈka</t>
  </si>
  <si>
    <t>buʃˈkaɾ</t>
  </si>
  <si>
    <t>bu.ˈka</t>
  </si>
  <si>
    <t>buʃ.ˈkaɾ</t>
  </si>
  <si>
    <t>buʃ</t>
  </si>
  <si>
    <t>buscar</t>
  </si>
  <si>
    <t>search</t>
  </si>
  <si>
    <t>buˈrja</t>
  </si>
  <si>
    <t>ẽbɾuˈʎaɾ</t>
  </si>
  <si>
    <t>bu.ˈrja</t>
  </si>
  <si>
    <t>ẽ.bɾu.ˈʎaɾ</t>
  </si>
  <si>
    <t>ẽ</t>
  </si>
  <si>
    <t>embrulhar</t>
  </si>
  <si>
    <t>wrap up</t>
  </si>
  <si>
    <t>bɾu</t>
  </si>
  <si>
    <t>ˈʎaɾ</t>
  </si>
  <si>
    <t>ˈda</t>
  </si>
  <si>
    <t>ˈdaɾ</t>
  </si>
  <si>
    <t>dar</t>
  </si>
  <si>
    <t>give</t>
  </si>
  <si>
    <t>dɐ̃ˈsa</t>
  </si>
  <si>
    <t>dɐ̃ˈsaɾ</t>
  </si>
  <si>
    <t>dɐ̃.ˈsa</t>
  </si>
  <si>
    <t>dɐ̃.ˈsaɾ</t>
  </si>
  <si>
    <t>dɐ̃</t>
  </si>
  <si>
    <t>dançar</t>
  </si>
  <si>
    <t>to dance</t>
  </si>
  <si>
    <t>ˈsaɾ</t>
  </si>
  <si>
    <t>de:ˈte</t>
  </si>
  <si>
    <t>dɨʀɨˈteɾ</t>
  </si>
  <si>
    <t>de:.ˈte</t>
  </si>
  <si>
    <t>dɨ.ʀɨ.ˈteɾ</t>
  </si>
  <si>
    <t>de:</t>
  </si>
  <si>
    <t>derreter</t>
  </si>
  <si>
    <t>to melt</t>
  </si>
  <si>
    <t>ʀɨ</t>
  </si>
  <si>
    <t>diˈmi</t>
  </si>
  <si>
    <t>duɾˈmiɾ</t>
  </si>
  <si>
    <t>di.ˈmi</t>
  </si>
  <si>
    <t>duɾ.ˈmiɾ</t>
  </si>
  <si>
    <t>duɾ</t>
  </si>
  <si>
    <t>dormir</t>
  </si>
  <si>
    <t>to sleep</t>
  </si>
  <si>
    <t>ˈmiɾ</t>
  </si>
  <si>
    <t>ˈfa:</t>
  </si>
  <si>
    <t>fɐˈlaɾ</t>
  </si>
  <si>
    <t>ˈfa:.</t>
  </si>
  <si>
    <t>fɐ.ˈlaɾ</t>
  </si>
  <si>
    <t>falar</t>
  </si>
  <si>
    <t>say</t>
  </si>
  <si>
    <t>ˈlaɾ</t>
  </si>
  <si>
    <t>ˈfaˈlwɐ̃gu</t>
  </si>
  <si>
    <t>mẽˈtiɾ</t>
  </si>
  <si>
    <t>ˈfa.ˈlwɐ̃.gu</t>
  </si>
  <si>
    <t>mẽ.ˈtiɾ</t>
  </si>
  <si>
    <t>mentir</t>
  </si>
  <si>
    <t>to lie</t>
  </si>
  <si>
    <t>faˈta</t>
  </si>
  <si>
    <t>falˈtaɾ</t>
  </si>
  <si>
    <t>fa.ˈta</t>
  </si>
  <si>
    <t>fal.ˈtaɾ</t>
  </si>
  <si>
    <t>fa</t>
  </si>
  <si>
    <t>fal</t>
  </si>
  <si>
    <t>faltar</t>
  </si>
  <si>
    <t>be absent</t>
  </si>
  <si>
    <t>miˈza</t>
  </si>
  <si>
    <t>mɨˈʒaɾ</t>
  </si>
  <si>
    <t>mi.ˈza</t>
  </si>
  <si>
    <t>mɨ.ˈʒaɾ</t>
  </si>
  <si>
    <t>mijar</t>
  </si>
  <si>
    <t>urinate</t>
  </si>
  <si>
    <t>urinar</t>
  </si>
  <si>
    <t>fɛˈdɛ</t>
  </si>
  <si>
    <t>fɨˈdeɾ</t>
  </si>
  <si>
    <t>fɛ.ˈdɛ</t>
  </si>
  <si>
    <t>fɨ.ˈdeɾ</t>
  </si>
  <si>
    <t>feder</t>
  </si>
  <si>
    <t>stink</t>
  </si>
  <si>
    <t>ˈdɛ</t>
  </si>
  <si>
    <t>ˈdeɾ</t>
  </si>
  <si>
    <t>fiˈka</t>
  </si>
  <si>
    <t>fiˈkaɾ</t>
  </si>
  <si>
    <t>fi.ˈka</t>
  </si>
  <si>
    <t>fi.ˈkaɾ</t>
  </si>
  <si>
    <t>fi</t>
  </si>
  <si>
    <t>ficar</t>
  </si>
  <si>
    <t>stay</t>
  </si>
  <si>
    <t>fɛˈga</t>
  </si>
  <si>
    <t>ʃfɾɨˈgaɾ</t>
  </si>
  <si>
    <t>fɛ.ˈga</t>
  </si>
  <si>
    <t>ʃ.fɾɨ.ˈgaɾ</t>
  </si>
  <si>
    <t>esfregar</t>
  </si>
  <si>
    <t>rub</t>
  </si>
  <si>
    <t>fɾɨ</t>
  </si>
  <si>
    <t>fɔˈga</t>
  </si>
  <si>
    <t>fɔlˈgaɾ</t>
  </si>
  <si>
    <t>fɔ.ˈga</t>
  </si>
  <si>
    <t>fɔl.ˈgaɾ</t>
  </si>
  <si>
    <t>fɔ</t>
  </si>
  <si>
    <t>fɔl</t>
  </si>
  <si>
    <t>folgar</t>
  </si>
  <si>
    <t>play</t>
  </si>
  <si>
    <t>fuˈma</t>
  </si>
  <si>
    <t>dɨfuˈmaɾ</t>
  </si>
  <si>
    <t>fu.ˈma</t>
  </si>
  <si>
    <t>dɨ.fu.ˈmaɾ</t>
  </si>
  <si>
    <t>defumar</t>
  </si>
  <si>
    <t>smoke</t>
  </si>
  <si>
    <t>fu</t>
  </si>
  <si>
    <t>ˈmaɾ</t>
  </si>
  <si>
    <t>fu:ˈta</t>
  </si>
  <si>
    <t>fuɾˈtaɾ</t>
  </si>
  <si>
    <t>fu:.ˈta</t>
  </si>
  <si>
    <t>fuɾ.ˈtaɾ</t>
  </si>
  <si>
    <t>fu:</t>
  </si>
  <si>
    <t>fuɾ</t>
  </si>
  <si>
    <t>furtar</t>
  </si>
  <si>
    <t>to steal</t>
  </si>
  <si>
    <t>gɔˈgɔ</t>
  </si>
  <si>
    <t>guʃˈtaɾ</t>
  </si>
  <si>
    <t>gɔ.ˈgɔ</t>
  </si>
  <si>
    <t>guʃ.ˈtaɾ</t>
  </si>
  <si>
    <t>guʃ</t>
  </si>
  <si>
    <t>gostar</t>
  </si>
  <si>
    <t>like</t>
  </si>
  <si>
    <t>waˈda</t>
  </si>
  <si>
    <t>ʃpɨˈɾaɾ</t>
  </si>
  <si>
    <t>wa.ˈda</t>
  </si>
  <si>
    <t>ʃ.pɨ.ˈɾaɾ</t>
  </si>
  <si>
    <t>wa</t>
  </si>
  <si>
    <t>esperar</t>
  </si>
  <si>
    <t>to wait</t>
  </si>
  <si>
    <t>pɨ</t>
  </si>
  <si>
    <t>ˈɾaɾ</t>
  </si>
  <si>
    <t>jɔˈgɔ</t>
  </si>
  <si>
    <t>mɨʎuˈɾaɾ</t>
  </si>
  <si>
    <t>jɔ.ˈgɔ</t>
  </si>
  <si>
    <t>mɨ.ʎu.ˈɾaɾ</t>
  </si>
  <si>
    <t>melhorar</t>
  </si>
  <si>
    <t>to improve</t>
  </si>
  <si>
    <t>kaˈba</t>
  </si>
  <si>
    <t>ɐkɐˈbaɾ</t>
  </si>
  <si>
    <t>ka.ˈba</t>
  </si>
  <si>
    <t>ɐ.kɐ.ˈbaɾ</t>
  </si>
  <si>
    <t>acabar</t>
  </si>
  <si>
    <t>finish</t>
  </si>
  <si>
    <t>ˈba</t>
  </si>
  <si>
    <t>ˈbaɾ</t>
  </si>
  <si>
    <t>kɐ̃ˈta</t>
  </si>
  <si>
    <t>kɐ̃ˈtaɾ</t>
  </si>
  <si>
    <t>kɐ̃.ˈta</t>
  </si>
  <si>
    <t>kɐ̃.ˈtaɾ</t>
  </si>
  <si>
    <t>kɐ̃</t>
  </si>
  <si>
    <t>cantar</t>
  </si>
  <si>
    <t>sing</t>
  </si>
  <si>
    <t>kaˈza</t>
  </si>
  <si>
    <t>kɐˈzaɾ</t>
  </si>
  <si>
    <t>ka.ˈza</t>
  </si>
  <si>
    <t>kɐ.ˈzaɾ</t>
  </si>
  <si>
    <t>casar</t>
  </si>
  <si>
    <t>marry</t>
  </si>
  <si>
    <t>ˈzaɾ</t>
  </si>
  <si>
    <t>kɛˈba</t>
  </si>
  <si>
    <t>kɨˈbɾaɾ</t>
  </si>
  <si>
    <t>kɛ.ˈba</t>
  </si>
  <si>
    <t>kɨ.ˈbɾaɾ</t>
  </si>
  <si>
    <t>kɛ</t>
  </si>
  <si>
    <t>kɨ</t>
  </si>
  <si>
    <t>quebrar</t>
  </si>
  <si>
    <t>split</t>
  </si>
  <si>
    <t>ˈbɾaɾ</t>
  </si>
  <si>
    <t>ˈke:</t>
  </si>
  <si>
    <t>ˈkɾeɾ</t>
  </si>
  <si>
    <t>crer</t>
  </si>
  <si>
    <t>believe</t>
  </si>
  <si>
    <t>kɛˈma</t>
  </si>
  <si>
    <t>kejˈmaɾ</t>
  </si>
  <si>
    <t>kɛ.ˈma</t>
  </si>
  <si>
    <t>kej.ˈmaɾ</t>
  </si>
  <si>
    <t>kej</t>
  </si>
  <si>
    <t>queimar</t>
  </si>
  <si>
    <t>burn</t>
  </si>
  <si>
    <t>kjɛ̃ˈta</t>
  </si>
  <si>
    <t>ʃkẽˈtaɾ</t>
  </si>
  <si>
    <t>kjɛ̃.ˈta</t>
  </si>
  <si>
    <t>ʃ.kẽ.ˈtaɾ</t>
  </si>
  <si>
    <t>esquentar</t>
  </si>
  <si>
    <t>warm up</t>
  </si>
  <si>
    <t>kjɛ̃</t>
  </si>
  <si>
    <t>kẽ</t>
  </si>
  <si>
    <t>kjẽˈse</t>
  </si>
  <si>
    <t>ʃkɨˈseɾ</t>
  </si>
  <si>
    <t>kjẽ.ˈse</t>
  </si>
  <si>
    <t>ʃ.kɨ.ˈseɾ</t>
  </si>
  <si>
    <t>esquecer</t>
  </si>
  <si>
    <t>to forget</t>
  </si>
  <si>
    <t>kjẽ</t>
  </si>
  <si>
    <t>ˈseɾ</t>
  </si>
  <si>
    <t>ˈkje</t>
  </si>
  <si>
    <t>kɐˈiɾ</t>
  </si>
  <si>
    <t>kɐ.ˈiɾ</t>
  </si>
  <si>
    <t>cair</t>
  </si>
  <si>
    <t>fall</t>
  </si>
  <si>
    <t>ˈiɾ</t>
  </si>
  <si>
    <t>kaˈga</t>
  </si>
  <si>
    <t>kɐʀɨˈgaɾ</t>
  </si>
  <si>
    <t>ka.ˈga</t>
  </si>
  <si>
    <t>kɐ.ʀɨ.ˈgaɾ</t>
  </si>
  <si>
    <t>carregar</t>
  </si>
  <si>
    <t>load</t>
  </si>
  <si>
    <t>keˈse</t>
  </si>
  <si>
    <t>kɾɨʃˈseɾ</t>
  </si>
  <si>
    <t>ke.ˈse</t>
  </si>
  <si>
    <t>kɾɨʃ.ˈseɾ</t>
  </si>
  <si>
    <t>kɾɨʃ</t>
  </si>
  <si>
    <t>crescer</t>
  </si>
  <si>
    <t>grow</t>
  </si>
  <si>
    <t>ʀɐʃˈpaɾ</t>
  </si>
  <si>
    <t>ʀɐʃ.ˈpaɾ</t>
  </si>
  <si>
    <t>raspar</t>
  </si>
  <si>
    <t>scrape</t>
  </si>
  <si>
    <t>kõˈde</t>
  </si>
  <si>
    <t>ʃkõˈdeɾ</t>
  </si>
  <si>
    <t>kõ.ˈde</t>
  </si>
  <si>
    <t>ʃ.kõ.ˈdeɾ</t>
  </si>
  <si>
    <t>esconder</t>
  </si>
  <si>
    <t>hide</t>
  </si>
  <si>
    <t>kõ</t>
  </si>
  <si>
    <t>kõ</t>
  </si>
  <si>
    <t>ˈde</t>
  </si>
  <si>
    <t>kɔ̃ˈta</t>
  </si>
  <si>
    <t>ẽkõˈtɾaɾ</t>
  </si>
  <si>
    <t>kɔ̃.ˈta</t>
  </si>
  <si>
    <t>ẽ.kõ.ˈtɾaɾ</t>
  </si>
  <si>
    <t>kɔ̃</t>
  </si>
  <si>
    <t>encontrar</t>
  </si>
  <si>
    <t>to find</t>
  </si>
  <si>
    <t>ˈtɾaɾ</t>
  </si>
  <si>
    <t>koˈre</t>
  </si>
  <si>
    <t>ku'ʀeɾ</t>
  </si>
  <si>
    <t>ko.ˈre</t>
  </si>
  <si>
    <t>ku.'ʀeɾ</t>
  </si>
  <si>
    <t>correr</t>
  </si>
  <si>
    <t>To run</t>
  </si>
  <si>
    <t>ˈre</t>
  </si>
  <si>
    <t>ʀeɾ</t>
  </si>
  <si>
    <t>kɔˈta</t>
  </si>
  <si>
    <t>kuɾˈtaɾ</t>
  </si>
  <si>
    <t>kɔ.ˈta</t>
  </si>
  <si>
    <t>kuɾ.ˈtaɾ</t>
  </si>
  <si>
    <t>kuɾ</t>
  </si>
  <si>
    <t>cortar</t>
  </si>
  <si>
    <t>cut</t>
  </si>
  <si>
    <t>kɔˈsa</t>
  </si>
  <si>
    <t>kuˈsaɾ</t>
  </si>
  <si>
    <t>kɔ.ˈsa</t>
  </si>
  <si>
    <t>ku.ˈsaɾ</t>
  </si>
  <si>
    <t>coçar</t>
  </si>
  <si>
    <t>scratch</t>
  </si>
  <si>
    <t>koˈze</t>
  </si>
  <si>
    <t>kuˈzeɾ</t>
  </si>
  <si>
    <t>ko.ˈze</t>
  </si>
  <si>
    <t>ku.ˈzeɾ</t>
  </si>
  <si>
    <t>coser</t>
  </si>
  <si>
    <t>sew</t>
  </si>
  <si>
    <t>ˈzeɾ</t>
  </si>
  <si>
    <t>kuˈbi</t>
  </si>
  <si>
    <t>kuˈbɾiɾ</t>
  </si>
  <si>
    <t>ku.ˈbi</t>
  </si>
  <si>
    <t>ku.ˈbɾiɾ</t>
  </si>
  <si>
    <t>cobrir</t>
  </si>
  <si>
    <t>cover</t>
  </si>
  <si>
    <t>kuˈda</t>
  </si>
  <si>
    <t>kujˈdaɾ</t>
  </si>
  <si>
    <t>ku.ˈda</t>
  </si>
  <si>
    <t>kuj.ˈdaɾ</t>
  </si>
  <si>
    <t>kuj</t>
  </si>
  <si>
    <t>cuidar</t>
  </si>
  <si>
    <t>care</t>
  </si>
  <si>
    <t>kuˈdi</t>
  </si>
  <si>
    <t>ɐkuˈdiɾ</t>
  </si>
  <si>
    <t>ku.ˈdi</t>
  </si>
  <si>
    <t>ɐ.ku.ˈdiɾ</t>
  </si>
  <si>
    <t>acudir</t>
  </si>
  <si>
    <t>help</t>
  </si>
  <si>
    <t>ˈdi</t>
  </si>
  <si>
    <t>ˈdiɾ</t>
  </si>
  <si>
    <t>kuˈpa</t>
  </si>
  <si>
    <t>kulˈpaɾ</t>
  </si>
  <si>
    <t>ku.ˈpa</t>
  </si>
  <si>
    <t>kul.ˈpaɾ</t>
  </si>
  <si>
    <t>kul</t>
  </si>
  <si>
    <t>culpar</t>
  </si>
  <si>
    <t>to blame</t>
  </si>
  <si>
    <t>ˈpa</t>
  </si>
  <si>
    <t>ˈpaɾ</t>
  </si>
  <si>
    <t>kuˈmɛ</t>
  </si>
  <si>
    <t>kuˈmeɾ</t>
  </si>
  <si>
    <t>ku.ˈmɛ</t>
  </si>
  <si>
    <t>ku.ˈmeɾ</t>
  </si>
  <si>
    <t>comer</t>
  </si>
  <si>
    <t>to eat</t>
  </si>
  <si>
    <t>ˈmeɾ</t>
  </si>
  <si>
    <t>kuʃˈpiɾ</t>
  </si>
  <si>
    <t>kuʃ.ˈpiɾ</t>
  </si>
  <si>
    <t>kuʃ</t>
  </si>
  <si>
    <t>cuspir</t>
  </si>
  <si>
    <t>spit</t>
  </si>
  <si>
    <t>ˈpiɾ</t>
  </si>
  <si>
    <t>kuˈra</t>
  </si>
  <si>
    <t>kuˈɾaɾ</t>
  </si>
  <si>
    <t>ku.ˈra</t>
  </si>
  <si>
    <t>ku.ˈɾaɾ</t>
  </si>
  <si>
    <t>curar</t>
  </si>
  <si>
    <t>heal</t>
  </si>
  <si>
    <t>kuˈʒi</t>
  </si>
  <si>
    <t>ku.ˈʒi</t>
  </si>
  <si>
    <t>cozer</t>
  </si>
  <si>
    <t>ˈʒi</t>
  </si>
  <si>
    <t>laˈva</t>
  </si>
  <si>
    <t>lɐˈvaɾ</t>
  </si>
  <si>
    <t>la.ˈva</t>
  </si>
  <si>
    <t>lɐ.ˈvaɾ</t>
  </si>
  <si>
    <t>la</t>
  </si>
  <si>
    <t>lɐ</t>
  </si>
  <si>
    <t>lavar</t>
  </si>
  <si>
    <t>wash</t>
  </si>
  <si>
    <t>ˈva</t>
  </si>
  <si>
    <t>ˈvaɾ</t>
  </si>
  <si>
    <t>lɐ̃ˈda</t>
  </si>
  <si>
    <t>nɐˈdaɾ</t>
  </si>
  <si>
    <t>lɐ̃.ˈda</t>
  </si>
  <si>
    <t>nɐ.ˈdaɾ</t>
  </si>
  <si>
    <t>lɐ̃</t>
  </si>
  <si>
    <t>nadar</t>
  </si>
  <si>
    <t>to swim</t>
  </si>
  <si>
    <t>lɐ̃ˈsa</t>
  </si>
  <si>
    <t>lɐ̃ˈsaɾ</t>
  </si>
  <si>
    <t>lɐ̃.ˈsa</t>
  </si>
  <si>
    <t>lɐ̃.ˈsaɾ</t>
  </si>
  <si>
    <t>lançar</t>
  </si>
  <si>
    <t>to throw up</t>
  </si>
  <si>
    <t>laˈta</t>
  </si>
  <si>
    <t>lɨvɐ̃ˈtaɾ</t>
  </si>
  <si>
    <t>la.ˈta</t>
  </si>
  <si>
    <t>lɨ.vɐ̃.ˈtaɾ</t>
  </si>
  <si>
    <t>levantar</t>
  </si>
  <si>
    <t>get up</t>
  </si>
  <si>
    <t>vɐ̃</t>
  </si>
  <si>
    <t>lɔˈlɔ</t>
  </si>
  <si>
    <t>lɐ̃ˈbeɾ</t>
  </si>
  <si>
    <t>lɔ.ˈlɔ</t>
  </si>
  <si>
    <t>lɐ̃.ˈbeɾ</t>
  </si>
  <si>
    <t>lamber</t>
  </si>
  <si>
    <t>lick</t>
  </si>
  <si>
    <t>luˈʒi</t>
  </si>
  <si>
    <t>luˈziɾ</t>
  </si>
  <si>
    <t>lu.ˈʒi</t>
  </si>
  <si>
    <t>lu.ˈziɾ</t>
  </si>
  <si>
    <t>luzir</t>
  </si>
  <si>
    <t>shine</t>
  </si>
  <si>
    <t>ˈziɾ</t>
  </si>
  <si>
    <t>maˈra</t>
  </si>
  <si>
    <t>ɐmaˈʀaɾ</t>
  </si>
  <si>
    <t>ma.ˈra</t>
  </si>
  <si>
    <t>ɐ.ma.ˈʀaɾ</t>
  </si>
  <si>
    <t>amarrar</t>
  </si>
  <si>
    <t>tie</t>
  </si>
  <si>
    <t>ˈʀaɾ</t>
  </si>
  <si>
    <t>ˈmɛ̃du</t>
  </si>
  <si>
    <t>tɾɨˈmẽdu</t>
  </si>
  <si>
    <t>ˈmɛ̃.du</t>
  </si>
  <si>
    <t>tɾɨ.ˈmẽ.du</t>
  </si>
  <si>
    <t>tɾɨ</t>
  </si>
  <si>
    <t>tremendo</t>
  </si>
  <si>
    <t>to fear</t>
  </si>
  <si>
    <t>ˈmẽ</t>
  </si>
  <si>
    <t>meˈse</t>
  </si>
  <si>
    <t>mɨɾɨˈseɾ</t>
  </si>
  <si>
    <t>me.ˈse</t>
  </si>
  <si>
    <t>mɨ.ɾɨ.ˈseɾ</t>
  </si>
  <si>
    <t>me</t>
  </si>
  <si>
    <t>merecer</t>
  </si>
  <si>
    <t>to want</t>
  </si>
  <si>
    <t>ɾɨ</t>
  </si>
  <si>
    <t>mĩˈgwa</t>
  </si>
  <si>
    <t>mĩˈgwaɾ</t>
  </si>
  <si>
    <t>mĩ.ˈgwa</t>
  </si>
  <si>
    <t>mĩ.ˈgwaɾ</t>
  </si>
  <si>
    <t>mĩ</t>
  </si>
  <si>
    <t>minguar</t>
  </si>
  <si>
    <t>wane</t>
  </si>
  <si>
    <t>ˈgwa</t>
  </si>
  <si>
    <t>ˈgwaɾ</t>
  </si>
  <si>
    <t>moˈde</t>
  </si>
  <si>
    <t>muɾˈdeɾ</t>
  </si>
  <si>
    <t>mo.ˈde</t>
  </si>
  <si>
    <t>muɾ.ˈdeɾ</t>
  </si>
  <si>
    <t>mo</t>
  </si>
  <si>
    <t>morder</t>
  </si>
  <si>
    <t>to bite</t>
  </si>
  <si>
    <t>ˈgɐ̃</t>
  </si>
  <si>
    <t>gɐˈɲaɾ</t>
  </si>
  <si>
    <t>gɐ.ˈɲaɾ</t>
  </si>
  <si>
    <t>ganhar</t>
  </si>
  <si>
    <t>to earn</t>
  </si>
  <si>
    <t>ˈɲaɾ</t>
  </si>
  <si>
    <t>ŋgɔˈma</t>
  </si>
  <si>
    <t>ẽguˈmaɾ</t>
  </si>
  <si>
    <t>ŋgɔ.ˈma</t>
  </si>
  <si>
    <t>ẽ.gu.ˈmaɾ</t>
  </si>
  <si>
    <t>engomar</t>
  </si>
  <si>
    <t>iron</t>
  </si>
  <si>
    <t>ŋgɔ</t>
  </si>
  <si>
    <t>gumiˈta</t>
  </si>
  <si>
    <t>vumiˈtaɾ</t>
  </si>
  <si>
    <t>gu.mi.ˈta</t>
  </si>
  <si>
    <t>vu.mi.ˈtaɾ</t>
  </si>
  <si>
    <t>vomitar</t>
  </si>
  <si>
    <t>ntɛˈra</t>
  </si>
  <si>
    <t>ẽtɨˈʀaɾ</t>
  </si>
  <si>
    <t>ntɛ.ˈra</t>
  </si>
  <si>
    <t>ẽ.tɨ.ˈʀaɾ</t>
  </si>
  <si>
    <t>ntɛ</t>
  </si>
  <si>
    <t>enterrar</t>
  </si>
  <si>
    <t>bury</t>
  </si>
  <si>
    <t>obiˈga</t>
  </si>
  <si>
    <t>obɾiˈgaɾ</t>
  </si>
  <si>
    <t>o.bi.ˈga</t>
  </si>
  <si>
    <t>o.bɾi.ˈgaɾ</t>
  </si>
  <si>
    <t>obrigar</t>
  </si>
  <si>
    <t>force</t>
  </si>
  <si>
    <t>bɾi</t>
  </si>
  <si>
    <t>paˈga</t>
  </si>
  <si>
    <t>ɐpɐˈgaɾ</t>
  </si>
  <si>
    <t>pa.ˈga</t>
  </si>
  <si>
    <t>ɐ.pɐ.ˈgaɾ</t>
  </si>
  <si>
    <t>apagar</t>
  </si>
  <si>
    <t>delete</t>
  </si>
  <si>
    <t>pa</t>
  </si>
  <si>
    <t>paˈpa</t>
  </si>
  <si>
    <t>pɐˈpaɾ</t>
  </si>
  <si>
    <t>pa.ˈpa</t>
  </si>
  <si>
    <t>pɐ.ˈpaɾ</t>
  </si>
  <si>
    <t>papar</t>
  </si>
  <si>
    <t>chew</t>
  </si>
  <si>
    <t>pareˈse</t>
  </si>
  <si>
    <t>ɐpɐɾɨˈseɾ</t>
  </si>
  <si>
    <t>pa.re.ˈse</t>
  </si>
  <si>
    <t>ɐ.pɐ.ɾɨ.ˈseɾ</t>
  </si>
  <si>
    <t>aparecer</t>
  </si>
  <si>
    <t>to appear</t>
  </si>
  <si>
    <t>re</t>
  </si>
  <si>
    <t>piˈdi</t>
  </si>
  <si>
    <t>pɨˈdiɾ</t>
  </si>
  <si>
    <t>pi.ˈdi</t>
  </si>
  <si>
    <t>pɨ.ˈdiɾ</t>
  </si>
  <si>
    <t>pedir</t>
  </si>
  <si>
    <t>ask</t>
  </si>
  <si>
    <t>piˈka</t>
  </si>
  <si>
    <t>piˈkaɾ</t>
  </si>
  <si>
    <t>pi.ˈka</t>
  </si>
  <si>
    <t>pi.ˈkaɾ</t>
  </si>
  <si>
    <t>picar</t>
  </si>
  <si>
    <t>dive</t>
  </si>
  <si>
    <t>pĩˈsa</t>
  </si>
  <si>
    <t>ẽpuˈʀaɾ</t>
  </si>
  <si>
    <t>pĩ.ˈsa</t>
  </si>
  <si>
    <t>ẽ.pu.ˈʀaɾ</t>
  </si>
  <si>
    <t>empurrar</t>
  </si>
  <si>
    <t>to push</t>
  </si>
  <si>
    <t>pĩ</t>
  </si>
  <si>
    <t>pɛˈga</t>
  </si>
  <si>
    <t>pɾɨˈgaɾ</t>
  </si>
  <si>
    <t>pɛ.ˈga</t>
  </si>
  <si>
    <t>pɾɨ.ˈgaɾ</t>
  </si>
  <si>
    <t>pregar</t>
  </si>
  <si>
    <t>pin</t>
  </si>
  <si>
    <t>peˈde</t>
  </si>
  <si>
    <t>pɨɾˈdeɾ</t>
  </si>
  <si>
    <t>pe.ˈde</t>
  </si>
  <si>
    <t>pɨɾ.ˈdeɾ</t>
  </si>
  <si>
    <t>pe</t>
  </si>
  <si>
    <t>perder</t>
  </si>
  <si>
    <t>to lose</t>
  </si>
  <si>
    <t>pɛˈsa</t>
  </si>
  <si>
    <t>ẽpɾɨʃˈtaɾ</t>
  </si>
  <si>
    <t>pɛ.ˈsa</t>
  </si>
  <si>
    <t>ẽ.pɾɨʃ.ˈtaɾ</t>
  </si>
  <si>
    <t>emprestar</t>
  </si>
  <si>
    <t>to borrow</t>
  </si>
  <si>
    <t>pɾɨʃ</t>
  </si>
  <si>
    <t>pu:ˈga</t>
  </si>
  <si>
    <t>puɾ'gaɾ</t>
  </si>
  <si>
    <t>pu:.ˈga</t>
  </si>
  <si>
    <t>puɾ.ˈgaɾ</t>
  </si>
  <si>
    <t>pu:</t>
  </si>
  <si>
    <t>puɾ</t>
  </si>
  <si>
    <t>purgar</t>
  </si>
  <si>
    <t>purge</t>
  </si>
  <si>
    <t>raˈla</t>
  </si>
  <si>
    <t>ʀɐˈlaɾ</t>
  </si>
  <si>
    <t>ra.ˈla</t>
  </si>
  <si>
    <t>ʀɐ.ˈlaɾ</t>
  </si>
  <si>
    <t>ralar</t>
  </si>
  <si>
    <t>grate</t>
  </si>
  <si>
    <t>ˈla</t>
  </si>
  <si>
    <t>rɐ̃ˈka</t>
  </si>
  <si>
    <t>aʀɐ̃ˈkaɾ</t>
  </si>
  <si>
    <t>rɐ̃.ˈka</t>
  </si>
  <si>
    <t>a.ʀɐ̃.ˈkaɾ</t>
  </si>
  <si>
    <t>arrancar</t>
  </si>
  <si>
    <t>pluck out</t>
  </si>
  <si>
    <t>rɐ̃</t>
  </si>
  <si>
    <t>ʀɐ̃</t>
  </si>
  <si>
    <t>rɛˈma</t>
  </si>
  <si>
    <t>ʀɨˈmaɾ</t>
  </si>
  <si>
    <t>rɛ.ˈma</t>
  </si>
  <si>
    <t>ʀɨ.ˈmaɾ</t>
  </si>
  <si>
    <t>rɛ</t>
  </si>
  <si>
    <t>remar</t>
  </si>
  <si>
    <t>row</t>
  </si>
  <si>
    <t>reˈge</t>
  </si>
  <si>
    <t>iɾˈgeɾ</t>
  </si>
  <si>
    <t>re.ˈge</t>
  </si>
  <si>
    <t>iɾ.ˈgeɾ</t>
  </si>
  <si>
    <t>iɾ</t>
  </si>
  <si>
    <t>erguer</t>
  </si>
  <si>
    <t>raise</t>
  </si>
  <si>
    <t>ˈge</t>
  </si>
  <si>
    <t>ˈgeɾ</t>
  </si>
  <si>
    <t>rɔ̃ˈka</t>
  </si>
  <si>
    <t>ʀõˈkaɾ</t>
  </si>
  <si>
    <t>rɔ̃.ˈka</t>
  </si>
  <si>
    <t>ʀõ.ˈkaɾ</t>
  </si>
  <si>
    <t>rɔ̃</t>
  </si>
  <si>
    <t>ʀõ</t>
  </si>
  <si>
    <t>roncar</t>
  </si>
  <si>
    <t>snore</t>
  </si>
  <si>
    <t>ruˈma</t>
  </si>
  <si>
    <t>aʀuˈmaɾ</t>
  </si>
  <si>
    <t>ru.ˈma</t>
  </si>
  <si>
    <t>a.ʀu.ˈmaɾ</t>
  </si>
  <si>
    <t>arrumar</t>
  </si>
  <si>
    <t>tidy up</t>
  </si>
  <si>
    <t>ru</t>
  </si>
  <si>
    <t>saˈgwa</t>
  </si>
  <si>
    <t>ẽʃɐˈgwaɾ</t>
  </si>
  <si>
    <t>sa.ˈgwa</t>
  </si>
  <si>
    <t>ẽ.ʃɐ.ˈgwaɾ</t>
  </si>
  <si>
    <t>enxaguar</t>
  </si>
  <si>
    <t>rinse</t>
  </si>
  <si>
    <t>ʃɐ</t>
  </si>
  <si>
    <t>ˈsa:</t>
  </si>
  <si>
    <t>puˈʃaɾ</t>
  </si>
  <si>
    <t>pu.ˈʃaɾ</t>
  </si>
  <si>
    <t>puxar</t>
  </si>
  <si>
    <t>to pull</t>
  </si>
  <si>
    <t>sakuˈdi</t>
  </si>
  <si>
    <t>sɐkuˈdiɾ</t>
  </si>
  <si>
    <t>sa.ku.ˈdi</t>
  </si>
  <si>
    <t>sɐ.ku.ˈdiɾ</t>
  </si>
  <si>
    <t>sacudir</t>
  </si>
  <si>
    <t>saˈga</t>
  </si>
  <si>
    <t>salˈgaɾ</t>
  </si>
  <si>
    <t>sa.ˈga</t>
  </si>
  <si>
    <t>sal.ˈgaɾ</t>
  </si>
  <si>
    <t>salgar</t>
  </si>
  <si>
    <t>saˈta</t>
  </si>
  <si>
    <t>salˈtaɾ</t>
  </si>
  <si>
    <t>sa.ˈta</t>
  </si>
  <si>
    <t>sal.ˈtaɾ</t>
  </si>
  <si>
    <t>saltar</t>
  </si>
  <si>
    <t>jump</t>
  </si>
  <si>
    <t>saˈva</t>
  </si>
  <si>
    <t>salˈvaɾ</t>
  </si>
  <si>
    <t>sa.ˈva</t>
  </si>
  <si>
    <t>sal.ˈvaɾ</t>
  </si>
  <si>
    <t>salvar</t>
  </si>
  <si>
    <t>save</t>
  </si>
  <si>
    <t>saˈma</t>
  </si>
  <si>
    <t>t̠ʃɐˈmaɾ</t>
  </si>
  <si>
    <t>sa.ˈma</t>
  </si>
  <si>
    <t>t̠ʃɐ.ˈmaɾ</t>
  </si>
  <si>
    <t>t̠ʃɐ</t>
  </si>
  <si>
    <t>chamar</t>
  </si>
  <si>
    <t>call</t>
  </si>
  <si>
    <t>seˈgwa</t>
  </si>
  <si>
    <t>sɨɡuˈɾaɾ</t>
  </si>
  <si>
    <t>se.ˈgwa</t>
  </si>
  <si>
    <t>sɨ.ɡu.ˈɾaɾ</t>
  </si>
  <si>
    <t>se</t>
  </si>
  <si>
    <t>segurar</t>
  </si>
  <si>
    <t>hold</t>
  </si>
  <si>
    <t>ɡu</t>
  </si>
  <si>
    <t>sẽˈde</t>
  </si>
  <si>
    <t>ɐsẽˈdeɾ</t>
  </si>
  <si>
    <t>sẽ.ˈde</t>
  </si>
  <si>
    <t>ɐ.sẽ.ˈdeɾ</t>
  </si>
  <si>
    <t>acender</t>
  </si>
  <si>
    <t>light up</t>
  </si>
  <si>
    <t>sẽ</t>
  </si>
  <si>
    <t>sɛˈra</t>
  </si>
  <si>
    <t>ʃɐjˈɾaɾ</t>
  </si>
  <si>
    <t>sɛ.ˈra</t>
  </si>
  <si>
    <t>ʃɐj.ˈɾaɾ</t>
  </si>
  <si>
    <t>ʃɐj</t>
  </si>
  <si>
    <t>cheirar</t>
  </si>
  <si>
    <t>smell</t>
  </si>
  <si>
    <t>ʃiˈga</t>
  </si>
  <si>
    <t>ʃɨˈɡaɾ</t>
  </si>
  <si>
    <t>ʃi.ˈga</t>
  </si>
  <si>
    <t>ʃɨ.ˈɡaɾ</t>
  </si>
  <si>
    <t>chegar</t>
  </si>
  <si>
    <t>arrive</t>
  </si>
  <si>
    <t>ˈɡaɾ</t>
  </si>
  <si>
    <t>ʃikaˈpa</t>
  </si>
  <si>
    <t>ʃkɐˈpaɾ</t>
  </si>
  <si>
    <t>ʃi.ka.ˈpa</t>
  </si>
  <si>
    <t>ʃ.kɐ.ˈpaɾ</t>
  </si>
  <si>
    <t>escapar</t>
  </si>
  <si>
    <t>escape</t>
  </si>
  <si>
    <t>ʃikeˈve</t>
  </si>
  <si>
    <t>ʃkɾɨˈveɾ</t>
  </si>
  <si>
    <t>ʃi.ke.ˈve</t>
  </si>
  <si>
    <t>ʃ.kɾɨ.ˈveɾ</t>
  </si>
  <si>
    <t>escrever</t>
  </si>
  <si>
    <t>write</t>
  </si>
  <si>
    <t>kɾɨ</t>
  </si>
  <si>
    <t>ʃiˈmja</t>
  </si>
  <si>
    <t>sɨmiˈaɾ</t>
  </si>
  <si>
    <t>ʃi.ˈmja</t>
  </si>
  <si>
    <t>sɨ.mi.ˈaɾ</t>
  </si>
  <si>
    <t>semear</t>
  </si>
  <si>
    <t>plant</t>
  </si>
  <si>
    <t>ˈmja</t>
  </si>
  <si>
    <t>ʃuˈɾaɾ</t>
  </si>
  <si>
    <t>ʃu.ˈɾaɾ</t>
  </si>
  <si>
    <t>chorar</t>
  </si>
  <si>
    <t>cry</t>
  </si>
  <si>
    <t>sɔ̃mˈba</t>
  </si>
  <si>
    <t>ɐsõˈbɾaɾ</t>
  </si>
  <si>
    <t>sɔ̃m.ˈba</t>
  </si>
  <si>
    <t>ɐ.sõ.ˈbɾaɾ</t>
  </si>
  <si>
    <t>assombrar</t>
  </si>
  <si>
    <t>haunt</t>
  </si>
  <si>
    <t>sɔ̃m</t>
  </si>
  <si>
    <t>sõ</t>
  </si>
  <si>
    <t>sɔˈpa</t>
  </si>
  <si>
    <t>suˈpɾaɾ</t>
  </si>
  <si>
    <t>sɔ.ˈpa</t>
  </si>
  <si>
    <t>su.ˈpɾaɾ</t>
  </si>
  <si>
    <t>sɔ</t>
  </si>
  <si>
    <t>soprar</t>
  </si>
  <si>
    <t>to blow</t>
  </si>
  <si>
    <t>ˈpɾaɾ</t>
  </si>
  <si>
    <t>suˈbi</t>
  </si>
  <si>
    <t>suˈbiɾ</t>
  </si>
  <si>
    <t>su.ˈbi</t>
  </si>
  <si>
    <t>su.ˈbiɾ</t>
  </si>
  <si>
    <t>subir</t>
  </si>
  <si>
    <t>move up</t>
  </si>
  <si>
    <t>ˈbiɾ</t>
  </si>
  <si>
    <t>suˈga</t>
  </si>
  <si>
    <t>ẽʃuˈgaɾ</t>
  </si>
  <si>
    <t>su.ˈga</t>
  </si>
  <si>
    <t>ẽ.ʃu.ˈgaɾ</t>
  </si>
  <si>
    <t>enxugar</t>
  </si>
  <si>
    <t>wipe</t>
  </si>
  <si>
    <t>suˈpa</t>
  </si>
  <si>
    <t>ʃuˈpaɾ</t>
  </si>
  <si>
    <t>su.ˈpa</t>
  </si>
  <si>
    <t>ʃu.ˈpaɾ</t>
  </si>
  <si>
    <t>chupar</t>
  </si>
  <si>
    <t>suck</t>
  </si>
  <si>
    <t>ˈswa</t>
  </si>
  <si>
    <t>suˈaɾ</t>
  </si>
  <si>
    <t>su.ˈaɾ</t>
  </si>
  <si>
    <t>suar</t>
  </si>
  <si>
    <t>sweat</t>
  </si>
  <si>
    <t>tuˈsɐ̃</t>
  </si>
  <si>
    <t>sẽˈtaɾ</t>
  </si>
  <si>
    <t>tu.ˈsɐ̃</t>
  </si>
  <si>
    <t>sẽ.ˈtaɾ</t>
  </si>
  <si>
    <t>sentar</t>
  </si>
  <si>
    <t>sit</t>
  </si>
  <si>
    <t>ter</t>
  </si>
  <si>
    <t>have</t>
  </si>
  <si>
    <t>tẽˈde</t>
  </si>
  <si>
    <t>ẽtẽˈdeɾ</t>
  </si>
  <si>
    <t>tẽ.ˈde</t>
  </si>
  <si>
    <t>ẽ.tẽ.ˈdeɾ</t>
  </si>
  <si>
    <t>ouvir</t>
  </si>
  <si>
    <t>to listen</t>
  </si>
  <si>
    <t>tẽ</t>
  </si>
  <si>
    <t>ˈt̠ʃa</t>
  </si>
  <si>
    <t>tiˈɾaɾ</t>
  </si>
  <si>
    <t>ti.ˈɾaɾ</t>
  </si>
  <si>
    <t>ti</t>
  </si>
  <si>
    <t>tirar</t>
  </si>
  <si>
    <t>remove</t>
  </si>
  <si>
    <t>tɔˈbja</t>
  </si>
  <si>
    <t>tɾɐbɐˈʎaɾ</t>
  </si>
  <si>
    <t>tɔ.ˈbja</t>
  </si>
  <si>
    <t>tɾɐ.bɐ.ˈʎaɾ</t>
  </si>
  <si>
    <t>tɔ</t>
  </si>
  <si>
    <t>tɾɐ</t>
  </si>
  <si>
    <t>trabalhar</t>
  </si>
  <si>
    <t>to work</t>
  </si>
  <si>
    <t>ˈbja</t>
  </si>
  <si>
    <t>tɔˈra</t>
  </si>
  <si>
    <t>tuˈʀaɾ</t>
  </si>
  <si>
    <t>tɔ.ˈra</t>
  </si>
  <si>
    <t>tu.ˈʀaɾ</t>
  </si>
  <si>
    <t>torrar</t>
  </si>
  <si>
    <t>toast</t>
  </si>
  <si>
    <t>zuˈda</t>
  </si>
  <si>
    <t>ɐʒuˈdaɾ</t>
  </si>
  <si>
    <t>zu.ˈda</t>
  </si>
  <si>
    <t>ɐ.ʒu.ˈdaɾ</t>
  </si>
  <si>
    <t>ajudar</t>
  </si>
  <si>
    <t>zu</t>
  </si>
  <si>
    <t>fiˈmĩgɐ</t>
  </si>
  <si>
    <t>fuɾˈmigɐ</t>
  </si>
  <si>
    <t>fi.ˈmĩ.gɐ</t>
  </si>
  <si>
    <t>fuɾ.ˈmi.gɐ</t>
  </si>
  <si>
    <t>formiga</t>
  </si>
  <si>
    <t>ant</t>
  </si>
  <si>
    <t>ˈmĩ</t>
  </si>
  <si>
    <t>iˈdu</t>
  </si>
  <si>
    <t>piˈoʎu</t>
  </si>
  <si>
    <t>i.ˈdu</t>
  </si>
  <si>
    <t>pi.ˈo.ʎu</t>
  </si>
  <si>
    <t>piolho</t>
  </si>
  <si>
    <t>lice</t>
  </si>
  <si>
    <t>sɛ̃ˈkwa</t>
  </si>
  <si>
    <t>pɨɾsɨˈvɐjʒu</t>
  </si>
  <si>
    <t>sɛ̃.ˈkwa</t>
  </si>
  <si>
    <t>pɨɾ.sɨ.ˈvɐj.ʒu</t>
  </si>
  <si>
    <t>percevejo</t>
  </si>
  <si>
    <t>bug</t>
  </si>
  <si>
    <t>bũˈbu</t>
  </si>
  <si>
    <t>ɐˈbɐʎɐ</t>
  </si>
  <si>
    <t>bũ.ˈbu</t>
  </si>
  <si>
    <t>ɐ.ˈbɐ.ʎɐ</t>
  </si>
  <si>
    <t>abelha</t>
  </si>
  <si>
    <t>bee</t>
  </si>
  <si>
    <t>deˈfũtu</t>
  </si>
  <si>
    <t>dɨˈfũtu</t>
  </si>
  <si>
    <t>de.ˈfũ.tu</t>
  </si>
  <si>
    <t>dɨ.ˈfũ.tu</t>
  </si>
  <si>
    <t>defunto</t>
  </si>
  <si>
    <t>deceased</t>
  </si>
  <si>
    <t>ˈfũ</t>
  </si>
  <si>
    <t>ˈbwɛvɐ</t>
  </si>
  <si>
    <t>ˈgɛmiu</t>
  </si>
  <si>
    <t>ˈbwɛ.vɐ</t>
  </si>
  <si>
    <t>ˈgɛ.mi.u</t>
  </si>
  <si>
    <t xml:space="preserve">gémeo </t>
  </si>
  <si>
    <t>twin</t>
  </si>
  <si>
    <t>ˈminu</t>
  </si>
  <si>
    <t>mɨˈninu</t>
  </si>
  <si>
    <t>ˈmi.nu</t>
  </si>
  <si>
    <t>mɨ.ˈni.nu</t>
  </si>
  <si>
    <t>menino</t>
  </si>
  <si>
    <t>child</t>
  </si>
  <si>
    <t>ˈni</t>
  </si>
  <si>
    <t>ˈmjɛ</t>
  </si>
  <si>
    <t>muˈʎeɾ</t>
  </si>
  <si>
    <t>mu.ˈʎeɾ</t>
  </si>
  <si>
    <t>mulher</t>
  </si>
  <si>
    <t>woman</t>
  </si>
  <si>
    <t>ˈʎeɾ</t>
  </si>
  <si>
    <t>nĩˈŋge</t>
  </si>
  <si>
    <t>nĩˈgɐ̃j̃</t>
  </si>
  <si>
    <t>nĩ.ˈŋge</t>
  </si>
  <si>
    <t>nĩ.ˈgɐ̃j̃</t>
  </si>
  <si>
    <t>nĩ</t>
  </si>
  <si>
    <t>alguém</t>
  </si>
  <si>
    <t>someone</t>
  </si>
  <si>
    <t>ˈŋge</t>
  </si>
  <si>
    <t>ˈgɐ̃j̃</t>
  </si>
  <si>
    <t>ɔˈmi</t>
  </si>
  <si>
    <t>ˈomɐ̃j̃</t>
  </si>
  <si>
    <t>ɔ.ˈmi</t>
  </si>
  <si>
    <t>ˈo.mɐ̃j̃</t>
  </si>
  <si>
    <t>homem</t>
  </si>
  <si>
    <t>man</t>
  </si>
  <si>
    <t>viˈd̠ʒĩ</t>
  </si>
  <si>
    <t>viˈziɲu</t>
  </si>
  <si>
    <t>vi.ˈd̠ʒĩ</t>
  </si>
  <si>
    <t>vi.ˈzi.ɲu</t>
  </si>
  <si>
    <t xml:space="preserve">methatesis </t>
  </si>
  <si>
    <t>vizinho</t>
  </si>
  <si>
    <t>neighbor</t>
  </si>
  <si>
    <t>ˈzi</t>
  </si>
  <si>
    <t>ˈd̠ʒĩ</t>
  </si>
  <si>
    <t>ɲu</t>
  </si>
  <si>
    <t>aʀimɐ̃ˈzɛ̃</t>
  </si>
  <si>
    <t>aɾmɐˈzɐ̃j̃</t>
  </si>
  <si>
    <t>a.ʀi.mɐ̃.ˈzɛ̃</t>
  </si>
  <si>
    <t>aɾ.mɐ.ˈzɐ̃j̃</t>
  </si>
  <si>
    <t>aɾ</t>
  </si>
  <si>
    <t>armazém</t>
  </si>
  <si>
    <t>warehouse</t>
  </si>
  <si>
    <t>ʀi</t>
  </si>
  <si>
    <t>ˈzɛ̃</t>
  </si>
  <si>
    <t>ˈzɐ̃j̃</t>
  </si>
  <si>
    <t>ˈpɔ̃t̠ʃivaˈpo</t>
  </si>
  <si>
    <t>ˈpõtɨ vɐˈpoɾ</t>
  </si>
  <si>
    <t>ˈpɔ̃.t̠ʃi.va ˈpo</t>
  </si>
  <si>
    <t>ˈpõ.tɨ vɐ.ˈpoɾ</t>
  </si>
  <si>
    <t>ˈpɔ̃</t>
  </si>
  <si>
    <t>ˈpõ</t>
  </si>
  <si>
    <t>cais</t>
  </si>
  <si>
    <t>pier</t>
  </si>
  <si>
    <t>va</t>
  </si>
  <si>
    <t>ˈpo</t>
  </si>
  <si>
    <t>ˈfja</t>
  </si>
  <si>
    <t>ˈfejɾɐ</t>
  </si>
  <si>
    <t>ˈfej.ɾɐ</t>
  </si>
  <si>
    <t>ˈfej</t>
  </si>
  <si>
    <t>feira</t>
  </si>
  <si>
    <t>market</t>
  </si>
  <si>
    <t>ˈge:zɐ</t>
  </si>
  <si>
    <t>iˈgɾɐjʒɐ</t>
  </si>
  <si>
    <t>ˈge:.zɐ</t>
  </si>
  <si>
    <t>i.ˈgɾɐj.ʒɐ</t>
  </si>
  <si>
    <t>igreja</t>
  </si>
  <si>
    <t>church</t>
  </si>
  <si>
    <t>ˈge:</t>
  </si>
  <si>
    <t>ˈgɾɐj</t>
  </si>
  <si>
    <t>kaˈd̠ʒja</t>
  </si>
  <si>
    <t>kɐˈdejɐ</t>
  </si>
  <si>
    <t>ka.ˈd̠ʒja</t>
  </si>
  <si>
    <t>kɐ.ˈdej.ɐ</t>
  </si>
  <si>
    <t>cadeia</t>
  </si>
  <si>
    <t>prison</t>
  </si>
  <si>
    <t>ˈd̠ʒja</t>
  </si>
  <si>
    <t>ˈdej</t>
  </si>
  <si>
    <t>ˈkaʃi</t>
  </si>
  <si>
    <t>ˈkazɐ</t>
  </si>
  <si>
    <t>ˈka.ʃi</t>
  </si>
  <si>
    <t>ˈka.zɐ</t>
  </si>
  <si>
    <t>casa</t>
  </si>
  <si>
    <t>house</t>
  </si>
  <si>
    <t>oˈvjo</t>
  </si>
  <si>
    <t>fluˈɾeʃtɐ</t>
  </si>
  <si>
    <t>o.ˈvjo</t>
  </si>
  <si>
    <t>flu.ˈɾeʃ.tɐ</t>
  </si>
  <si>
    <t>floresta</t>
  </si>
  <si>
    <t>forest</t>
  </si>
  <si>
    <t>kuˈʃɐ̃</t>
  </si>
  <si>
    <t>kuˈziɲɐ</t>
  </si>
  <si>
    <t>ku.ˈʃɐ̃</t>
  </si>
  <si>
    <t>ku.ˈzi.ɲɐ</t>
  </si>
  <si>
    <t>cozinha</t>
  </si>
  <si>
    <t>kitchen</t>
  </si>
  <si>
    <t>ˈʃɐ̃</t>
  </si>
  <si>
    <t>uˈkwatu</t>
  </si>
  <si>
    <t>ˈkwaɾtu</t>
  </si>
  <si>
    <t>u.ˈkwa.tu</t>
  </si>
  <si>
    <t>ˈkwaɾ.tu</t>
  </si>
  <si>
    <t>ˈkwaɾ</t>
  </si>
  <si>
    <t>quarto</t>
  </si>
  <si>
    <t>room</t>
  </si>
  <si>
    <t>ˈkwa</t>
  </si>
  <si>
    <t>ˈugɐ</t>
  </si>
  <si>
    <t>ˈʀuɐ</t>
  </si>
  <si>
    <t>ˈu.gɐ</t>
  </si>
  <si>
    <t>ˈʀu.ɐ</t>
  </si>
  <si>
    <t>ˈʀu</t>
  </si>
  <si>
    <t>rua</t>
  </si>
  <si>
    <t>street</t>
  </si>
  <si>
    <t>ˈmuro</t>
  </si>
  <si>
    <t>ˈmuɾu</t>
  </si>
  <si>
    <t>ˈmu.ro</t>
  </si>
  <si>
    <t>ˈmu.ɾu</t>
  </si>
  <si>
    <t>muro</t>
  </si>
  <si>
    <t>wall</t>
  </si>
  <si>
    <t>ro</t>
  </si>
  <si>
    <t>ɾu</t>
  </si>
  <si>
    <t>ˈpa:sɐ</t>
  </si>
  <si>
    <t>ˈpɾasɐ</t>
  </si>
  <si>
    <t>ˈpa:.sɐ</t>
  </si>
  <si>
    <t>ˈpɾa.sɐ</t>
  </si>
  <si>
    <t>praça</t>
  </si>
  <si>
    <t>square</t>
  </si>
  <si>
    <t>pɔˈsɐ̃</t>
  </si>
  <si>
    <t>puvuɐˈsɐ̃w̃</t>
  </si>
  <si>
    <t>pɔ.ˈsɐ̃</t>
  </si>
  <si>
    <t>pu.vu.ɐ.ˈsɐ̃w̃</t>
  </si>
  <si>
    <t>pɔ</t>
  </si>
  <si>
    <t>povoação</t>
  </si>
  <si>
    <t>city</t>
  </si>
  <si>
    <t>pɔˈtɐ̃</t>
  </si>
  <si>
    <t>puɾˈtɐ̃w̃</t>
  </si>
  <si>
    <t>pɔ.ˈtɐ̃</t>
  </si>
  <si>
    <t>puɾ.ˈtɐ̃w̃</t>
  </si>
  <si>
    <t>portão</t>
  </si>
  <si>
    <t>gate</t>
  </si>
  <si>
    <t>ˈtɐ̃</t>
  </si>
  <si>
    <t>ˈtɐ̃w̃</t>
  </si>
  <si>
    <t>ˈsalɐ</t>
  </si>
  <si>
    <t>ˈsa.lɐ</t>
  </si>
  <si>
    <t>sala</t>
  </si>
  <si>
    <t>living room</t>
  </si>
  <si>
    <t>sɐ̃ˈzalɐ</t>
  </si>
  <si>
    <t>sẽˈzalɐ</t>
  </si>
  <si>
    <t>sɐ̃.ˈza.lɐ</t>
  </si>
  <si>
    <t>sẽ.ˈza.lɐ</t>
  </si>
  <si>
    <t>sɐ̃</t>
  </si>
  <si>
    <t>senzala</t>
  </si>
  <si>
    <t>slave quarters</t>
  </si>
  <si>
    <t>ʃimĩˈtɛw</t>
  </si>
  <si>
    <t>sɨmiˈtɛɾiu</t>
  </si>
  <si>
    <t>ʃi.mĩ.ˈtɛw</t>
  </si>
  <si>
    <t>sɨ.mi.ˈtɛ.ɾi.u</t>
  </si>
  <si>
    <t>cemitério</t>
  </si>
  <si>
    <t>cemetery</t>
  </si>
  <si>
    <t>ˈtɛw</t>
  </si>
  <si>
    <t>ˈtɛ</t>
  </si>
  <si>
    <t>ɾi</t>
  </si>
  <si>
    <t>ˈtoʀɨ</t>
  </si>
  <si>
    <t>ˈto.ʀɨ</t>
  </si>
  <si>
    <t>torre</t>
  </si>
  <si>
    <t>tower</t>
  </si>
  <si>
    <t>uˈfɛw</t>
  </si>
  <si>
    <t>ˈfɛʀu</t>
  </si>
  <si>
    <t>u.ˈfɛw</t>
  </si>
  <si>
    <t>ˈfɛ.ʀu</t>
  </si>
  <si>
    <t>ferro</t>
  </si>
  <si>
    <t>ˈfɛw</t>
  </si>
  <si>
    <t>ˈoro</t>
  </si>
  <si>
    <t>ˈoɾu</t>
  </si>
  <si>
    <t>ˈo.ro</t>
  </si>
  <si>
    <t>ˈo.ɾu</t>
  </si>
  <si>
    <t>ouro</t>
  </si>
  <si>
    <t>gold</t>
  </si>
  <si>
    <t>ˈpa:tɐ</t>
  </si>
  <si>
    <t>ˈpɾatɐ</t>
  </si>
  <si>
    <t>ˈpa:.tɐ</t>
  </si>
  <si>
    <t>ˈpɾa.tɐ</t>
  </si>
  <si>
    <t>prata</t>
  </si>
  <si>
    <t>silver</t>
  </si>
  <si>
    <t>ˈsũbu</t>
  </si>
  <si>
    <t>ˈʃũbu</t>
  </si>
  <si>
    <t>ˈsũ.bu</t>
  </si>
  <si>
    <t>ˈʃũ.bu</t>
  </si>
  <si>
    <t>ˈsũ</t>
  </si>
  <si>
    <t>ˈʃũ</t>
  </si>
  <si>
    <t>chumbo</t>
  </si>
  <si>
    <t>lead</t>
  </si>
  <si>
    <t>aˈrja</t>
  </si>
  <si>
    <t>ɐˈɾɐjɐ</t>
  </si>
  <si>
    <t>a.ˈrja</t>
  </si>
  <si>
    <t>ɐ.ˈɾɐj.ɐ</t>
  </si>
  <si>
    <t>areia</t>
  </si>
  <si>
    <t>sand</t>
  </si>
  <si>
    <t>ˈɾɐj</t>
  </si>
  <si>
    <t>ˈaruku</t>
  </si>
  <si>
    <t>ˈaɾku</t>
  </si>
  <si>
    <t>ˈa.ru.ku</t>
  </si>
  <si>
    <t>ˈaɾ.ku</t>
  </si>
  <si>
    <t>arco-íris</t>
  </si>
  <si>
    <t>rainbow</t>
  </si>
  <si>
    <t>uˈbaw</t>
  </si>
  <si>
    <t>ˈbaʀu</t>
  </si>
  <si>
    <t>u.ˈbaw</t>
  </si>
  <si>
    <t>ˈba.ʀu</t>
  </si>
  <si>
    <t>barro</t>
  </si>
  <si>
    <t>clay</t>
  </si>
  <si>
    <t>ˈbaw</t>
  </si>
  <si>
    <t>uˈbudu</t>
  </si>
  <si>
    <t>ˈpedɾɐ</t>
  </si>
  <si>
    <t>u.ˈbu.du</t>
  </si>
  <si>
    <t>ˈpe.dɾɐ</t>
  </si>
  <si>
    <t>pedra</t>
  </si>
  <si>
    <t>stone</t>
  </si>
  <si>
    <t>ˈfjo</t>
  </si>
  <si>
    <t>ˈfɾiu</t>
  </si>
  <si>
    <t>ˈfɾi.u</t>
  </si>
  <si>
    <t>ˈfɾi</t>
  </si>
  <si>
    <t>frio</t>
  </si>
  <si>
    <t>cold</t>
  </si>
  <si>
    <t>igiˈgu</t>
  </si>
  <si>
    <t>fuˈmaɾ</t>
  </si>
  <si>
    <t>i.gi.ˈgu</t>
  </si>
  <si>
    <t>fu.ˈmaɾ</t>
  </si>
  <si>
    <t>fumar</t>
  </si>
  <si>
    <t>ˈiɛ</t>
  </si>
  <si>
    <t>ˈiʎɐ</t>
  </si>
  <si>
    <t>ˈi.ɛ</t>
  </si>
  <si>
    <t>ˈi.ʎɐ</t>
  </si>
  <si>
    <t>ilha</t>
  </si>
  <si>
    <t>island</t>
  </si>
  <si>
    <t>ɛ</t>
  </si>
  <si>
    <t>kaˈlo</t>
  </si>
  <si>
    <t>kɐˈloɾ</t>
  </si>
  <si>
    <t>ka.ˈlo</t>
  </si>
  <si>
    <t>kɐ.ˈloɾ</t>
  </si>
  <si>
    <t>calor</t>
  </si>
  <si>
    <t>heat</t>
  </si>
  <si>
    <t>ˈlo</t>
  </si>
  <si>
    <t>ˈloɾ</t>
  </si>
  <si>
    <t>iˈbi</t>
  </si>
  <si>
    <t>kaɾˈvɐ̃w̃</t>
  </si>
  <si>
    <t>i.ˈbi</t>
  </si>
  <si>
    <t>kaɾ.ˈvɐ̃w̃</t>
  </si>
  <si>
    <t>carvão</t>
  </si>
  <si>
    <t>coal</t>
  </si>
  <si>
    <t>mjɐ̃ˈmja</t>
  </si>
  <si>
    <t>ʀɨˈlɐ̃pɐgu</t>
  </si>
  <si>
    <t>mjɐ̃.ˈmja</t>
  </si>
  <si>
    <t>ʀɨ.ˈlɐ̃.pɐ.gu</t>
  </si>
  <si>
    <t>relâmpago</t>
  </si>
  <si>
    <t>lightning</t>
  </si>
  <si>
    <t>ˈnovi</t>
  </si>
  <si>
    <t>ˈnuvɐ̃j̃</t>
  </si>
  <si>
    <t>ˈno.vi</t>
  </si>
  <si>
    <t>ˈnu.vɐ̃j̃</t>
  </si>
  <si>
    <t>ˈno</t>
  </si>
  <si>
    <t>ˈnu</t>
  </si>
  <si>
    <t>nuvem</t>
  </si>
  <si>
    <t>cloud</t>
  </si>
  <si>
    <t>vɐ̃j̃</t>
  </si>
  <si>
    <t>uˈnwa</t>
  </si>
  <si>
    <t>ˈluɐ</t>
  </si>
  <si>
    <t>u.ˈnwa</t>
  </si>
  <si>
    <t>ˈlu.ɐ</t>
  </si>
  <si>
    <t>ˈlu</t>
  </si>
  <si>
    <t>dissimilation</t>
  </si>
  <si>
    <t>lua</t>
  </si>
  <si>
    <t>moon</t>
  </si>
  <si>
    <t>ˈnwa</t>
  </si>
  <si>
    <t>iˈɲɐ̃</t>
  </si>
  <si>
    <t>ˈlɐɲɐ</t>
  </si>
  <si>
    <t>i.ˈɲɐ̃</t>
  </si>
  <si>
    <t>ˈlɐ.ɲɐ</t>
  </si>
  <si>
    <t>ˈlɐ</t>
  </si>
  <si>
    <t>lenha</t>
  </si>
  <si>
    <t>wood</t>
  </si>
  <si>
    <t>oˈmwe</t>
  </si>
  <si>
    <t>o.ˈmwe</t>
  </si>
  <si>
    <t>mar</t>
  </si>
  <si>
    <t>sea</t>
  </si>
  <si>
    <t>ɔˈpɔ</t>
  </si>
  <si>
    <t>ˈpɔ</t>
  </si>
  <si>
    <t>ɔ.ˈpɔ</t>
  </si>
  <si>
    <t>pó</t>
  </si>
  <si>
    <t>powder</t>
  </si>
  <si>
    <t>oˈrjo</t>
  </si>
  <si>
    <t>ˈʀiu</t>
  </si>
  <si>
    <t>o.ˈrjo</t>
  </si>
  <si>
    <t>ˈʀi.u</t>
  </si>
  <si>
    <t>rio</t>
  </si>
  <si>
    <t>river</t>
  </si>
  <si>
    <t>ˈrjo</t>
  </si>
  <si>
    <t>ɔˈsɛ</t>
  </si>
  <si>
    <t>ˈsɛw</t>
  </si>
  <si>
    <t>ɔ.ˈsɛ</t>
  </si>
  <si>
    <t>céu</t>
  </si>
  <si>
    <t>sky</t>
  </si>
  <si>
    <t>uˈpiku</t>
  </si>
  <si>
    <t>ˈpiku</t>
  </si>
  <si>
    <t>u.ˈpi.ku</t>
  </si>
  <si>
    <t>ˈpi.ku</t>
  </si>
  <si>
    <t>pico</t>
  </si>
  <si>
    <t>peak</t>
  </si>
  <si>
    <t>rɔˈvwɛ</t>
  </si>
  <si>
    <t>oɾˈvaʎu</t>
  </si>
  <si>
    <t>rɔ.ˈvwɛ</t>
  </si>
  <si>
    <t>oɾ.ˈva.ʎu</t>
  </si>
  <si>
    <t>rɔ</t>
  </si>
  <si>
    <t>oɾ</t>
  </si>
  <si>
    <t>orvalho</t>
  </si>
  <si>
    <t>dew</t>
  </si>
  <si>
    <t>uˈsɔlu</t>
  </si>
  <si>
    <t>ˈsɔl</t>
  </si>
  <si>
    <t>u.ˈsɔ.lu</t>
  </si>
  <si>
    <t>sol</t>
  </si>
  <si>
    <t>sun</t>
  </si>
  <si>
    <t>ʃˈtɛlɐ</t>
  </si>
  <si>
    <t>ʃˈtɾelɐ</t>
  </si>
  <si>
    <t>ʃ.ˈtɛ.lɐ</t>
  </si>
  <si>
    <t>ʃ.ˈtɾe.lɐ</t>
  </si>
  <si>
    <t>estrela</t>
  </si>
  <si>
    <t>star</t>
  </si>
  <si>
    <t>ˈtɾe</t>
  </si>
  <si>
    <t>uˈsuvɐ</t>
  </si>
  <si>
    <t>ˈʃuvɐ</t>
  </si>
  <si>
    <t>u.ˈsu.vɐ</t>
  </si>
  <si>
    <t>ˈʃu.vɐ</t>
  </si>
  <si>
    <t>chuva</t>
  </si>
  <si>
    <t>rain</t>
  </si>
  <si>
    <t>ˈʃu</t>
  </si>
  <si>
    <t>ˈteʀɐ</t>
  </si>
  <si>
    <t>ˈte.ʀɐ</t>
  </si>
  <si>
    <t>terra</t>
  </si>
  <si>
    <t>earth</t>
  </si>
  <si>
    <t>toˈvadɐ</t>
  </si>
  <si>
    <t>tɾuvuˈadɐ</t>
  </si>
  <si>
    <t>to.ˈva.dɐ</t>
  </si>
  <si>
    <t>tɾu.vu.ˈa.dɐ</t>
  </si>
  <si>
    <t>to</t>
  </si>
  <si>
    <t>tɾu</t>
  </si>
  <si>
    <t>trovoada</t>
  </si>
  <si>
    <t>thunderstorm</t>
  </si>
  <si>
    <t>uˈvɛ̃tu</t>
  </si>
  <si>
    <t>ˈvẽtu</t>
  </si>
  <si>
    <t>u.ˈvɛ̃.tu</t>
  </si>
  <si>
    <t>ˈvẽ.tu</t>
  </si>
  <si>
    <t>vento</t>
  </si>
  <si>
    <t>wind</t>
  </si>
  <si>
    <t>ˈvɛ̃</t>
  </si>
  <si>
    <t>ˈvẽ</t>
  </si>
  <si>
    <t>aˈre</t>
  </si>
  <si>
    <t>ˈʀɐj</t>
  </si>
  <si>
    <t>a.ˈre</t>
  </si>
  <si>
    <t>rei</t>
  </si>
  <si>
    <t>king</t>
  </si>
  <si>
    <t>doˈto</t>
  </si>
  <si>
    <t>doˈtoɾ</t>
  </si>
  <si>
    <t>do.ˈto</t>
  </si>
  <si>
    <t>ˈmɛ.di.ku</t>
  </si>
  <si>
    <t>do</t>
  </si>
  <si>
    <t>doutor</t>
  </si>
  <si>
    <t>doctor</t>
  </si>
  <si>
    <t>ˈtoɾ</t>
  </si>
  <si>
    <t>kapĩˈtew</t>
  </si>
  <si>
    <t>kɐɾpĩˈtejɾu</t>
  </si>
  <si>
    <t>ka.pĩ.ˈtew</t>
  </si>
  <si>
    <t>kɐɾ.pĩ.ˈtej.ɾu</t>
  </si>
  <si>
    <t>kɐɾ</t>
  </si>
  <si>
    <t>carpinteiro</t>
  </si>
  <si>
    <t>carpenter</t>
  </si>
  <si>
    <t>ˈtej</t>
  </si>
  <si>
    <t>ˈtew</t>
  </si>
  <si>
    <t>piʃikaˈdo</t>
  </si>
  <si>
    <t>pɨʃkɐˈdoɾ</t>
  </si>
  <si>
    <t>pi.ʃi.ka.ˈdo</t>
  </si>
  <si>
    <t>pɨʃ.kɐ.ˈdoɾ</t>
  </si>
  <si>
    <t>pescador</t>
  </si>
  <si>
    <t>fisherman</t>
  </si>
  <si>
    <t>ˈrãɲɐ</t>
  </si>
  <si>
    <t>ʀɐˈiɲɐ</t>
  </si>
  <si>
    <t>ˈrã.ɲɐ</t>
  </si>
  <si>
    <t>ʀɐ.ˈi.ɲɐ</t>
  </si>
  <si>
    <t>ˈrã</t>
  </si>
  <si>
    <t>rainha</t>
  </si>
  <si>
    <t>queen</t>
  </si>
  <si>
    <t>sapaˈtew</t>
  </si>
  <si>
    <t>sɐpɐˈtejɾu</t>
  </si>
  <si>
    <t>sa.pa.ˈtew</t>
  </si>
  <si>
    <t>sɐ.pɐ.ˈtej.ɾu</t>
  </si>
  <si>
    <t>sapateiro</t>
  </si>
  <si>
    <t>shoemaker</t>
  </si>
  <si>
    <t>sɔˈdadi</t>
  </si>
  <si>
    <t>sɔlˈdadu</t>
  </si>
  <si>
    <t>sɔ.ˈda.di</t>
  </si>
  <si>
    <t>sɔl.ˈda.du</t>
  </si>
  <si>
    <t>sɔl</t>
  </si>
  <si>
    <t>soldado</t>
  </si>
  <si>
    <t>soldier</t>
  </si>
  <si>
    <t>bizaˈvɔ</t>
  </si>
  <si>
    <t>bizɐˈvɔ</t>
  </si>
  <si>
    <t>bi.za.ˈvɔ</t>
  </si>
  <si>
    <t>bi.zɐ.ˈvɔ</t>
  </si>
  <si>
    <t>bisavó</t>
  </si>
  <si>
    <t>great-grandmother</t>
  </si>
  <si>
    <t>za</t>
  </si>
  <si>
    <t>ˈvɔ</t>
  </si>
  <si>
    <t>bizaˈvo</t>
  </si>
  <si>
    <t>bizɐˈvo</t>
  </si>
  <si>
    <t>bi.zɐ.ˈvo</t>
  </si>
  <si>
    <t>bisavô</t>
  </si>
  <si>
    <t>great-grandfather</t>
  </si>
  <si>
    <t>ˈvo</t>
  </si>
  <si>
    <t>kɔtɐˈbwɛgɐ</t>
  </si>
  <si>
    <t>ˈʒovɐ̃j̃</t>
  </si>
  <si>
    <t>kɔ.tɐ.ˈbwɛ.gɐ</t>
  </si>
  <si>
    <t>ˈʒo.vɐ̃j̃</t>
  </si>
  <si>
    <t>jovem</t>
  </si>
  <si>
    <t>youngest</t>
  </si>
  <si>
    <t>kuˈɲadɐ</t>
  </si>
  <si>
    <t>ku.ˈɲa.dɐ</t>
  </si>
  <si>
    <t>cunhada</t>
  </si>
  <si>
    <t>sister-in-law</t>
  </si>
  <si>
    <t>ˈɲa</t>
  </si>
  <si>
    <t>kuˈɲadu</t>
  </si>
  <si>
    <t>ku.ˈɲa.du</t>
  </si>
  <si>
    <t>cunhado</t>
  </si>
  <si>
    <t>brother-in-law</t>
  </si>
  <si>
    <t>maˈma</t>
  </si>
  <si>
    <t>ma.ˈma</t>
  </si>
  <si>
    <t>mamã</t>
  </si>
  <si>
    <t>mother</t>
  </si>
  <si>
    <t>ˈmanɐ</t>
  </si>
  <si>
    <t>ˈmɐnɐ</t>
  </si>
  <si>
    <t>ˈma.nɐ</t>
  </si>
  <si>
    <t>mana</t>
  </si>
  <si>
    <t>sister</t>
  </si>
  <si>
    <t>ˈmanu</t>
  </si>
  <si>
    <t>ˈmɐnu</t>
  </si>
  <si>
    <t>ˈma.nu</t>
  </si>
  <si>
    <t>ˈmɐ.nu</t>
  </si>
  <si>
    <t>irmão</t>
  </si>
  <si>
    <t>brother</t>
  </si>
  <si>
    <t>ˈma:du</t>
  </si>
  <si>
    <t>mɐˈɾidu</t>
  </si>
  <si>
    <t>ˈma:.du</t>
  </si>
  <si>
    <t>mɐ.ˈɾi.du</t>
  </si>
  <si>
    <t>ˈma:</t>
  </si>
  <si>
    <t>marido</t>
  </si>
  <si>
    <t>husband</t>
  </si>
  <si>
    <t>ˈdɐ̃ma</t>
  </si>
  <si>
    <t>ˈdɐmɐ</t>
  </si>
  <si>
    <t>ˈdɐ̃.ma</t>
  </si>
  <si>
    <t>ˈdɐ.mɐ</t>
  </si>
  <si>
    <t>ˈdɐ</t>
  </si>
  <si>
    <t>esposa</t>
  </si>
  <si>
    <t>wife</t>
  </si>
  <si>
    <t>ˈpapɐ</t>
  </si>
  <si>
    <t>ˈpa.pɐ</t>
  </si>
  <si>
    <t>pai</t>
  </si>
  <si>
    <t>father</t>
  </si>
  <si>
    <t>ˈt̠ʃio</t>
  </si>
  <si>
    <t>ˈtiu</t>
  </si>
  <si>
    <t>ˈt̠ʃi.o</t>
  </si>
  <si>
    <t>ˈti.u</t>
  </si>
  <si>
    <t>ˈti</t>
  </si>
  <si>
    <t>tio</t>
  </si>
  <si>
    <t>uncle</t>
  </si>
  <si>
    <t>ˈvjuvɐ</t>
  </si>
  <si>
    <t>ˈviuvɐ</t>
  </si>
  <si>
    <t>ˈvju.vɐ</t>
  </si>
  <si>
    <t>ˈvi.u.vɐ</t>
  </si>
  <si>
    <t>ˈvju</t>
  </si>
  <si>
    <t>ˈvi</t>
  </si>
  <si>
    <t>viúva</t>
  </si>
  <si>
    <t>widow</t>
  </si>
  <si>
    <t>aˈmi</t>
  </si>
  <si>
    <t>ˈew</t>
  </si>
  <si>
    <t>a.ˈmi</t>
  </si>
  <si>
    <t>eu</t>
  </si>
  <si>
    <t>I</t>
  </si>
  <si>
    <t>ˈeli</t>
  </si>
  <si>
    <t>ˈelɨ</t>
  </si>
  <si>
    <t>ˈe.li</t>
  </si>
  <si>
    <t>ˈe.lɨ</t>
  </si>
  <si>
    <t>ˈe</t>
  </si>
  <si>
    <t>ele</t>
  </si>
  <si>
    <t>he/she</t>
  </si>
  <si>
    <t>ˈinɛ</t>
  </si>
  <si>
    <t>ˈelɨʃ</t>
  </si>
  <si>
    <t>ˈi.nɛ</t>
  </si>
  <si>
    <t>ˈe.lɨʃ</t>
  </si>
  <si>
    <t>eles</t>
  </si>
  <si>
    <t>they</t>
  </si>
  <si>
    <t>nɛ</t>
  </si>
  <si>
    <t>lɨʃ</t>
  </si>
  <si>
    <t>com</t>
  </si>
  <si>
    <t>with</t>
  </si>
  <si>
    <t>ˈkumɐ</t>
  </si>
  <si>
    <t>ˈkomu</t>
  </si>
  <si>
    <t>ˈku.mɐ</t>
  </si>
  <si>
    <t>ˈko.mu</t>
  </si>
  <si>
    <t>como</t>
  </si>
  <si>
    <t>as</t>
  </si>
  <si>
    <t>ˈmɔ̃t̠ʃi</t>
  </si>
  <si>
    <t>ˈmũj̃tu</t>
  </si>
  <si>
    <t>ˈmɔ̃.t̠ʃi</t>
  </si>
  <si>
    <t>ˈmũj̃.tu</t>
  </si>
  <si>
    <t>ˈmɔ̃</t>
  </si>
  <si>
    <t>ˈmũj̃</t>
  </si>
  <si>
    <t>muito</t>
  </si>
  <si>
    <t>much</t>
  </si>
  <si>
    <t>ˈmũtu</t>
  </si>
  <si>
    <t>ˈmũ.tu</t>
  </si>
  <si>
    <t>ˈmũ</t>
  </si>
  <si>
    <t>ˈnadɐ</t>
  </si>
  <si>
    <t>ˈna.dɐ</t>
  </si>
  <si>
    <t>nada</t>
  </si>
  <si>
    <t>nothing</t>
  </si>
  <si>
    <t>ˈnɔ̃</t>
  </si>
  <si>
    <t>ˈnɔʃ</t>
  </si>
  <si>
    <t>nós</t>
  </si>
  <si>
    <t>we</t>
  </si>
  <si>
    <t>ˈnukɐ</t>
  </si>
  <si>
    <t>ˈnũkɐ</t>
  </si>
  <si>
    <t>ˈnu.kɐ</t>
  </si>
  <si>
    <t>ˈnũ.kɐ</t>
  </si>
  <si>
    <t>ˈnũ</t>
  </si>
  <si>
    <t>nunca</t>
  </si>
  <si>
    <t>never</t>
  </si>
  <si>
    <t>ˈpoke</t>
  </si>
  <si>
    <t>puɾkɨ</t>
  </si>
  <si>
    <t>ˈpo.ke</t>
  </si>
  <si>
    <t>puɾ.kɨ</t>
  </si>
  <si>
    <t>porque</t>
  </si>
  <si>
    <t>because</t>
  </si>
  <si>
    <t>ˈpoko</t>
  </si>
  <si>
    <t>ˈpoku</t>
  </si>
  <si>
    <t>ˈpo.ko</t>
  </si>
  <si>
    <t>ˈpo.ku</t>
  </si>
  <si>
    <t>pouco</t>
  </si>
  <si>
    <t>few</t>
  </si>
  <si>
    <t>ˈsɛ̃pi</t>
  </si>
  <si>
    <t>ˈsẽpɾɨ</t>
  </si>
  <si>
    <t>ˈsɛ̃.pi</t>
  </si>
  <si>
    <t>ˈsẽ.pɾɨ</t>
  </si>
  <si>
    <t>ˈsɛ̃</t>
  </si>
  <si>
    <t>ˈsẽ</t>
  </si>
  <si>
    <t>sempre</t>
  </si>
  <si>
    <t>always</t>
  </si>
  <si>
    <t>sɨˈɲoɾ</t>
  </si>
  <si>
    <t>sɨ.ˈɲoɾ</t>
  </si>
  <si>
    <t>senhor</t>
  </si>
  <si>
    <t>lord</t>
  </si>
  <si>
    <t>ˈɲoɾ</t>
  </si>
  <si>
    <t>ˈtudu</t>
  </si>
  <si>
    <t>ˈtu.du</t>
  </si>
  <si>
    <t>ˈtu</t>
  </si>
  <si>
    <t>tudo</t>
  </si>
  <si>
    <t>everything</t>
  </si>
  <si>
    <t>ˈɐ̃zu</t>
  </si>
  <si>
    <t>ʀɨˈsɐ̃j̃ nɐʃˈsidu</t>
  </si>
  <si>
    <t>ˈɐ̃.zu</t>
  </si>
  <si>
    <t>ʀɨ.ˈsɐ̃j̃ nɐʃ.ˈsi.du</t>
  </si>
  <si>
    <t>recémnascido</t>
  </si>
  <si>
    <t>newborn</t>
  </si>
  <si>
    <t>ˈba:tu</t>
  </si>
  <si>
    <t>bɐˈɾatu</t>
  </si>
  <si>
    <t>ˈba:.tu</t>
  </si>
  <si>
    <t>bɐ.ˈɾa.tu</t>
  </si>
  <si>
    <t>barato</t>
  </si>
  <si>
    <t>cheap</t>
  </si>
  <si>
    <t>bɛbɛˈdadu</t>
  </si>
  <si>
    <t>ˈbebɐdu</t>
  </si>
  <si>
    <t>bɛ.bɛ.ˈda.du</t>
  </si>
  <si>
    <t>ˈbe.bɐ.du</t>
  </si>
  <si>
    <t>bɛ</t>
  </si>
  <si>
    <t xml:space="preserve">bêbado </t>
  </si>
  <si>
    <t>drunk</t>
  </si>
  <si>
    <t>ˈbuku</t>
  </si>
  <si>
    <t>ˈbu.ku</t>
  </si>
  <si>
    <t>poor</t>
  </si>
  <si>
    <t>boˈbo</t>
  </si>
  <si>
    <t>boˈbu</t>
  </si>
  <si>
    <t>bo.ˈbo</t>
  </si>
  <si>
    <t>bo.ˈbu</t>
  </si>
  <si>
    <t>bo</t>
  </si>
  <si>
    <t>bobo</t>
  </si>
  <si>
    <t>clear, mature</t>
  </si>
  <si>
    <t>boˈnitu</t>
  </si>
  <si>
    <t>buˈnitu</t>
  </si>
  <si>
    <t>bo.ˈni.tu</t>
  </si>
  <si>
    <t>bu.ˈni.tu</t>
  </si>
  <si>
    <t>bonito</t>
  </si>
  <si>
    <t>handsome</t>
  </si>
  <si>
    <t>ˈde:tu</t>
  </si>
  <si>
    <t>diˈɾɐjtu</t>
  </si>
  <si>
    <t>ˈde:.tu</t>
  </si>
  <si>
    <t>di.ˈɾɐj.tu</t>
  </si>
  <si>
    <t>ˈde:</t>
  </si>
  <si>
    <t>direito</t>
  </si>
  <si>
    <t>straight</t>
  </si>
  <si>
    <t>uˈdodo</t>
  </si>
  <si>
    <t>ˈdojdu</t>
  </si>
  <si>
    <t>u.ˈdo.do</t>
  </si>
  <si>
    <t>ˈdoj.du</t>
  </si>
  <si>
    <t>doido</t>
  </si>
  <si>
    <t>crazy</t>
  </si>
  <si>
    <t>ˈdoj</t>
  </si>
  <si>
    <t>ˈfeju</t>
  </si>
  <si>
    <t>ˈfe.ju</t>
  </si>
  <si>
    <t>ˈfe</t>
  </si>
  <si>
    <t>feio</t>
  </si>
  <si>
    <t>ugly</t>
  </si>
  <si>
    <t>ˈfa:ku</t>
  </si>
  <si>
    <t>ˈfɾaku</t>
  </si>
  <si>
    <t>ˈfa:.ku</t>
  </si>
  <si>
    <t>ˈfɾa.ku</t>
  </si>
  <si>
    <t>ˈfɾa</t>
  </si>
  <si>
    <t>fraco</t>
  </si>
  <si>
    <t>weak</t>
  </si>
  <si>
    <t>ˈfɛʃku</t>
  </si>
  <si>
    <t>ˈfɾeʃku</t>
  </si>
  <si>
    <t>ˈfɛʃ.ku</t>
  </si>
  <si>
    <t>ˈfɾeʃ.ku</t>
  </si>
  <si>
    <t>ˈfɛʃ</t>
  </si>
  <si>
    <t>ˈfɾeʃ</t>
  </si>
  <si>
    <t>fresco</t>
  </si>
  <si>
    <t>fresh</t>
  </si>
  <si>
    <t>ˈfɔt̠ʃi</t>
  </si>
  <si>
    <t>ˈfɔɾtɨ</t>
  </si>
  <si>
    <t>ˈfɔ.t̠ʃi</t>
  </si>
  <si>
    <t>ˈfɔɾ.tɨ</t>
  </si>
  <si>
    <t>ˈfɔ</t>
  </si>
  <si>
    <t>ˈfɔɾ</t>
  </si>
  <si>
    <t>forte</t>
  </si>
  <si>
    <t>strong</t>
  </si>
  <si>
    <t>uˈfũdu</t>
  </si>
  <si>
    <t>ˈfũdu</t>
  </si>
  <si>
    <t>u.ˈfũ.du</t>
  </si>
  <si>
    <t>ˈfũ.du</t>
  </si>
  <si>
    <t>fundo</t>
  </si>
  <si>
    <t>bottom</t>
  </si>
  <si>
    <t>uˈgagu</t>
  </si>
  <si>
    <t>ˈgagu</t>
  </si>
  <si>
    <t>u.ˈga.gu</t>
  </si>
  <si>
    <t>ˈga.gu</t>
  </si>
  <si>
    <t>gago</t>
  </si>
  <si>
    <t>stutterer</t>
  </si>
  <si>
    <t>ˈga:vi</t>
  </si>
  <si>
    <t>ˈga:.vi</t>
  </si>
  <si>
    <t>ˈgodo</t>
  </si>
  <si>
    <t>goɾˈdu</t>
  </si>
  <si>
    <t>ˈgo.do</t>
  </si>
  <si>
    <t>goɾ.ˈdu</t>
  </si>
  <si>
    <t>goɾ</t>
  </si>
  <si>
    <t>gordo</t>
  </si>
  <si>
    <t>kaˈĩ</t>
  </si>
  <si>
    <t>kɐˈĩ</t>
  </si>
  <si>
    <t>ka.ˈĩ</t>
  </si>
  <si>
    <t>kɐ.ˈĩ</t>
  </si>
  <si>
    <t>caim</t>
  </si>
  <si>
    <t>miser</t>
  </si>
  <si>
    <t>ˈkasu</t>
  </si>
  <si>
    <t>ɐvɐˈɾẽtu</t>
  </si>
  <si>
    <t>ˈka.su</t>
  </si>
  <si>
    <t>ɐ.vɐ.ˈɾẽ.tu</t>
  </si>
  <si>
    <t>avarento</t>
  </si>
  <si>
    <t>kuˈpadu</t>
  </si>
  <si>
    <t>kulˈpadu</t>
  </si>
  <si>
    <t>ku.ˈpa.du</t>
  </si>
  <si>
    <t>kul.ˈpa.du</t>
  </si>
  <si>
    <t>culpado</t>
  </si>
  <si>
    <t>guilty</t>
  </si>
  <si>
    <t>ˈkutu</t>
  </si>
  <si>
    <t>ˈkuɾtu</t>
  </si>
  <si>
    <t>ˈku.tu</t>
  </si>
  <si>
    <t>ˈkuɾ.tu</t>
  </si>
  <si>
    <t>ˈkuɾ</t>
  </si>
  <si>
    <t>curto</t>
  </si>
  <si>
    <t>short</t>
  </si>
  <si>
    <t>ukuˈru</t>
  </si>
  <si>
    <t>ˈkɾu</t>
  </si>
  <si>
    <t>u.ku.ˈru</t>
  </si>
  <si>
    <t>cru</t>
  </si>
  <si>
    <t>raw</t>
  </si>
  <si>
    <t>ˈru</t>
  </si>
  <si>
    <t>uˈkuʀu</t>
  </si>
  <si>
    <t>ʃˈkuɾu</t>
  </si>
  <si>
    <t>u.ˈku.ʀu</t>
  </si>
  <si>
    <t>ʃ.ˈku.ɾu</t>
  </si>
  <si>
    <t>escuro</t>
  </si>
  <si>
    <t>dark</t>
  </si>
  <si>
    <t>ˈlĩpu</t>
  </si>
  <si>
    <t>ˈlĩpu</t>
  </si>
  <si>
    <t>ˈlĩ.pu</t>
  </si>
  <si>
    <t>limpo</t>
  </si>
  <si>
    <t>clean</t>
  </si>
  <si>
    <t>ˈlõgo</t>
  </si>
  <si>
    <t>ˈaltu</t>
  </si>
  <si>
    <t>ˈlõ.go</t>
  </si>
  <si>
    <t>ˈal.tu</t>
  </si>
  <si>
    <t>ˈlõ</t>
  </si>
  <si>
    <t>ˈal</t>
  </si>
  <si>
    <t>alto</t>
  </si>
  <si>
    <t>tall</t>
  </si>
  <si>
    <t>go</t>
  </si>
  <si>
    <t>ˈmagu</t>
  </si>
  <si>
    <t>ˈmagɾu</t>
  </si>
  <si>
    <t>ˈma.gu</t>
  </si>
  <si>
    <t>ˈma.gɾu</t>
  </si>
  <si>
    <t>magro</t>
  </si>
  <si>
    <t>thin</t>
  </si>
  <si>
    <t>gɾu</t>
  </si>
  <si>
    <t>maˈloko</t>
  </si>
  <si>
    <t>mɐˈluku</t>
  </si>
  <si>
    <t>ma.ˈlo.ko</t>
  </si>
  <si>
    <t>mɐ.ˈlu.ku</t>
  </si>
  <si>
    <t>maluco</t>
  </si>
  <si>
    <t>ˈmɐ̃su</t>
  </si>
  <si>
    <t>ˈmɐ̃.su</t>
  </si>
  <si>
    <t>manso</t>
  </si>
  <si>
    <t>meek</t>
  </si>
  <si>
    <t>ˈmjo</t>
  </si>
  <si>
    <t>mɨˈʎoɾ</t>
  </si>
  <si>
    <t>mɨ.ˈʎoɾ</t>
  </si>
  <si>
    <t>melhor</t>
  </si>
  <si>
    <t>better</t>
  </si>
  <si>
    <t>ˈʎoɾ</t>
  </si>
  <si>
    <t>ˈmɔli</t>
  </si>
  <si>
    <t>ˈmolɨ</t>
  </si>
  <si>
    <t>ˈmɔ.li</t>
  </si>
  <si>
    <t>ˈmo.lɨ</t>
  </si>
  <si>
    <t>ˈmɔ</t>
  </si>
  <si>
    <t>mole</t>
  </si>
  <si>
    <t>soft</t>
  </si>
  <si>
    <t>ˈmwadu</t>
  </si>
  <si>
    <t>muˈʎadu</t>
  </si>
  <si>
    <t>ˈmwa.du</t>
  </si>
  <si>
    <t>mu.ˈʎa.du</t>
  </si>
  <si>
    <t>ˈmwa</t>
  </si>
  <si>
    <t>molhado</t>
  </si>
  <si>
    <t>wet</t>
  </si>
  <si>
    <t>ˈʎa</t>
  </si>
  <si>
    <t>ˈmoro</t>
  </si>
  <si>
    <t>ˈmoɾu</t>
  </si>
  <si>
    <t>ˈmo.ro</t>
  </si>
  <si>
    <t>ˈmo.ɾu</t>
  </si>
  <si>
    <t>mouro</t>
  </si>
  <si>
    <t>moorish</t>
  </si>
  <si>
    <t>ˈmudu</t>
  </si>
  <si>
    <t>ˈmu.du</t>
  </si>
  <si>
    <t>mudo</t>
  </si>
  <si>
    <t>mute</t>
  </si>
  <si>
    <t>niˈmigu</t>
  </si>
  <si>
    <t>inɨˈmigu</t>
  </si>
  <si>
    <t>ni.ˈmi.gu</t>
  </si>
  <si>
    <t>i.nɨ.ˈmi.gu</t>
  </si>
  <si>
    <t>inimigo</t>
  </si>
  <si>
    <t>enemy</t>
  </si>
  <si>
    <t>ˈpjɔrɔ</t>
  </si>
  <si>
    <t>piˈoɾ</t>
  </si>
  <si>
    <t>ˈpjɔ.rɔ</t>
  </si>
  <si>
    <t>pi.ˈoɾ</t>
  </si>
  <si>
    <t>ˈpjɔ</t>
  </si>
  <si>
    <t>pior</t>
  </si>
  <si>
    <t>worse</t>
  </si>
  <si>
    <t>ˈoɾ</t>
  </si>
  <si>
    <t>ˈpɔbi</t>
  </si>
  <si>
    <t>ˈpobɾɨ</t>
  </si>
  <si>
    <t>ˈpɔ.bi</t>
  </si>
  <si>
    <t>ˈpo.bɾɨ</t>
  </si>
  <si>
    <t>pobre</t>
  </si>
  <si>
    <t>podeˈrozo</t>
  </si>
  <si>
    <t>pudɨˈɾozu</t>
  </si>
  <si>
    <t>po.de.ˈro.zo</t>
  </si>
  <si>
    <t>pu.dɨ.ˈɾo.zu</t>
  </si>
  <si>
    <t>po</t>
  </si>
  <si>
    <t>poderoso</t>
  </si>
  <si>
    <t>powerful</t>
  </si>
  <si>
    <t>ˈɾo</t>
  </si>
  <si>
    <t>zo</t>
  </si>
  <si>
    <t>ˈriku</t>
  </si>
  <si>
    <t>ˈʀiku</t>
  </si>
  <si>
    <t>ˈri.ku</t>
  </si>
  <si>
    <t>ˈʀi.ku</t>
  </si>
  <si>
    <t>rico</t>
  </si>
  <si>
    <t>rich</t>
  </si>
  <si>
    <t>ˈrizu</t>
  </si>
  <si>
    <t>ˈʀiʒu</t>
  </si>
  <si>
    <t>ˈri.zu</t>
  </si>
  <si>
    <t>ˈʀi.ʒu</t>
  </si>
  <si>
    <t>rijo</t>
  </si>
  <si>
    <t>hard</t>
  </si>
  <si>
    <t>ˈsadu</t>
  </si>
  <si>
    <t>ɐˈsadu</t>
  </si>
  <si>
    <t>ˈsa.du</t>
  </si>
  <si>
    <t>ɐ.ˈsa.du</t>
  </si>
  <si>
    <t>assado</t>
  </si>
  <si>
    <t>roast</t>
  </si>
  <si>
    <t>ˈsɛgu</t>
  </si>
  <si>
    <t>ˈsɛɡu</t>
  </si>
  <si>
    <t>ˈsɛ.gu</t>
  </si>
  <si>
    <t>cego</t>
  </si>
  <si>
    <t>blind</t>
  </si>
  <si>
    <t>ˈsudu</t>
  </si>
  <si>
    <t>ˈsuɾdu</t>
  </si>
  <si>
    <t>ˈsu.du</t>
  </si>
  <si>
    <t>ˈsuɾ.du</t>
  </si>
  <si>
    <t>ˈsuɾ</t>
  </si>
  <si>
    <t>surdo</t>
  </si>
  <si>
    <t>deaf</t>
  </si>
  <si>
    <t>suˈgadu</t>
  </si>
  <si>
    <t>ẽʃuˈgadu</t>
  </si>
  <si>
    <t>su.ˈga.du</t>
  </si>
  <si>
    <t>ẽ.ʃu.ˈga.du</t>
  </si>
  <si>
    <t>enxugado</t>
  </si>
  <si>
    <t>lean</t>
  </si>
  <si>
    <t>ciumento</t>
  </si>
  <si>
    <t>jealous</t>
  </si>
  <si>
    <t>suˈpɛtu</t>
  </si>
  <si>
    <t>ʃˈpeɾtu</t>
  </si>
  <si>
    <t>su.ˈpɛ.tu</t>
  </si>
  <si>
    <t>ʃ.ˈpeɾ.tu</t>
  </si>
  <si>
    <t>esperto</t>
  </si>
  <si>
    <t>clever</t>
  </si>
  <si>
    <t>ˈpeɾ</t>
  </si>
  <si>
    <t>t̠ʃɔkɔˈlɔ</t>
  </si>
  <si>
    <t>pɨˈkenu</t>
  </si>
  <si>
    <t>t̠ʃɔ.kɔ.ˈlɔ</t>
  </si>
  <si>
    <t>pɨ.ˈke.nu</t>
  </si>
  <si>
    <t>pequeno</t>
  </si>
  <si>
    <t>small</t>
  </si>
  <si>
    <t>ˈvɛ</t>
  </si>
  <si>
    <t>ˈveʎu</t>
  </si>
  <si>
    <t>ˈve.ʎu</t>
  </si>
  <si>
    <t>velho</t>
  </si>
  <si>
    <t>old</t>
  </si>
  <si>
    <t>ˈzɛdu</t>
  </si>
  <si>
    <t>ɐˈzedu</t>
  </si>
  <si>
    <t>ˈzɛ.du</t>
  </si>
  <si>
    <t>ɐ.ˈze.du</t>
  </si>
  <si>
    <t>azedo</t>
  </si>
  <si>
    <t>sour</t>
  </si>
  <si>
    <t>ˈzɛ</t>
  </si>
  <si>
    <t>ˈzudɐ</t>
  </si>
  <si>
    <t>pɨˈsoɐ</t>
  </si>
  <si>
    <t>ˈzu.dɐ</t>
  </si>
  <si>
    <t>pɨ.ˈso.ɐ</t>
  </si>
  <si>
    <t>pessoa</t>
  </si>
  <si>
    <t>person</t>
  </si>
  <si>
    <t>ˈdɛʃi</t>
  </si>
  <si>
    <t>ˈdeʃ</t>
  </si>
  <si>
    <t>ˈdɛ.ʃi</t>
  </si>
  <si>
    <t>dez</t>
  </si>
  <si>
    <t>ten</t>
  </si>
  <si>
    <t>ˈdosu</t>
  </si>
  <si>
    <t>ˈdojʃ</t>
  </si>
  <si>
    <t>ˈdo.su</t>
  </si>
  <si>
    <t>dois</t>
  </si>
  <si>
    <t>two</t>
  </si>
  <si>
    <t>ˈkwatu</t>
  </si>
  <si>
    <t>ˈkwatɾu</t>
  </si>
  <si>
    <t>ˈkwa.tu</t>
  </si>
  <si>
    <t>ˈkwa.tɾu</t>
  </si>
  <si>
    <t>quatro</t>
  </si>
  <si>
    <t>four</t>
  </si>
  <si>
    <t>ˈlitu</t>
  </si>
  <si>
    <t>ˈlitɾu</t>
  </si>
  <si>
    <t>ˈli.tu</t>
  </si>
  <si>
    <t>ˈli.tɾu</t>
  </si>
  <si>
    <t>litro</t>
  </si>
  <si>
    <t>litre</t>
  </si>
  <si>
    <t>mɛˈtɛdi</t>
  </si>
  <si>
    <t>mɨˈtadɨ</t>
  </si>
  <si>
    <t>mɛ.ˈtɛ.di</t>
  </si>
  <si>
    <t>mɨ.ˈta.dɨ</t>
  </si>
  <si>
    <t>mɛ</t>
  </si>
  <si>
    <t>metade</t>
  </si>
  <si>
    <t>half</t>
  </si>
  <si>
    <t>ˈnɔvɛ</t>
  </si>
  <si>
    <t>ˈnovɨ</t>
  </si>
  <si>
    <t>ˈnɔ.vɛ</t>
  </si>
  <si>
    <t>ˈno.vɨ</t>
  </si>
  <si>
    <t>ˈnɔ</t>
  </si>
  <si>
    <t>nove</t>
  </si>
  <si>
    <t>nine</t>
  </si>
  <si>
    <t>vɛ</t>
  </si>
  <si>
    <t>vɨ</t>
  </si>
  <si>
    <t>piˈmew</t>
  </si>
  <si>
    <t>pɾiˈmɐjɾu</t>
  </si>
  <si>
    <t>pi.ˈmew</t>
  </si>
  <si>
    <t>pɾi.ˈmɐj.ɾu</t>
  </si>
  <si>
    <t>pɾi</t>
  </si>
  <si>
    <t>primeiro</t>
  </si>
  <si>
    <t>first</t>
  </si>
  <si>
    <t>ˈmew</t>
  </si>
  <si>
    <t>ˈsej</t>
  </si>
  <si>
    <t>ˈsejʃ</t>
  </si>
  <si>
    <t>seis</t>
  </si>
  <si>
    <t>six</t>
  </si>
  <si>
    <t>ˈsɛt̠ʃi</t>
  </si>
  <si>
    <t>ˈsɛtɨ</t>
  </si>
  <si>
    <t>ˈsɛ.t̠ʃi</t>
  </si>
  <si>
    <t>ˈsɛ.tɨ</t>
  </si>
  <si>
    <t>sete</t>
  </si>
  <si>
    <t>seven</t>
  </si>
  <si>
    <t>ˈʃĩku</t>
  </si>
  <si>
    <t>ˈsĩku</t>
  </si>
  <si>
    <t>ˈʃĩ.ku</t>
  </si>
  <si>
    <t>ˈsĩ.ku</t>
  </si>
  <si>
    <t>ˈʃĩ</t>
  </si>
  <si>
    <t>ˈsĩ</t>
  </si>
  <si>
    <t>cinco</t>
  </si>
  <si>
    <t>five</t>
  </si>
  <si>
    <t>nˈtɛru</t>
  </si>
  <si>
    <t>ĩˈtɐjɾu</t>
  </si>
  <si>
    <t>n.ˈtɛ.ru</t>
  </si>
  <si>
    <t>ĩ.ˈtɐj.ɾu</t>
  </si>
  <si>
    <t>n</t>
  </si>
  <si>
    <t>inteiro</t>
  </si>
  <si>
    <t>entire</t>
  </si>
  <si>
    <t>ˈtɐj</t>
  </si>
  <si>
    <t>ˈte:ʃi</t>
  </si>
  <si>
    <t>ˈtɾeʃ</t>
  </si>
  <si>
    <t>ˈte:.ʃi</t>
  </si>
  <si>
    <t>ˈte:</t>
  </si>
  <si>
    <t>três</t>
  </si>
  <si>
    <t>three</t>
  </si>
  <si>
    <t>ˈũa</t>
  </si>
  <si>
    <t>ˈũ</t>
  </si>
  <si>
    <t>um</t>
  </si>
  <si>
    <t>one</t>
  </si>
  <si>
    <t>ˈwetu</t>
  </si>
  <si>
    <t>ˈojtu</t>
  </si>
  <si>
    <t>ˈwe.tu</t>
  </si>
  <si>
    <t>ˈoj.tu</t>
  </si>
  <si>
    <t>ˈoj</t>
  </si>
  <si>
    <t>oito</t>
  </si>
  <si>
    <t>eight</t>
  </si>
  <si>
    <t>aˈbili</t>
  </si>
  <si>
    <t>ɐˈbɾiɫ</t>
  </si>
  <si>
    <t>a.ˈbi.li</t>
  </si>
  <si>
    <t>ɐ.ˈbɾiɫ</t>
  </si>
  <si>
    <t>abril</t>
  </si>
  <si>
    <t>April</t>
  </si>
  <si>
    <t>maio</t>
  </si>
  <si>
    <t>ˈbɾiɫ</t>
  </si>
  <si>
    <t>junho</t>
  </si>
  <si>
    <t>aˈgoʃto</t>
  </si>
  <si>
    <t>ɐˈgoʃtu</t>
  </si>
  <si>
    <t>a.ˈgoʃ.to</t>
  </si>
  <si>
    <t>ɐ.ˈgoʃ.tu</t>
  </si>
  <si>
    <t>agosto</t>
  </si>
  <si>
    <t>August</t>
  </si>
  <si>
    <t>ˈgoʃ</t>
  </si>
  <si>
    <t xml:space="preserve">agosto </t>
  </si>
  <si>
    <t>aˈmɐ̃</t>
  </si>
  <si>
    <t>ɐmɐˈɲɐ̃</t>
  </si>
  <si>
    <t>a.ˈmɐ̃</t>
  </si>
  <si>
    <t>ɐ.mɐ.ˈɲɐ̃</t>
  </si>
  <si>
    <t>amanhã</t>
  </si>
  <si>
    <t>tomorrow</t>
  </si>
  <si>
    <t>ɔˈtɔ̃t̠ʃi</t>
  </si>
  <si>
    <t>ɐ̃tiˈõtɐ̃j̃</t>
  </si>
  <si>
    <t>ɔ.ˈtɔ̃.t̠ʃi</t>
  </si>
  <si>
    <t>ɐ̃.ti.ˈõ.tɐ̃j̃</t>
  </si>
  <si>
    <t>ɐ̃</t>
  </si>
  <si>
    <t>anteontem</t>
  </si>
  <si>
    <t>the day before yesterday</t>
  </si>
  <si>
    <t>ˈtɔ̃</t>
  </si>
  <si>
    <t>ˈõ</t>
  </si>
  <si>
    <t>tɐ̃j̃</t>
  </si>
  <si>
    <t>deˈzẽbu</t>
  </si>
  <si>
    <t>dɨˈzẽbɾu</t>
  </si>
  <si>
    <t>de.ˈzẽ.bu</t>
  </si>
  <si>
    <t>dɨ.ˈzẽ.bɾu</t>
  </si>
  <si>
    <t>dezembro</t>
  </si>
  <si>
    <t>December</t>
  </si>
  <si>
    <t>ˈzẽ</t>
  </si>
  <si>
    <t>diˈa</t>
  </si>
  <si>
    <t>di.ˈa</t>
  </si>
  <si>
    <t>dia</t>
  </si>
  <si>
    <t>day</t>
  </si>
  <si>
    <t>djaˈdĩgu</t>
  </si>
  <si>
    <t>duˈmĩgu</t>
  </si>
  <si>
    <t>dja.ˈdĩ.gu</t>
  </si>
  <si>
    <t>du.ˈmĩ.gu</t>
  </si>
  <si>
    <t>dja</t>
  </si>
  <si>
    <t>domingo</t>
  </si>
  <si>
    <t>sunday</t>
  </si>
  <si>
    <t>ˈdĩ</t>
  </si>
  <si>
    <t>feveˈrew</t>
  </si>
  <si>
    <t>fɨvɨˈɾejɾu</t>
  </si>
  <si>
    <t>fe.ve.ˈrew</t>
  </si>
  <si>
    <t>fɨ.vɨ.ˈɾej.ɾu</t>
  </si>
  <si>
    <t>fe</t>
  </si>
  <si>
    <t>fevereiro</t>
  </si>
  <si>
    <t>February</t>
  </si>
  <si>
    <t>feveiro</t>
  </si>
  <si>
    <t>ˈɾej</t>
  </si>
  <si>
    <t xml:space="preserve">fevereiro </t>
  </si>
  <si>
    <t>ˈrew</t>
  </si>
  <si>
    <t>ˈkĩtɐˈfja</t>
  </si>
  <si>
    <t>ˈkĩtɐ ˈfɐjɾɐ</t>
  </si>
  <si>
    <t>ˈkĩ.tɐ.ˈfja</t>
  </si>
  <si>
    <t>ˈkĩ.tɐ ˈfɐj.ɾɐ</t>
  </si>
  <si>
    <t>ˈkĩ</t>
  </si>
  <si>
    <t>quinta-feira</t>
  </si>
  <si>
    <t>thursday</t>
  </si>
  <si>
    <t>ˈfɐj</t>
  </si>
  <si>
    <t>ˈkwatɐˈfja</t>
  </si>
  <si>
    <t>ˈkwaɾtɐ ˈfɐjɾɐ</t>
  </si>
  <si>
    <t>ˈkwa.tɐ ˈfja</t>
  </si>
  <si>
    <t>ˈkwaɾ.tɐ ˈfɐj.ɾɐ</t>
  </si>
  <si>
    <t>quarta-feira</t>
  </si>
  <si>
    <t>wednesday</t>
  </si>
  <si>
    <t>ˈkuru</t>
  </si>
  <si>
    <t>ˈku.ru</t>
  </si>
  <si>
    <t>dawn</t>
  </si>
  <si>
    <t>uˈmaju</t>
  </si>
  <si>
    <t>ˈmaju</t>
  </si>
  <si>
    <t>u.ˈma.ju</t>
  </si>
  <si>
    <t>ˈmaj.u</t>
  </si>
  <si>
    <t>May</t>
  </si>
  <si>
    <t>ˈmaj</t>
  </si>
  <si>
    <t>uˈmasu</t>
  </si>
  <si>
    <t>ˈmaɾsu</t>
  </si>
  <si>
    <t>u.ˈma.su</t>
  </si>
  <si>
    <t>ˈmaɾ.su</t>
  </si>
  <si>
    <t>março</t>
  </si>
  <si>
    <t>March</t>
  </si>
  <si>
    <t>uˈnot̠ʃi</t>
  </si>
  <si>
    <t>ˈnojtɨ</t>
  </si>
  <si>
    <t>u.ˈno.t̠ʃi</t>
  </si>
  <si>
    <t>ˈnoj.tɨ</t>
  </si>
  <si>
    <t>noite</t>
  </si>
  <si>
    <t>good night</t>
  </si>
  <si>
    <t>ˈnoj</t>
  </si>
  <si>
    <t>nɔˈvɛ̃bu</t>
  </si>
  <si>
    <t>nuˈvẽbɾu</t>
  </si>
  <si>
    <t>nɔ.ˈvɛ̃.bu</t>
  </si>
  <si>
    <t>nu.ˈvẽ.bɾu</t>
  </si>
  <si>
    <t>nɔ</t>
  </si>
  <si>
    <t>novembro</t>
  </si>
  <si>
    <t>November</t>
  </si>
  <si>
    <t>ˈvẽ</t>
  </si>
  <si>
    <t>oˈtubu</t>
  </si>
  <si>
    <t>oˈtubɾu</t>
  </si>
  <si>
    <t>o.ˈtu.bu</t>
  </si>
  <si>
    <t>o.ˈtu.bɾu</t>
  </si>
  <si>
    <t>outubro</t>
  </si>
  <si>
    <t>October</t>
  </si>
  <si>
    <t>ˈoze</t>
  </si>
  <si>
    <t>ˈoʒɨ</t>
  </si>
  <si>
    <t>ˈo.ze</t>
  </si>
  <si>
    <t>ˈo.ʒɨ</t>
  </si>
  <si>
    <t>hoje</t>
  </si>
  <si>
    <t>today</t>
  </si>
  <si>
    <t>ze</t>
  </si>
  <si>
    <t>ʒɨ</t>
  </si>
  <si>
    <t>ˈsabudu</t>
  </si>
  <si>
    <t>ˈsabɐdu</t>
  </si>
  <si>
    <t>ˈsa.bu.du</t>
  </si>
  <si>
    <t>ˈsa.bɐ.du</t>
  </si>
  <si>
    <t>sábado</t>
  </si>
  <si>
    <t>saturday</t>
  </si>
  <si>
    <t>ˈsɛdu</t>
  </si>
  <si>
    <t>ˈsedu</t>
  </si>
  <si>
    <t>ˈsɛ.du</t>
  </si>
  <si>
    <t>ˈse.du</t>
  </si>
  <si>
    <t>cedo</t>
  </si>
  <si>
    <t>early</t>
  </si>
  <si>
    <t>sũdɐˈfjɐ</t>
  </si>
  <si>
    <t>sɨˈgũdɐˈfejɾɐ</t>
  </si>
  <si>
    <t>sũ.dɐ.ˈfjɐ</t>
  </si>
  <si>
    <t>sɨ.ˈgũ.dɐ ˈfej.ɾɐ</t>
  </si>
  <si>
    <t>sũ</t>
  </si>
  <si>
    <t>segunda-feira</t>
  </si>
  <si>
    <t>Monday</t>
  </si>
  <si>
    <t>gũ</t>
  </si>
  <si>
    <t>ˈfjɐ</t>
  </si>
  <si>
    <t>ˈseʃtɐˈfja</t>
  </si>
  <si>
    <t>ˈsɐʃtɐˈfɐjɾɐ</t>
  </si>
  <si>
    <t>ˈseʃ.tɐ ˈfja</t>
  </si>
  <si>
    <t>ˈsɐʃ.tɐ ˈfɐj.ɾɐ</t>
  </si>
  <si>
    <t>ˈseʃ</t>
  </si>
  <si>
    <t>ˈsɐʃ</t>
  </si>
  <si>
    <t>sexta-feira</t>
  </si>
  <si>
    <t>Friday</t>
  </si>
  <si>
    <t>sɛˈtɛ̃bu</t>
  </si>
  <si>
    <t>sɨˈtẽbɾu</t>
  </si>
  <si>
    <t>sɛ.ˈtɛ̃.bu</t>
  </si>
  <si>
    <t>sɨ.ˈtẽ.bɾu</t>
  </si>
  <si>
    <t>setembro</t>
  </si>
  <si>
    <t>September</t>
  </si>
  <si>
    <t>ˈtɛ̃</t>
  </si>
  <si>
    <t>ˈtẽ</t>
  </si>
  <si>
    <t xml:space="preserve">setembro </t>
  </si>
  <si>
    <t>ˈtadi</t>
  </si>
  <si>
    <t>ˈtaɾdɨ</t>
  </si>
  <si>
    <t>ˈta.di</t>
  </si>
  <si>
    <t>ˈtaɾ.dɨ</t>
  </si>
  <si>
    <t>tarde</t>
  </si>
  <si>
    <t>afternoon</t>
  </si>
  <si>
    <t>ˈtɛsɐˈfja</t>
  </si>
  <si>
    <t>ˈteɾsɐ ˈfɐjɾɐ</t>
  </si>
  <si>
    <t>ˈtɛ.sɐ ˈfja</t>
  </si>
  <si>
    <t>ˈteɾ.sɐ ˈfɐj.ɾɐ</t>
  </si>
  <si>
    <t>terça-feira</t>
  </si>
  <si>
    <t>Tuesday</t>
  </si>
  <si>
    <t>ʒaˈnew</t>
  </si>
  <si>
    <t>ʒɐˈnejɾu</t>
  </si>
  <si>
    <t>ʒa.ˈnew</t>
  </si>
  <si>
    <t>ʒɐ.ˈnej.ɾu</t>
  </si>
  <si>
    <t>ʒa</t>
  </si>
  <si>
    <t>janeiro</t>
  </si>
  <si>
    <t>January</t>
  </si>
  <si>
    <t>ˈnew</t>
  </si>
  <si>
    <t>ˈnej</t>
  </si>
  <si>
    <t>ˈʒulu</t>
  </si>
  <si>
    <t>ˈʒuʎu</t>
  </si>
  <si>
    <t>ˈʒu.lu</t>
  </si>
  <si>
    <t>ˈʒu.ʎu</t>
  </si>
  <si>
    <t>ˈʒu</t>
  </si>
  <si>
    <t>julho</t>
  </si>
  <si>
    <t>July</t>
  </si>
  <si>
    <t>ˈzũɲu</t>
  </si>
  <si>
    <t>ˈʒuɲu</t>
  </si>
  <si>
    <t>ˈzũ.ɲu</t>
  </si>
  <si>
    <t>ˈʒu.ɲu</t>
  </si>
  <si>
    <t>ˈzũ</t>
  </si>
  <si>
    <t>June</t>
  </si>
  <si>
    <t>ˈalimɐ</t>
  </si>
  <si>
    <t>ˈalmɐ</t>
  </si>
  <si>
    <t>ˈa.li.mɐ</t>
  </si>
  <si>
    <t>ˈal.mɐ</t>
  </si>
  <si>
    <t>alma</t>
  </si>
  <si>
    <t>soul</t>
  </si>
  <si>
    <t>ˈdesu</t>
  </si>
  <si>
    <t>ˈdewʃ</t>
  </si>
  <si>
    <t>ˈde.su</t>
  </si>
  <si>
    <t>deus</t>
  </si>
  <si>
    <t>god</t>
  </si>
  <si>
    <t>uˈdjabu</t>
  </si>
  <si>
    <t>diˈabu</t>
  </si>
  <si>
    <t>u.ˈdja.bu</t>
  </si>
  <si>
    <t>di.ˈa.bu</t>
  </si>
  <si>
    <t>diabo</t>
  </si>
  <si>
    <t>devil</t>
  </si>
  <si>
    <t>ˈgɔrja</t>
  </si>
  <si>
    <t>ˈglɔɾiɐ</t>
  </si>
  <si>
    <t>ˈgɔr.ja</t>
  </si>
  <si>
    <t>ˈglɔ.ɾi.ɐ</t>
  </si>
  <si>
    <t>ˈgɔr</t>
  </si>
  <si>
    <t>ˈglɔ</t>
  </si>
  <si>
    <t>glória</t>
  </si>
  <si>
    <t>glory</t>
  </si>
  <si>
    <t>ja</t>
  </si>
  <si>
    <t>ˈku:zu</t>
  </si>
  <si>
    <t>ˈkɾuʃ</t>
  </si>
  <si>
    <t>ˈku:.zu</t>
  </si>
  <si>
    <t>ˈku:</t>
  </si>
  <si>
    <t>cruz</t>
  </si>
  <si>
    <t>cross</t>
  </si>
  <si>
    <t>miˈlagi</t>
  </si>
  <si>
    <t>miˈlagɾɨ</t>
  </si>
  <si>
    <t>mi.ˈla.gi</t>
  </si>
  <si>
    <t>mi.ˈla.gɾɨ</t>
  </si>
  <si>
    <t>milagre</t>
  </si>
  <si>
    <t>miracle</t>
  </si>
  <si>
    <t>rɔˈsɐ̃</t>
  </si>
  <si>
    <t>oɾɐˈsɐ̃w̃</t>
  </si>
  <si>
    <t>rɔ.ˈsɐ̃</t>
  </si>
  <si>
    <t>o.ɾɐ.ˈsɐ̃w̃</t>
  </si>
  <si>
    <t>oração</t>
  </si>
  <si>
    <t>prayer</t>
  </si>
  <si>
    <t>ˈsɐ̃tu</t>
  </si>
  <si>
    <t>ˈsɐ̃.tu</t>
  </si>
  <si>
    <t>santo</t>
  </si>
  <si>
    <t>saint</t>
  </si>
  <si>
    <t>ˈaʀibɐ</t>
  </si>
  <si>
    <t>ˈeɾvɐ</t>
  </si>
  <si>
    <t>ˈa.ʀi.bɐ</t>
  </si>
  <si>
    <t>ˈeɾ.vɐ</t>
  </si>
  <si>
    <t>ˈeɾ</t>
  </si>
  <si>
    <t>erva</t>
  </si>
  <si>
    <t>grass</t>
  </si>
  <si>
    <t>aluguˈdɐ̃</t>
  </si>
  <si>
    <t>alguˈdɐ̃w̃</t>
  </si>
  <si>
    <t>a.lu.gu.ˈdɐ̃</t>
  </si>
  <si>
    <t>al.gu.ˈdɐ̃w̃</t>
  </si>
  <si>
    <t>al</t>
  </si>
  <si>
    <t>algodão</t>
  </si>
  <si>
    <t>cotton</t>
  </si>
  <si>
    <t>ˈfoʎɐ</t>
  </si>
  <si>
    <t>ˈfo.ʎɐ</t>
  </si>
  <si>
    <t>ˈfo</t>
  </si>
  <si>
    <t>folha</t>
  </si>
  <si>
    <t>leaf</t>
  </si>
  <si>
    <t>uˈfɔli</t>
  </si>
  <si>
    <t>ˈfloɾ</t>
  </si>
  <si>
    <t>u.ˈfɔ.li</t>
  </si>
  <si>
    <t>flor</t>
  </si>
  <si>
    <t>flower</t>
  </si>
  <si>
    <t>ˈko:</t>
  </si>
  <si>
    <t>kɐˈɾosu</t>
  </si>
  <si>
    <t>kɐ.ˈɾo.su</t>
  </si>
  <si>
    <t>caroço</t>
  </si>
  <si>
    <t>lump</t>
  </si>
  <si>
    <t>ˈpajɐ</t>
  </si>
  <si>
    <t>ˈpaʎɐ</t>
  </si>
  <si>
    <t>ˈpa.jɐ</t>
  </si>
  <si>
    <t>ˈpa.ʎɐ</t>
  </si>
  <si>
    <t>palha</t>
  </si>
  <si>
    <t>straw</t>
  </si>
  <si>
    <t>ˈpwɛmɐ</t>
  </si>
  <si>
    <t>palˈmɐjɾɐ</t>
  </si>
  <si>
    <t>ˈpwɛ.mɐ</t>
  </si>
  <si>
    <t>pal.ˈmɐj.ɾɐ</t>
  </si>
  <si>
    <t>ˈpwɛ</t>
  </si>
  <si>
    <t>pal</t>
  </si>
  <si>
    <t>palmeira</t>
  </si>
  <si>
    <t>palm</t>
  </si>
  <si>
    <t>paˈmitu</t>
  </si>
  <si>
    <t>palˈmitu</t>
  </si>
  <si>
    <t>pa.ˈmi.tu</t>
  </si>
  <si>
    <t>pal.ˈmi.tu</t>
  </si>
  <si>
    <t>palmito</t>
  </si>
  <si>
    <t>palm heart</t>
  </si>
  <si>
    <t>ˈpɐ̃ta</t>
  </si>
  <si>
    <t>ˈplɐ̃tɐ</t>
  </si>
  <si>
    <t>ˈpɐ̃.ta</t>
  </si>
  <si>
    <t>ˈplɐ̃.tɐ</t>
  </si>
  <si>
    <t>ˈplɐ̃</t>
  </si>
  <si>
    <t>planta</t>
  </si>
  <si>
    <t>ta</t>
  </si>
  <si>
    <t>ʃiˈmɛ̃t̠ʃi</t>
  </si>
  <si>
    <t>sɨˈmẽtɨ</t>
  </si>
  <si>
    <t>ʃi.ˈmɛ̃.t̠ʃi</t>
  </si>
  <si>
    <t>sɨ.ˈmẽ.tɨ</t>
  </si>
  <si>
    <t>semente</t>
  </si>
  <si>
    <t>seed</t>
  </si>
  <si>
    <t>mɛ̃</t>
  </si>
  <si>
    <t>ˈmẽ</t>
  </si>
  <si>
    <t>suˈpigɐ</t>
  </si>
  <si>
    <t>ʃˈpigɐ</t>
  </si>
  <si>
    <t>su.ˈpi.gɐ</t>
  </si>
  <si>
    <t>ʃ.ˈpi.gɐ</t>
  </si>
  <si>
    <t>espiga</t>
  </si>
  <si>
    <t>uˈbasu</t>
  </si>
  <si>
    <t>ẽ.bajʃu</t>
  </si>
  <si>
    <t>u.ˈba.su</t>
  </si>
  <si>
    <t>ẽ.ˈbaj.ʃu</t>
  </si>
  <si>
    <t>embaixo</t>
  </si>
  <si>
    <t>under</t>
  </si>
  <si>
    <t>ˈbaj</t>
  </si>
  <si>
    <t>uˈdẽtu</t>
  </si>
  <si>
    <t>ˈdẽtɾu</t>
  </si>
  <si>
    <t>u.ˈdẽ.tu</t>
  </si>
  <si>
    <t>ˈdẽ.tɾu</t>
  </si>
  <si>
    <t>dentro</t>
  </si>
  <si>
    <t>in</t>
  </si>
  <si>
    <t>ˈfɔɾɐ</t>
  </si>
  <si>
    <t>ˈfɔ.ɾɐ</t>
  </si>
  <si>
    <t>fora</t>
  </si>
  <si>
    <t>outside</t>
  </si>
  <si>
    <t>lá</t>
  </si>
  <si>
    <t>there</t>
  </si>
  <si>
    <t>ˈlõʒi</t>
  </si>
  <si>
    <t>ˈlõʒɨ</t>
  </si>
  <si>
    <t>ˈlõ.ʒi</t>
  </si>
  <si>
    <t>longe</t>
  </si>
  <si>
    <t>far</t>
  </si>
  <si>
    <t>ˈpɛtu</t>
  </si>
  <si>
    <t>ˈpeɾtu</t>
  </si>
  <si>
    <t>ˈpɛ.tu</t>
  </si>
  <si>
    <t>ˈpeɾ.tu</t>
  </si>
  <si>
    <t>perto</t>
  </si>
  <si>
    <t>near</t>
  </si>
  <si>
    <t>ʃiˈkɛdɛ</t>
  </si>
  <si>
    <t>ʃˈkeɾdu</t>
  </si>
  <si>
    <t>ʃi.ˈkɛ.dɛ</t>
  </si>
  <si>
    <t>ʃ.ˈkeɾ.du</t>
  </si>
  <si>
    <t>esquerdo</t>
  </si>
  <si>
    <t>left</t>
  </si>
  <si>
    <t>ˈkɛ</t>
  </si>
  <si>
    <t>ˈkeɾ</t>
  </si>
  <si>
    <t>bɐ̃ˈdja</t>
  </si>
  <si>
    <t>bɐ̃w̃ˈdɐjɾɐ</t>
  </si>
  <si>
    <t>bɐ̃.ˈdja</t>
  </si>
  <si>
    <t>bɐ̃w̃.ˈdɐj.ɾɐ</t>
  </si>
  <si>
    <t>bandeira</t>
  </si>
  <si>
    <t>flag</t>
  </si>
  <si>
    <t>ˈdɐj</t>
  </si>
  <si>
    <t>uˈbɐ̃ku</t>
  </si>
  <si>
    <t>ˈbɐ̃ku</t>
  </si>
  <si>
    <t>u.ˈbɐ̃.ku</t>
  </si>
  <si>
    <t>ˈbɐ̃.ku</t>
  </si>
  <si>
    <t>banco</t>
  </si>
  <si>
    <t>bench</t>
  </si>
  <si>
    <t>ˈbaʀɐ</t>
  </si>
  <si>
    <t>ˈba.ʀɐ</t>
  </si>
  <si>
    <t>barra</t>
  </si>
  <si>
    <t>bar</t>
  </si>
  <si>
    <t>bɔˈswa</t>
  </si>
  <si>
    <t>vɐˈsoɾɐ</t>
  </si>
  <si>
    <t>bɔ.ˈswa</t>
  </si>
  <si>
    <t>vɐ.ˈso.ɾɐ</t>
  </si>
  <si>
    <t>vassoura</t>
  </si>
  <si>
    <t>broom</t>
  </si>
  <si>
    <t>buˈtɐ̃</t>
  </si>
  <si>
    <t>buˈtɐ̃w̃</t>
  </si>
  <si>
    <t>bu.ˈtɐ̃</t>
  </si>
  <si>
    <t>bu.ˈtɐ̃w̃</t>
  </si>
  <si>
    <t>botão</t>
  </si>
  <si>
    <t>button</t>
  </si>
  <si>
    <t>uˈfakɐ</t>
  </si>
  <si>
    <t>ˈfakɐ</t>
  </si>
  <si>
    <t>u.ˈfa.kɐ</t>
  </si>
  <si>
    <t>ˈfa.kɐ</t>
  </si>
  <si>
    <t>faca</t>
  </si>
  <si>
    <t>knife</t>
  </si>
  <si>
    <t>ˈfa</t>
  </si>
  <si>
    <t>fiˈnete</t>
  </si>
  <si>
    <t>alfiˈnetɨ</t>
  </si>
  <si>
    <t>fi.ˈne.te</t>
  </si>
  <si>
    <t>al.fi.ˈne.tɨ</t>
  </si>
  <si>
    <t>alfinete</t>
  </si>
  <si>
    <t>ˈne</t>
  </si>
  <si>
    <t>gaˈrafɐ</t>
  </si>
  <si>
    <t>gɐˈʀafɐ</t>
  </si>
  <si>
    <t>ga.ˈra.fɐ</t>
  </si>
  <si>
    <t>gɐ.ˈʀa.fɐ</t>
  </si>
  <si>
    <t>garrafa</t>
  </si>
  <si>
    <t>bottle</t>
  </si>
  <si>
    <t>uˈgafu</t>
  </si>
  <si>
    <t>ˈgaɾfu</t>
  </si>
  <si>
    <t>u.ˈga.fu</t>
  </si>
  <si>
    <t>ˈgaɾ.fu</t>
  </si>
  <si>
    <t>garfo</t>
  </si>
  <si>
    <t>fork</t>
  </si>
  <si>
    <t>ˈʃtakɐ</t>
  </si>
  <si>
    <t>ʃˈtakɐ</t>
  </si>
  <si>
    <t>ˈʃta.kɐ</t>
  </si>
  <si>
    <t>ʃ.ˈta.kɐ</t>
  </si>
  <si>
    <t>ˈʃta</t>
  </si>
  <si>
    <t>estaca</t>
  </si>
  <si>
    <t>stake</t>
  </si>
  <si>
    <t>ˈkɔpu</t>
  </si>
  <si>
    <t>ˈkɔ.pu</t>
  </si>
  <si>
    <t>copo</t>
  </si>
  <si>
    <t>glass</t>
  </si>
  <si>
    <t>ˈkwa:</t>
  </si>
  <si>
    <t>ˈkɔɾdɐ</t>
  </si>
  <si>
    <t>ˈkɔɾ.dɐ</t>
  </si>
  <si>
    <t>ˈkɔɾ</t>
  </si>
  <si>
    <t>corda</t>
  </si>
  <si>
    <t>rope</t>
  </si>
  <si>
    <t>kwaˈdo</t>
  </si>
  <si>
    <t>kuɐˈdoɾ</t>
  </si>
  <si>
    <t>kwa.ˈdo</t>
  </si>
  <si>
    <t>ku.ɐ.ˈdoɾ</t>
  </si>
  <si>
    <t>kwa</t>
  </si>
  <si>
    <t>coador</t>
  </si>
  <si>
    <t>strainer</t>
  </si>
  <si>
    <t>lɐ̃ˈpjɐ̃</t>
  </si>
  <si>
    <t>lɐ̃piˈɐ̃w̃</t>
  </si>
  <si>
    <t>lɐ̃.ˈpjɐ̃</t>
  </si>
  <si>
    <t>lɐ̃.pi.ˈɐ̃w̃</t>
  </si>
  <si>
    <t>lampião</t>
  </si>
  <si>
    <t>lantern</t>
  </si>
  <si>
    <t>ˈpjɐ̃</t>
  </si>
  <si>
    <t>ˈɐ̃w̃</t>
  </si>
  <si>
    <t>ˈlɐ̃sɐ</t>
  </si>
  <si>
    <t>ˈlɐ̃.sɐ</t>
  </si>
  <si>
    <t>ˈlɐ̃</t>
  </si>
  <si>
    <t>lança</t>
  </si>
  <si>
    <t>lance</t>
  </si>
  <si>
    <t>maˈtɛlu</t>
  </si>
  <si>
    <t>maɾˈtelu</t>
  </si>
  <si>
    <t>ma.ˈtɛ.lu</t>
  </si>
  <si>
    <t>maɾ.ˈte.lu</t>
  </si>
  <si>
    <t>maɾ</t>
  </si>
  <si>
    <t>martelo</t>
  </si>
  <si>
    <t>hammer</t>
  </si>
  <si>
    <t>maˈsadu</t>
  </si>
  <si>
    <t>mɐˈʃadu</t>
  </si>
  <si>
    <t>ma.ˈsa.du</t>
  </si>
  <si>
    <t>mɐ.ˈʃa.du</t>
  </si>
  <si>
    <t>machado</t>
  </si>
  <si>
    <t>ax</t>
  </si>
  <si>
    <t>ˈʃa</t>
  </si>
  <si>
    <t>ˈmwɛdɐ</t>
  </si>
  <si>
    <t>muˈedɐ</t>
  </si>
  <si>
    <t>ˈmwɛ.dɐ</t>
  </si>
  <si>
    <t>mu.ˈe.dɐ</t>
  </si>
  <si>
    <t>ˈmwɛ</t>
  </si>
  <si>
    <t>moeda</t>
  </si>
  <si>
    <t>coin</t>
  </si>
  <si>
    <t>paˈnɛlɐ</t>
  </si>
  <si>
    <t>pɐˈnelɐ</t>
  </si>
  <si>
    <t>pa.ˈnɛ.lɐ</t>
  </si>
  <si>
    <t>pɐ.ˈne.lɐ</t>
  </si>
  <si>
    <t>panela</t>
  </si>
  <si>
    <t>pot</t>
  </si>
  <si>
    <t>ˈnɛ</t>
  </si>
  <si>
    <t>ˈpẽte</t>
  </si>
  <si>
    <t>ˈpẽtɨ</t>
  </si>
  <si>
    <t>ˈpẽ.te</t>
  </si>
  <si>
    <t>ˈpẽ.tɨ</t>
  </si>
  <si>
    <t>ˈpẽ</t>
  </si>
  <si>
    <t>pente</t>
  </si>
  <si>
    <t>comb</t>
  </si>
  <si>
    <t>piˈnɛʀɐ</t>
  </si>
  <si>
    <t>pɨˈnɐjɾɐ</t>
  </si>
  <si>
    <t>pi.ˈnɛ.ʀɐ</t>
  </si>
  <si>
    <t>pɨ.ˈnɐj.ɾɐ</t>
  </si>
  <si>
    <t>peneira</t>
  </si>
  <si>
    <t>sieve</t>
  </si>
  <si>
    <t>ˈnɐj</t>
  </si>
  <si>
    <t>ˈpa:tu</t>
  </si>
  <si>
    <t>ˈpɾatu</t>
  </si>
  <si>
    <t>ˈpa:.tu</t>
  </si>
  <si>
    <t>ˈpɾa.tu</t>
  </si>
  <si>
    <t>prato</t>
  </si>
  <si>
    <t>plate</t>
  </si>
  <si>
    <t>ˈpɛ:gu</t>
  </si>
  <si>
    <t>ˈpɾegu</t>
  </si>
  <si>
    <t>ˈpɛ:.gu</t>
  </si>
  <si>
    <t>ˈpɾe.gu</t>
  </si>
  <si>
    <t>prego</t>
  </si>
  <si>
    <t>ˈrɔdɐ</t>
  </si>
  <si>
    <t>ˈʀodɐ</t>
  </si>
  <si>
    <t>ˈrɔ.dɐ</t>
  </si>
  <si>
    <t>ˈʀo.dɐ</t>
  </si>
  <si>
    <t>roda</t>
  </si>
  <si>
    <t>wheel</t>
  </si>
  <si>
    <t>rɔˈdɔmɐ</t>
  </si>
  <si>
    <t>ʀɨˈdomɐ</t>
  </si>
  <si>
    <t>rɔ.ˈdɔ.mɐ</t>
  </si>
  <si>
    <t>ʀɨ.ˈdo.mɐ</t>
  </si>
  <si>
    <t>redoma</t>
  </si>
  <si>
    <t>ˈdɔ</t>
  </si>
  <si>
    <t>ˈsadɐ</t>
  </si>
  <si>
    <t>ẽˈʃadɐ</t>
  </si>
  <si>
    <t>ˈsa.dɐ</t>
  </si>
  <si>
    <t>ẽ.ˈʃa.dɐ</t>
  </si>
  <si>
    <t>enxada</t>
  </si>
  <si>
    <t>hoe</t>
  </si>
  <si>
    <t>ˈʃinu</t>
  </si>
  <si>
    <t>ˈsinu</t>
  </si>
  <si>
    <t>ˈʃi.nu</t>
  </si>
  <si>
    <t>ˈsi.nu</t>
  </si>
  <si>
    <t>ˈsi</t>
  </si>
  <si>
    <t>sino</t>
  </si>
  <si>
    <t>bell</t>
  </si>
  <si>
    <t>ˈsot̠ʃi</t>
  </si>
  <si>
    <t>ɐˈsojtɨ</t>
  </si>
  <si>
    <t>ˈso.t̠ʃi</t>
  </si>
  <si>
    <t>ɐ.ˈsoj.tɨ</t>
  </si>
  <si>
    <t>açoite</t>
  </si>
  <si>
    <t>scourge</t>
  </si>
  <si>
    <t>ˈsoj</t>
  </si>
  <si>
    <t>suˈpe</t>
  </si>
  <si>
    <t>ʃˈpɐʎu</t>
  </si>
  <si>
    <t>su.ˈpe</t>
  </si>
  <si>
    <t>ʃ.ˈpɐ.ʎu</t>
  </si>
  <si>
    <t>espelho</t>
  </si>
  <si>
    <t>mirror</t>
  </si>
  <si>
    <t>ˈpɐ</t>
  </si>
  <si>
    <t>ˈtɐ̃pɐ</t>
  </si>
  <si>
    <t>ˈtɐ̃.pɐ</t>
  </si>
  <si>
    <t>tampa</t>
  </si>
  <si>
    <t>uˈtasu</t>
  </si>
  <si>
    <t>ˈtaʃu</t>
  </si>
  <si>
    <t>u.ˈta.su</t>
  </si>
  <si>
    <t>ˈta.ʃu</t>
  </si>
  <si>
    <t>tacho</t>
  </si>
  <si>
    <t>pan</t>
  </si>
  <si>
    <t>ˈvɛlɐ</t>
  </si>
  <si>
    <t>ˈvɛ.lɐ</t>
  </si>
  <si>
    <t>vela</t>
  </si>
  <si>
    <t>candle</t>
  </si>
  <si>
    <t>ĩˈzɔlu</t>
  </si>
  <si>
    <t>ɐ̃ˈzɔɫ</t>
  </si>
  <si>
    <t>ĩ.ˈzɔ.lu</t>
  </si>
  <si>
    <t>ɐ̃.ˈzɔɫ</t>
  </si>
  <si>
    <t>anzol</t>
  </si>
  <si>
    <t>hook</t>
  </si>
  <si>
    <t>ˈzɔ</t>
  </si>
  <si>
    <t>ˈzɔɫ</t>
  </si>
  <si>
    <t>biˈʃidu</t>
  </si>
  <si>
    <t>vɨʃˈtidu</t>
  </si>
  <si>
    <t>bi.ˈʃi.du</t>
  </si>
  <si>
    <t>vɨʃ.ˈti.du</t>
  </si>
  <si>
    <t>vestido</t>
  </si>
  <si>
    <t>dress</t>
  </si>
  <si>
    <t>ˈbɔtɐ</t>
  </si>
  <si>
    <t>ˈbotɐ</t>
  </si>
  <si>
    <t>ˈbɔ.tɐ</t>
  </si>
  <si>
    <t>ˈbo.tɐ</t>
  </si>
  <si>
    <t>ˈbɔ</t>
  </si>
  <si>
    <t>bota</t>
  </si>
  <si>
    <t>boot</t>
  </si>
  <si>
    <t>kaˈmizɐ</t>
  </si>
  <si>
    <t>kɐˈmizɐ</t>
  </si>
  <si>
    <t>ka.ˈmi.zɐ</t>
  </si>
  <si>
    <t>kɐ.ˈmi.zɐ</t>
  </si>
  <si>
    <t>camisa</t>
  </si>
  <si>
    <t>shirt</t>
  </si>
  <si>
    <t>kaliˈsɐ̃</t>
  </si>
  <si>
    <t>kalˈsɐ̃w̃</t>
  </si>
  <si>
    <t>ka.li.ˈsɐ̃</t>
  </si>
  <si>
    <t>kal.ˈsɐ̃w̃</t>
  </si>
  <si>
    <t>calção</t>
  </si>
  <si>
    <t>short trousers</t>
  </si>
  <si>
    <t>ˈmɛjɐ</t>
  </si>
  <si>
    <t>ˈmɐjɐ</t>
  </si>
  <si>
    <t>ˈmɛ.jɐ</t>
  </si>
  <si>
    <t>ˈmɐj.ɐ</t>
  </si>
  <si>
    <t>meia</t>
  </si>
  <si>
    <t>sock</t>
  </si>
  <si>
    <t>ˈsɛjɐ</t>
  </si>
  <si>
    <t>ˈsajɐ</t>
  </si>
  <si>
    <t>ˈsɛ.jɐ</t>
  </si>
  <si>
    <t>ˈsa.jɐ</t>
  </si>
  <si>
    <t>saia</t>
  </si>
  <si>
    <t>skirt</t>
  </si>
  <si>
    <t>saˈpɛ</t>
  </si>
  <si>
    <t>t̠ʃɐˈpɛw</t>
  </si>
  <si>
    <t>sa.ˈpɛ</t>
  </si>
  <si>
    <t>t̠ʃɐ.ˈpɛw</t>
  </si>
  <si>
    <t>chapéu</t>
  </si>
  <si>
    <t>hat</t>
  </si>
  <si>
    <t>ˈpɛw</t>
  </si>
  <si>
    <t>ˈsɛdɐ</t>
  </si>
  <si>
    <t>ˈsedɐ</t>
  </si>
  <si>
    <t>ˈsɛ.dɐ</t>
  </si>
  <si>
    <t>ˈse.dɐ</t>
  </si>
  <si>
    <t>seda</t>
  </si>
  <si>
    <t>silk</t>
  </si>
  <si>
    <t>t̠ʃiˈʃidu</t>
  </si>
  <si>
    <t>tɨˈsidu</t>
  </si>
  <si>
    <t>t̠ʃi.ˈʃi.du</t>
  </si>
  <si>
    <t>tɨ.ˈsi.du</t>
  </si>
  <si>
    <t>tecido</t>
  </si>
  <si>
    <t>fabric</t>
  </si>
  <si>
    <t>ˈafikɐ</t>
  </si>
  <si>
    <t>ˈafɾikɐ</t>
  </si>
  <si>
    <t>ˈa.fi.kɐ</t>
  </si>
  <si>
    <t>ˈa.fɾi.kɐ</t>
  </si>
  <si>
    <t>África</t>
  </si>
  <si>
    <t>fɾi</t>
  </si>
  <si>
    <t>gaˈbɐ̃</t>
  </si>
  <si>
    <t>gɐˈbɐ̃w̃</t>
  </si>
  <si>
    <t>ga.ˈbɐ̃</t>
  </si>
  <si>
    <t>gɐ.ˈbɐ̃w̃</t>
  </si>
  <si>
    <t>Gabão</t>
  </si>
  <si>
    <t>Gabon</t>
  </si>
  <si>
    <t>ˈbɐ̃w̃</t>
  </si>
  <si>
    <t>ˈiʎɐ du ˈpɾĩsɨpɨ</t>
  </si>
  <si>
    <t>ˈi.ʎɐ du ˈpɾĩ.sɨ.pɨ</t>
  </si>
  <si>
    <t>Ilha do Príncipe</t>
  </si>
  <si>
    <t>Príncipe</t>
  </si>
  <si>
    <t>ˈpĩʃipi</t>
  </si>
  <si>
    <t>ˈpɾĩsɨpɨ</t>
  </si>
  <si>
    <t>ˈpĩ.ʃi.pi</t>
  </si>
  <si>
    <t>ˈpɾĩ.sɨ.pɨ</t>
  </si>
  <si>
    <t>ˈpĩ</t>
  </si>
  <si>
    <t>ˈpɾĩ</t>
  </si>
  <si>
    <t>prince</t>
  </si>
  <si>
    <t>putuˈga</t>
  </si>
  <si>
    <t>puɾtuˈgaɫ</t>
  </si>
  <si>
    <t>pu.tu.ˈga</t>
  </si>
  <si>
    <t>puɾ.tu.ˈgaɫ</t>
  </si>
  <si>
    <t>Portugal</t>
  </si>
  <si>
    <t>ˈgaɫ</t>
  </si>
  <si>
    <t>sɐ̃tɔˈmɛ</t>
  </si>
  <si>
    <t>sɐ̃w̃tuˈmɛ</t>
  </si>
  <si>
    <t>sɐ̃.tɔ.ˈmɛ</t>
  </si>
  <si>
    <t>sɐ̃w̃.tu.ˈmɛ</t>
  </si>
  <si>
    <t>sɐ̃w̃</t>
  </si>
  <si>
    <t>São Tomé</t>
  </si>
  <si>
    <t>Santome</t>
  </si>
  <si>
    <t>desupaˈga</t>
  </si>
  <si>
    <t>ˈdewz u ˈpagɨ</t>
  </si>
  <si>
    <t>de.su.pa.ˈga</t>
  </si>
  <si>
    <t>ˈdewz u ˈpa.gɨ</t>
  </si>
  <si>
    <t>ˈdewz</t>
  </si>
  <si>
    <t>obrigado</t>
  </si>
  <si>
    <t>thanks</t>
  </si>
  <si>
    <t>gɨ</t>
  </si>
  <si>
    <t>ˈdjo</t>
  </si>
  <si>
    <t>diˈɲɐjɾu</t>
  </si>
  <si>
    <t>di.ˈɲɐj.ɾu</t>
  </si>
  <si>
    <t>dinheiro</t>
  </si>
  <si>
    <t>money</t>
  </si>
  <si>
    <t>ˈɲɐj</t>
  </si>
  <si>
    <t>faˈvo</t>
  </si>
  <si>
    <t>fɐˈvoɾ</t>
  </si>
  <si>
    <t>fa.ˈvo</t>
  </si>
  <si>
    <t>fɐ.ˈvoɾ</t>
  </si>
  <si>
    <t>favor</t>
  </si>
  <si>
    <t>ˈvoɾ</t>
  </si>
  <si>
    <t>fuˈtunɐ</t>
  </si>
  <si>
    <t>fuɾˈtunɐ</t>
  </si>
  <si>
    <t>fu.ˈtu.nɐ</t>
  </si>
  <si>
    <t>fuɾ.ˈtu.nɐ</t>
  </si>
  <si>
    <t>fortuna</t>
  </si>
  <si>
    <t>luck</t>
  </si>
  <si>
    <t>kuˈmĩ</t>
  </si>
  <si>
    <t>kɐˈmiɲu</t>
  </si>
  <si>
    <t>ku.ˈmĩ</t>
  </si>
  <si>
    <t>kɐ.ˈmi.ɲu</t>
  </si>
  <si>
    <t>caminho</t>
  </si>
  <si>
    <t>path</t>
  </si>
  <si>
    <t>ˈkatɐ</t>
  </si>
  <si>
    <t>ˈkaɾtɐ</t>
  </si>
  <si>
    <t>ˈka.tɐ</t>
  </si>
  <si>
    <t>ˈkaɾ.tɐ</t>
  </si>
  <si>
    <t>carta</t>
  </si>
  <si>
    <t>letter</t>
  </si>
  <si>
    <t>kazaˈmẽtu</t>
  </si>
  <si>
    <t>kɐzɐˈmẽtu</t>
  </si>
  <si>
    <t>ka.za.ˈmẽ.tu</t>
  </si>
  <si>
    <t>kɐ.zɐ.ˈmẽ.tu</t>
  </si>
  <si>
    <t>casamento</t>
  </si>
  <si>
    <t>marriage</t>
  </si>
  <si>
    <t>ɔkɛˈrɛ</t>
  </si>
  <si>
    <t>buˈɾaku</t>
  </si>
  <si>
    <t>ɔ.kɛ.ˈrɛ</t>
  </si>
  <si>
    <t>bu.ˈɾa.ku</t>
  </si>
  <si>
    <t>buraco</t>
  </si>
  <si>
    <t>hole</t>
  </si>
  <si>
    <t>liˈsɐ̃</t>
  </si>
  <si>
    <t>liˈsɐ̃w̃</t>
  </si>
  <si>
    <t>li.ˈsɐ̃</t>
  </si>
  <si>
    <t>li.ˈsɐ̃w̃</t>
  </si>
  <si>
    <t>lição</t>
  </si>
  <si>
    <t>lesson</t>
  </si>
  <si>
    <t>ˈlivu</t>
  </si>
  <si>
    <t>ˈlivɾu</t>
  </si>
  <si>
    <t>ˈli.vu</t>
  </si>
  <si>
    <t>ˈli.vɾu</t>
  </si>
  <si>
    <t>livro</t>
  </si>
  <si>
    <t>book</t>
  </si>
  <si>
    <t>vɾu</t>
  </si>
  <si>
    <t>ˈmɔt̠ʃi</t>
  </si>
  <si>
    <t>ˈmoɾtɨ</t>
  </si>
  <si>
    <t>ˈmɔ.t̠ʃi</t>
  </si>
  <si>
    <t>ˈmoɾ.tɨ</t>
  </si>
  <si>
    <t>morte</t>
  </si>
  <si>
    <t>death</t>
  </si>
  <si>
    <t>paˈlavɐ</t>
  </si>
  <si>
    <t>pɐˈlavɾɐ</t>
  </si>
  <si>
    <t>pa.ˈla.vɐ</t>
  </si>
  <si>
    <t>pɐ.ˈla.vɾɐ</t>
  </si>
  <si>
    <t>palavra</t>
  </si>
  <si>
    <t>word</t>
  </si>
  <si>
    <t>vɾɐ</t>
  </si>
  <si>
    <t>pɐ̃ˈkadɐ</t>
  </si>
  <si>
    <t>pɐ̃.ˈka.dɐ</t>
  </si>
  <si>
    <t>pɐ̃</t>
  </si>
  <si>
    <t>pancada</t>
  </si>
  <si>
    <t>blow</t>
  </si>
  <si>
    <t>pɛˈpɛlu</t>
  </si>
  <si>
    <t>pɐˈpɛɫ</t>
  </si>
  <si>
    <t>pɛ.ˈpɛ.lu</t>
  </si>
  <si>
    <t>pɐ.ˈpɛɫ</t>
  </si>
  <si>
    <t>papel</t>
  </si>
  <si>
    <t>paper</t>
  </si>
  <si>
    <t>ˈpɛɫ</t>
  </si>
  <si>
    <t>ˈpɔtɔ</t>
  </si>
  <si>
    <t>ˈpoɾtɐ</t>
  </si>
  <si>
    <t>ˈpɔ.tɔ</t>
  </si>
  <si>
    <t>ˈpoɾ.tɐ</t>
  </si>
  <si>
    <t>porta</t>
  </si>
  <si>
    <t>door</t>
  </si>
  <si>
    <t>ˈrɛʃtu</t>
  </si>
  <si>
    <t>ˈʀɛʃtu</t>
  </si>
  <si>
    <t>ˈrɛʃ.tu</t>
  </si>
  <si>
    <t>ˈrɛʃ</t>
  </si>
  <si>
    <t>resto</t>
  </si>
  <si>
    <t>leftovers</t>
  </si>
  <si>
    <t>saˈbɐ̃</t>
  </si>
  <si>
    <t>sɐˈbɐ̃w̃</t>
  </si>
  <si>
    <t>sa.ˈbɐ̃</t>
  </si>
  <si>
    <t>sɐ.ˈbɐ̃w̃</t>
  </si>
  <si>
    <t>sabão</t>
  </si>
  <si>
    <t>soap</t>
  </si>
  <si>
    <t>ˈsɛrɐ</t>
  </si>
  <si>
    <t>ˈsɛʀɐ</t>
  </si>
  <si>
    <t>ˈsɛ.rɐ</t>
  </si>
  <si>
    <t>ˈsɛ.ʀɐ</t>
  </si>
  <si>
    <t>serra</t>
  </si>
  <si>
    <t>saw</t>
  </si>
  <si>
    <t>ˈt̠ʃĩtɐ</t>
  </si>
  <si>
    <t>ˈtĩtɐ</t>
  </si>
  <si>
    <t>ˈt̠ʃĩ.tɐ</t>
  </si>
  <si>
    <t>ˈtĩ.tɐ</t>
  </si>
  <si>
    <t>ˈt̠ʃĩ</t>
  </si>
  <si>
    <t>ˈtĩ</t>
  </si>
  <si>
    <t>tinta</t>
  </si>
  <si>
    <t>ink</t>
  </si>
  <si>
    <t>tɔˈmɛ̃tu</t>
  </si>
  <si>
    <t>tuɾˈmẽtu</t>
  </si>
  <si>
    <t>tɔ.ˈmɛ̃.tu</t>
  </si>
  <si>
    <t>tuɾ.ˈmẽ.tu</t>
  </si>
  <si>
    <t>tuɾ</t>
  </si>
  <si>
    <t>tormento</t>
  </si>
  <si>
    <t>noise, confusion</t>
  </si>
  <si>
    <t>uˈtu</t>
  </si>
  <si>
    <t>ˈmofu</t>
  </si>
  <si>
    <t>u.ˈtu</t>
  </si>
  <si>
    <t>ˈmo.fu</t>
  </si>
  <si>
    <t>mofo</t>
  </si>
  <si>
    <t>mold</t>
  </si>
  <si>
    <t>vɛˈdadi</t>
  </si>
  <si>
    <t>vɨɾˈdadɨ</t>
  </si>
  <si>
    <t>vɛ.ˈda.di</t>
  </si>
  <si>
    <t>vɨɾ.ˈda.dɨ</t>
  </si>
  <si>
    <t>verdade</t>
  </si>
  <si>
    <t>truth</t>
  </si>
  <si>
    <t>SourceWord CV</t>
  </si>
  <si>
    <t>VCV</t>
  </si>
  <si>
    <t>V'CVCV</t>
  </si>
  <si>
    <t>VCV'CVCV</t>
  </si>
  <si>
    <t>CV'CV</t>
  </si>
  <si>
    <t>CCV</t>
  </si>
  <si>
    <t>CV'CVCV</t>
  </si>
  <si>
    <t>CVCV'CVCV</t>
  </si>
  <si>
    <t>V'CCVCV</t>
  </si>
  <si>
    <t>CVCV</t>
  </si>
  <si>
    <t>CV'CCVCV</t>
  </si>
  <si>
    <t>VCVV'CV</t>
  </si>
  <si>
    <t>CCVCV</t>
  </si>
  <si>
    <t>CVCVCV</t>
  </si>
  <si>
    <t>CV'CCV</t>
  </si>
  <si>
    <t>CVCCV</t>
  </si>
  <si>
    <t>V'CV</t>
  </si>
  <si>
    <t>V'CCV</t>
  </si>
  <si>
    <t>CVCV'CV</t>
  </si>
  <si>
    <t>CV</t>
  </si>
  <si>
    <t>VCV'CV</t>
  </si>
  <si>
    <t>V'CCVVCV</t>
  </si>
  <si>
    <t>VCVCV</t>
  </si>
  <si>
    <t>CVV'CV</t>
  </si>
  <si>
    <t>CVCV'CCVCV</t>
  </si>
  <si>
    <t>CCV'CV</t>
  </si>
  <si>
    <t>CVC'CV</t>
  </si>
  <si>
    <t>VCVCV'CV</t>
  </si>
  <si>
    <t>CVCVCV'CV</t>
  </si>
  <si>
    <t>CVCV'CVC</t>
  </si>
  <si>
    <t>V'CVC</t>
  </si>
  <si>
    <t>VV</t>
  </si>
  <si>
    <t>CCV'CCV</t>
  </si>
  <si>
    <t>C'CVCV</t>
  </si>
  <si>
    <t>CVV</t>
  </si>
  <si>
    <t>CV'V</t>
  </si>
  <si>
    <t>CV'CVC</t>
  </si>
  <si>
    <t>CVC</t>
  </si>
  <si>
    <t>V'CVCCV</t>
  </si>
  <si>
    <t>CCV'CVCV</t>
  </si>
  <si>
    <t>CVCV'CCV</t>
  </si>
  <si>
    <t>CCVCV'CCV</t>
  </si>
  <si>
    <t>SourceWordSyl Length</t>
  </si>
  <si>
    <t>TargetWordSyl Length</t>
  </si>
  <si>
    <t>Simple PositionSource</t>
  </si>
  <si>
    <t>Simple PositionTarget</t>
  </si>
  <si>
    <t>Previous Source</t>
  </si>
  <si>
    <t>Next Source</t>
  </si>
  <si>
    <t>Previous Target</t>
  </si>
  <si>
    <t>Next Target</t>
  </si>
  <si>
    <t>SourceWord Length</t>
  </si>
  <si>
    <t>TargetWord Length</t>
  </si>
  <si>
    <t>Word diff</t>
  </si>
  <si>
    <t>Word bigger</t>
  </si>
  <si>
    <t>Syll diff</t>
  </si>
  <si>
    <t>SylNum bigger</t>
  </si>
  <si>
    <t>ˈawɐ.dẽ.t̠ʃi</t>
  </si>
  <si>
    <t>ʃˈkɐmɐ dɨ ˈpɐjʃɨ</t>
  </si>
  <si>
    <t>ʃ.ˈkɐ.mɐ dɨ ˈpɐj.ʃɨ</t>
  </si>
  <si>
    <t>ĩtɨʃˈtinu</t>
  </si>
  <si>
    <t>ĩ.tɨʃ.ˈti.nu</t>
  </si>
  <si>
    <t>ˈʀe</t>
  </si>
  <si>
    <t>ɐniˈmaɫ</t>
  </si>
  <si>
    <t>ɐ.ni.ˈmaɫ</t>
  </si>
  <si>
    <t>siˈumɨʃ</t>
  </si>
  <si>
    <t>si.ˈu.mɨʃ</t>
  </si>
  <si>
    <t>mɨʃ</t>
  </si>
  <si>
    <t>ˈki</t>
  </si>
  <si>
    <t>ˈiʃ.i.kɐ</t>
  </si>
  <si>
    <t>vɐˈɾiulɐ</t>
  </si>
  <si>
    <t>vɐ.ˈɾi.u.lɐ</t>
  </si>
  <si>
    <t>ʀɨˈmɛdiu</t>
  </si>
  <si>
    <t>ʀɨ.ˈmɛ.di.u</t>
  </si>
  <si>
    <t>ˈviɾ</t>
  </si>
  <si>
    <t>uɾiˈnaɾ</t>
  </si>
  <si>
    <t>u.ɾi.ˈnaɾ</t>
  </si>
  <si>
    <t>ʀoˈbaɾ</t>
  </si>
  <si>
    <t>ʀo.ˈbaɾ</t>
  </si>
  <si>
    <t>koˈseˈpeʃɪ</t>
  </si>
  <si>
    <t>ʃkɐˈmaɾ</t>
  </si>
  <si>
    <t>ko.ˈse.ˈpe.ʃɪ</t>
  </si>
  <si>
    <t>ʃ.kɐ.ˈmaɾ</t>
  </si>
  <si>
    <t>ˈlɔ</t>
  </si>
  <si>
    <t>ɐʒiˈtaɾ</t>
  </si>
  <si>
    <t>ɐ.ʒi.ˈtaɾ</t>
  </si>
  <si>
    <t>oˈviɾ</t>
  </si>
  <si>
    <t>o.ˈviɾ</t>
  </si>
  <si>
    <t>bũ</t>
  </si>
  <si>
    <t>alˈgɐ̃j̃</t>
  </si>
  <si>
    <t>al.ˈgɐ̃j̃</t>
  </si>
  <si>
    <t>gɐ̃j̃</t>
  </si>
  <si>
    <t>ˈkajʃ</t>
  </si>
  <si>
    <t>flu</t>
  </si>
  <si>
    <t>pɔˈtɐ̃ˈga:ni</t>
  </si>
  <si>
    <t>pɔ.ˈtɐ̃ ˈga:.ni</t>
  </si>
  <si>
    <t>ˈaɾku ˈiɾɨʃ</t>
  </si>
  <si>
    <t>ˈaɾ.ku ˈi.ɾɨʃ</t>
  </si>
  <si>
    <t>ɾɨʃ</t>
  </si>
  <si>
    <t>ˈmɛdiku</t>
  </si>
  <si>
    <t>iɾˈmɐ̃</t>
  </si>
  <si>
    <t>iɾ.ˈmɐ̃</t>
  </si>
  <si>
    <t>iɾˈmɐ̃w̃</t>
  </si>
  <si>
    <t>iɾ.ˈmɐ̃w̃</t>
  </si>
  <si>
    <t>ʃˈpozɐ</t>
  </si>
  <si>
    <t>ʃ.ˈpo.zɐ</t>
  </si>
  <si>
    <t>ˈpaj</t>
  </si>
  <si>
    <t>nɐʃ</t>
  </si>
  <si>
    <t>ẽbɨbɨˈdadu</t>
  </si>
  <si>
    <t>ẽ.bɨ.bɨ.ˈda.du</t>
  </si>
  <si>
    <t>ˈga:</t>
  </si>
  <si>
    <t>ẽˈʃutu</t>
  </si>
  <si>
    <t>ẽ.ˈʃu.tu</t>
  </si>
  <si>
    <t>siuˈmẽtu</t>
  </si>
  <si>
    <t>si.u.ˈmẽ.tu</t>
  </si>
  <si>
    <t>t̠ʃɔ</t>
  </si>
  <si>
    <t>ˈafi.kɐ</t>
  </si>
  <si>
    <t>ˌdesupaˈga</t>
  </si>
  <si>
    <t>obɾiˈgadu</t>
  </si>
  <si>
    <t>o.bɾi.ˈga.du</t>
  </si>
  <si>
    <t>Area</t>
  </si>
  <si>
    <t>Gulf of Guinea</t>
  </si>
  <si>
    <t>Lexifier</t>
  </si>
  <si>
    <t>Portuguese</t>
  </si>
  <si>
    <t>FirstMajorSettlement</t>
  </si>
  <si>
    <t>EndOfInfluence</t>
  </si>
  <si>
    <t>ContactConditions</t>
  </si>
  <si>
    <t>Plantation Creole</t>
  </si>
  <si>
    <t>LanguageContact</t>
  </si>
  <si>
    <t>Edo, Yoruba, Kikongo</t>
  </si>
  <si>
    <t>NumberOfLanguages</t>
  </si>
  <si>
    <t>Bilinguism</t>
  </si>
  <si>
    <t>Yes</t>
  </si>
  <si>
    <t>First Major Settlement</t>
  </si>
  <si>
    <t>End of Influence</t>
  </si>
  <si>
    <t>Contact Conditions</t>
  </si>
  <si>
    <t>Language Contact</t>
  </si>
  <si>
    <t>Number of Languages</t>
  </si>
  <si>
    <t>Plantation creole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</si>
</sst>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rgb="FFFFFF00"/>
      <name val="Arial"/>
    </font>
    <font>
      <color theme="1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color theme="1"/>
      <name val="Arial"/>
    </font>
    <font>
      <b/>
      <sz val="10.0"/>
      <color rgb="FF000000"/>
      <name val="Arial"/>
    </font>
    <font>
      <sz val="11.0"/>
      <color rgb="FF1155CC"/>
      <name val="Inconsolata"/>
    </font>
    <font>
      <sz val="11.0"/>
      <color rgb="FF000000"/>
      <name val="Inconsolata"/>
    </font>
    <font>
      <b/>
      <sz val="8.0"/>
      <color theme="1"/>
      <name val="&quot;Liberation Sans&quot;"/>
    </font>
    <font>
      <sz val="8.0"/>
      <color theme="1"/>
      <name val="&quot;Liberation Sans&quot;"/>
    </font>
    <font>
      <sz val="8.0"/>
      <color theme="1"/>
      <name val="Liberation Mono"/>
    </font>
    <font>
      <color rgb="FF000000"/>
      <name val="Roboto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borderId="0" fillId="2" fontId="2" numFmtId="0" xfId="0" applyAlignment="1" applyFont="1">
      <alignment horizontal="right" readingOrder="0"/>
    </xf>
    <xf borderId="0" fillId="2" fontId="2" numFmtId="0" xfId="0" applyAlignment="1" applyFont="1">
      <alignment horizontal="left"/>
    </xf>
    <xf borderId="0" fillId="2" fontId="2" numFmtId="0" xfId="0" applyFont="1"/>
    <xf borderId="0" fillId="2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quotePrefix="1" borderId="0" fillId="2" fontId="3" numFmtId="0" xfId="0" applyAlignment="1" applyFont="1">
      <alignment readingOrder="0"/>
    </xf>
    <xf borderId="0" fillId="3" fontId="2" numFmtId="0" xfId="0" applyAlignment="1" applyFill="1" applyFont="1">
      <alignment horizontal="left" readingOrder="0"/>
    </xf>
    <xf quotePrefix="1" borderId="0" fillId="3" fontId="2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3" fontId="2" numFmtId="0" xfId="0" applyAlignment="1" applyFont="1">
      <alignment horizontal="right" readingOrder="0"/>
    </xf>
    <xf borderId="0" fillId="3" fontId="2" numFmtId="0" xfId="0" applyFont="1"/>
    <xf borderId="0" fillId="3" fontId="2" numFmtId="0" xfId="0" applyAlignment="1" applyFont="1">
      <alignment horizontal="left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ont="1">
      <alignment horizontal="right" readingOrder="0"/>
    </xf>
    <xf borderId="0" fillId="4" fontId="2" numFmtId="0" xfId="0" applyAlignment="1" applyFont="1">
      <alignment horizontal="left"/>
    </xf>
    <xf borderId="0" fillId="4" fontId="2" numFmtId="0" xfId="0" applyFont="1"/>
    <xf borderId="0" fillId="0" fontId="6" numFmtId="0" xfId="0" applyAlignment="1" applyFont="1">
      <alignment horizontal="right" readingOrder="0"/>
    </xf>
    <xf borderId="0" fillId="5" fontId="2" numFmtId="0" xfId="0" applyAlignment="1" applyFill="1" applyFont="1">
      <alignment horizontal="left" readingOrder="0"/>
    </xf>
    <xf borderId="0" fillId="5" fontId="2" numFmtId="0" xfId="0" applyAlignment="1" applyFont="1">
      <alignment horizontal="right" readingOrder="0"/>
    </xf>
    <xf borderId="0" fillId="5" fontId="2" numFmtId="0" xfId="0" applyAlignment="1" applyFont="1">
      <alignment horizontal="left"/>
    </xf>
    <xf borderId="0" fillId="5" fontId="2" numFmtId="0" xfId="0" applyFont="1"/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horizontal="right"/>
    </xf>
    <xf borderId="0" fillId="0" fontId="7" numFmtId="0" xfId="0" applyAlignment="1" applyFont="1">
      <alignment vertical="bottom"/>
    </xf>
    <xf quotePrefix="1" borderId="0" fillId="0" fontId="8" numFmtId="0" xfId="0" applyAlignment="1" applyFont="1">
      <alignment readingOrder="0" vertical="bottom"/>
    </xf>
    <xf borderId="0" fillId="3" fontId="8" numFmtId="0" xfId="0" applyAlignment="1" applyFont="1">
      <alignment readingOrder="0" vertical="bottom"/>
    </xf>
    <xf quotePrefix="1" borderId="0" fillId="5" fontId="8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3" fontId="5" numFmtId="0" xfId="0" applyAlignment="1" applyFont="1">
      <alignment horizontal="left" readingOrder="0"/>
    </xf>
    <xf borderId="0" fillId="2" fontId="8" numFmtId="0" xfId="0" applyAlignment="1" applyFont="1">
      <alignment readingOrder="0" vertical="bottom"/>
    </xf>
    <xf quotePrefix="1" borderId="0" fillId="2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left" readingOrder="0"/>
    </xf>
    <xf borderId="0" fillId="2" fontId="11" numFmtId="0" xfId="0" applyFont="1"/>
    <xf borderId="0" fillId="2" fontId="12" numFmtId="0" xfId="0" applyFont="1"/>
    <xf borderId="0" fillId="0" fontId="13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14" numFmtId="0" xfId="0" applyAlignment="1" applyFont="1">
      <alignment horizontal="right" readingOrder="0"/>
    </xf>
    <xf borderId="0" fillId="0" fontId="6" numFmtId="0" xfId="0" applyFont="1"/>
    <xf borderId="0" fillId="2" fontId="8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8" numFmtId="0" xfId="0" applyAlignment="1" applyFont="1">
      <alignment horizontal="right" readingOrder="0"/>
    </xf>
    <xf borderId="0" fillId="2" fontId="16" numFmtId="0" xfId="0" applyAlignment="1" applyFont="1">
      <alignment readingOrder="0"/>
    </xf>
    <xf quotePrefix="1" borderId="0" fillId="0" fontId="8" numFmtId="0" xfId="0" applyAlignment="1" applyFont="1">
      <alignment horizontal="left" readingOrder="0"/>
    </xf>
    <xf quotePrefix="1" borderId="0" fillId="0" fontId="14" numFmtId="0" xfId="0" applyAlignment="1" applyFont="1">
      <alignment horizontal="left" readingOrder="0"/>
    </xf>
    <xf borderId="0" fillId="0" fontId="8" numFmtId="0" xfId="0" applyAlignment="1" applyFont="1">
      <alignment horizontal="right" vertical="bottom"/>
    </xf>
    <xf borderId="0" fillId="0" fontId="6" numFmtId="0" xfId="0" applyAlignment="1" applyFont="1">
      <alignment horizontal="right"/>
    </xf>
    <xf borderId="0" fillId="0" fontId="17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8.38"/>
    <col customWidth="1" min="9" max="9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19</v>
      </c>
      <c r="H2" s="4">
        <v>1.0</v>
      </c>
      <c r="I2" s="4">
        <v>1.0</v>
      </c>
      <c r="J2" s="5"/>
      <c r="K2" s="3" t="s">
        <v>20</v>
      </c>
      <c r="L2" s="3" t="s">
        <v>21</v>
      </c>
      <c r="M2" s="3" t="s">
        <v>22</v>
      </c>
      <c r="N2" s="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23</v>
      </c>
      <c r="G3" s="3" t="s">
        <v>24</v>
      </c>
      <c r="H3" s="4">
        <v>2.0</v>
      </c>
      <c r="I3" s="4">
        <v>2.0</v>
      </c>
      <c r="J3" s="5"/>
      <c r="K3" s="3" t="s">
        <v>20</v>
      </c>
      <c r="L3" s="3" t="s">
        <v>21</v>
      </c>
      <c r="M3" s="3" t="s">
        <v>22</v>
      </c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4">
        <v>1.0</v>
      </c>
      <c r="I4" s="4">
        <v>1.0</v>
      </c>
      <c r="J4" s="5"/>
      <c r="K4" s="3" t="s">
        <v>31</v>
      </c>
      <c r="L4" s="3" t="s">
        <v>32</v>
      </c>
      <c r="M4" s="3" t="s">
        <v>22</v>
      </c>
      <c r="N4" s="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33</v>
      </c>
      <c r="G5" s="3" t="s">
        <v>34</v>
      </c>
      <c r="H5" s="4">
        <v>2.0</v>
      </c>
      <c r="I5" s="4">
        <v>2.0</v>
      </c>
      <c r="J5" s="3"/>
      <c r="K5" s="3" t="s">
        <v>31</v>
      </c>
      <c r="L5" s="3" t="s">
        <v>32</v>
      </c>
      <c r="M5" s="3" t="s">
        <v>22</v>
      </c>
      <c r="N5" s="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35</v>
      </c>
      <c r="G6" s="3" t="s">
        <v>36</v>
      </c>
      <c r="H6" s="4">
        <v>3.0</v>
      </c>
      <c r="I6" s="4" t="s">
        <v>36</v>
      </c>
      <c r="J6" s="5"/>
      <c r="K6" s="3" t="s">
        <v>31</v>
      </c>
      <c r="L6" s="3" t="s">
        <v>32</v>
      </c>
      <c r="M6" s="3" t="s">
        <v>22</v>
      </c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14</v>
      </c>
      <c r="B7" s="3" t="s">
        <v>37</v>
      </c>
      <c r="C7" s="3" t="s">
        <v>38</v>
      </c>
      <c r="D7" s="6" t="s">
        <v>39</v>
      </c>
      <c r="E7" s="3" t="s">
        <v>40</v>
      </c>
      <c r="F7" s="3" t="s">
        <v>19</v>
      </c>
      <c r="G7" s="3" t="s">
        <v>19</v>
      </c>
      <c r="H7" s="4">
        <v>1.0</v>
      </c>
      <c r="I7" s="4">
        <v>1.0</v>
      </c>
      <c r="J7" s="3"/>
      <c r="K7" s="3" t="s">
        <v>41</v>
      </c>
      <c r="L7" s="3" t="s">
        <v>42</v>
      </c>
      <c r="M7" s="3" t="s">
        <v>22</v>
      </c>
      <c r="N7" s="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3" t="s">
        <v>37</v>
      </c>
      <c r="C8" s="3" t="s">
        <v>38</v>
      </c>
      <c r="D8" s="6" t="s">
        <v>39</v>
      </c>
      <c r="E8" s="3" t="s">
        <v>40</v>
      </c>
      <c r="F8" s="3" t="s">
        <v>43</v>
      </c>
      <c r="G8" s="3" t="s">
        <v>44</v>
      </c>
      <c r="H8" s="4">
        <v>2.0</v>
      </c>
      <c r="I8" s="4">
        <v>2.0</v>
      </c>
      <c r="J8" s="3"/>
      <c r="K8" s="3" t="s">
        <v>41</v>
      </c>
      <c r="L8" s="3" t="s">
        <v>42</v>
      </c>
      <c r="M8" s="3" t="s">
        <v>22</v>
      </c>
      <c r="N8" s="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19</v>
      </c>
      <c r="G9" s="3" t="s">
        <v>49</v>
      </c>
      <c r="H9" s="4">
        <v>1.0</v>
      </c>
      <c r="I9" s="4">
        <v>1.0</v>
      </c>
      <c r="J9" s="3"/>
      <c r="K9" s="3" t="s">
        <v>50</v>
      </c>
      <c r="L9" s="3" t="s">
        <v>51</v>
      </c>
      <c r="M9" s="3" t="s">
        <v>22</v>
      </c>
      <c r="N9" s="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43</v>
      </c>
      <c r="G10" s="3" t="s">
        <v>52</v>
      </c>
      <c r="H10" s="4">
        <v>2.0</v>
      </c>
      <c r="I10" s="4">
        <v>2.0</v>
      </c>
      <c r="J10" s="3"/>
      <c r="K10" s="3" t="s">
        <v>50</v>
      </c>
      <c r="L10" s="3" t="s">
        <v>51</v>
      </c>
      <c r="M10" s="3" t="s">
        <v>22</v>
      </c>
      <c r="N10" s="5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14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53</v>
      </c>
      <c r="G11" s="3" t="s">
        <v>54</v>
      </c>
      <c r="H11" s="4">
        <v>3.0</v>
      </c>
      <c r="I11" s="4">
        <v>3.0</v>
      </c>
      <c r="J11" s="3"/>
      <c r="K11" s="3" t="s">
        <v>50</v>
      </c>
      <c r="L11" s="3" t="s">
        <v>51</v>
      </c>
      <c r="M11" s="3" t="s">
        <v>22</v>
      </c>
      <c r="N11" s="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</v>
      </c>
      <c r="B12" s="3" t="s">
        <v>45</v>
      </c>
      <c r="C12" s="3" t="s">
        <v>46</v>
      </c>
      <c r="D12" s="3" t="s">
        <v>47</v>
      </c>
      <c r="E12" s="3" t="s">
        <v>48</v>
      </c>
      <c r="F12" s="3" t="s">
        <v>55</v>
      </c>
      <c r="G12" s="3" t="s">
        <v>56</v>
      </c>
      <c r="H12" s="4">
        <v>4.0</v>
      </c>
      <c r="I12" s="4">
        <v>4.0</v>
      </c>
      <c r="J12" s="3"/>
      <c r="K12" s="3" t="s">
        <v>50</v>
      </c>
      <c r="L12" s="3" t="s">
        <v>51</v>
      </c>
      <c r="M12" s="3" t="s">
        <v>22</v>
      </c>
      <c r="N12" s="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14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4">
        <v>1.0</v>
      </c>
      <c r="I13" s="4">
        <v>1.0</v>
      </c>
      <c r="J13" s="3"/>
      <c r="K13" s="3" t="s">
        <v>63</v>
      </c>
      <c r="L13" s="3" t="s">
        <v>63</v>
      </c>
      <c r="M13" s="3" t="s">
        <v>22</v>
      </c>
      <c r="N13" s="5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14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36</v>
      </c>
      <c r="G14" s="3" t="s">
        <v>64</v>
      </c>
      <c r="H14" s="4" t="s">
        <v>36</v>
      </c>
      <c r="I14" s="4">
        <v>2.0</v>
      </c>
      <c r="J14" s="3"/>
      <c r="K14" s="3" t="s">
        <v>63</v>
      </c>
      <c r="L14" s="3" t="s">
        <v>63</v>
      </c>
      <c r="M14" s="3" t="s">
        <v>22</v>
      </c>
      <c r="N14" s="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14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64</v>
      </c>
      <c r="G15" s="3" t="s">
        <v>65</v>
      </c>
      <c r="H15" s="4">
        <v>2.0</v>
      </c>
      <c r="I15" s="4">
        <v>3.0</v>
      </c>
      <c r="J15" s="3"/>
      <c r="K15" s="3" t="s">
        <v>63</v>
      </c>
      <c r="L15" s="3" t="s">
        <v>63</v>
      </c>
      <c r="M15" s="3" t="s">
        <v>22</v>
      </c>
      <c r="N15" s="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14</v>
      </c>
      <c r="B16" s="3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3" t="s">
        <v>71</v>
      </c>
      <c r="H16" s="4">
        <v>1.0</v>
      </c>
      <c r="I16" s="4">
        <v>1.0</v>
      </c>
      <c r="J16" s="3" t="s">
        <v>72</v>
      </c>
      <c r="K16" s="3" t="s">
        <v>73</v>
      </c>
      <c r="L16" s="3" t="s">
        <v>74</v>
      </c>
      <c r="M16" s="3" t="s">
        <v>22</v>
      </c>
      <c r="N16" s="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14</v>
      </c>
      <c r="B17" s="3" t="s">
        <v>66</v>
      </c>
      <c r="C17" s="3" t="s">
        <v>67</v>
      </c>
      <c r="D17" s="3" t="s">
        <v>68</v>
      </c>
      <c r="E17" s="3" t="s">
        <v>69</v>
      </c>
      <c r="F17" s="3" t="s">
        <v>75</v>
      </c>
      <c r="G17" s="3" t="s">
        <v>75</v>
      </c>
      <c r="H17" s="4">
        <v>2.0</v>
      </c>
      <c r="I17" s="4">
        <v>2.0</v>
      </c>
      <c r="J17" s="3"/>
      <c r="K17" s="3" t="s">
        <v>73</v>
      </c>
      <c r="L17" s="3" t="s">
        <v>74</v>
      </c>
      <c r="M17" s="3" t="s">
        <v>22</v>
      </c>
      <c r="N17" s="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14</v>
      </c>
      <c r="B18" s="3" t="s">
        <v>76</v>
      </c>
      <c r="C18" s="3" t="s">
        <v>77</v>
      </c>
      <c r="D18" s="3" t="s">
        <v>76</v>
      </c>
      <c r="E18" s="3" t="s">
        <v>78</v>
      </c>
      <c r="F18" s="3" t="s">
        <v>76</v>
      </c>
      <c r="G18" s="3" t="s">
        <v>79</v>
      </c>
      <c r="H18" s="4">
        <v>1.0</v>
      </c>
      <c r="I18" s="4">
        <v>1.0</v>
      </c>
      <c r="J18" s="3" t="s">
        <v>80</v>
      </c>
      <c r="K18" s="3" t="s">
        <v>81</v>
      </c>
      <c r="L18" s="3" t="s">
        <v>82</v>
      </c>
      <c r="M18" s="3" t="s">
        <v>22</v>
      </c>
      <c r="N18" s="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14</v>
      </c>
      <c r="B19" s="3" t="s">
        <v>76</v>
      </c>
      <c r="C19" s="3" t="s">
        <v>77</v>
      </c>
      <c r="D19" s="3" t="s">
        <v>76</v>
      </c>
      <c r="E19" s="3" t="s">
        <v>78</v>
      </c>
      <c r="F19" s="3" t="s">
        <v>36</v>
      </c>
      <c r="G19" s="3" t="s">
        <v>83</v>
      </c>
      <c r="H19" s="4" t="s">
        <v>36</v>
      </c>
      <c r="I19" s="4">
        <v>2.0</v>
      </c>
      <c r="J19" s="3"/>
      <c r="K19" s="3" t="s">
        <v>81</v>
      </c>
      <c r="L19" s="3" t="s">
        <v>82</v>
      </c>
      <c r="M19" s="3" t="s">
        <v>22</v>
      </c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14</v>
      </c>
      <c r="B20" s="3" t="s">
        <v>76</v>
      </c>
      <c r="C20" s="3" t="s">
        <v>77</v>
      </c>
      <c r="D20" s="3" t="s">
        <v>76</v>
      </c>
      <c r="E20" s="3" t="s">
        <v>78</v>
      </c>
      <c r="F20" s="3" t="s">
        <v>36</v>
      </c>
      <c r="G20" s="3" t="s">
        <v>75</v>
      </c>
      <c r="H20" s="4" t="s">
        <v>36</v>
      </c>
      <c r="I20" s="4">
        <v>3.0</v>
      </c>
      <c r="J20" s="3"/>
      <c r="K20" s="3" t="s">
        <v>81</v>
      </c>
      <c r="L20" s="3" t="s">
        <v>82</v>
      </c>
      <c r="M20" s="3" t="s">
        <v>22</v>
      </c>
      <c r="N20" s="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14</v>
      </c>
      <c r="B21" s="3" t="s">
        <v>84</v>
      </c>
      <c r="C21" s="3" t="s">
        <v>85</v>
      </c>
      <c r="D21" s="3" t="s">
        <v>86</v>
      </c>
      <c r="E21" s="3" t="s">
        <v>87</v>
      </c>
      <c r="F21" s="3" t="s">
        <v>88</v>
      </c>
      <c r="G21" s="3" t="s">
        <v>89</v>
      </c>
      <c r="H21" s="4">
        <v>1.0</v>
      </c>
      <c r="I21" s="4">
        <v>1.0</v>
      </c>
      <c r="J21" s="3" t="s">
        <v>72</v>
      </c>
      <c r="K21" s="3" t="s">
        <v>90</v>
      </c>
      <c r="L21" s="3" t="s">
        <v>91</v>
      </c>
      <c r="M21" s="3" t="s">
        <v>22</v>
      </c>
      <c r="N21" s="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14</v>
      </c>
      <c r="B22" s="3" t="s">
        <v>84</v>
      </c>
      <c r="C22" s="3" t="s">
        <v>85</v>
      </c>
      <c r="D22" s="3" t="s">
        <v>86</v>
      </c>
      <c r="E22" s="3" t="s">
        <v>87</v>
      </c>
      <c r="F22" s="3" t="s">
        <v>92</v>
      </c>
      <c r="G22" s="3" t="s">
        <v>93</v>
      </c>
      <c r="H22" s="4">
        <v>2.0</v>
      </c>
      <c r="I22" s="4">
        <v>2.0</v>
      </c>
      <c r="J22" s="3"/>
      <c r="K22" s="3" t="s">
        <v>90</v>
      </c>
      <c r="L22" s="3" t="s">
        <v>91</v>
      </c>
      <c r="M22" s="3" t="s">
        <v>22</v>
      </c>
      <c r="N22" s="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14</v>
      </c>
      <c r="B23" s="3" t="s">
        <v>94</v>
      </c>
      <c r="C23" s="3" t="s">
        <v>95</v>
      </c>
      <c r="D23" s="3" t="s">
        <v>96</v>
      </c>
      <c r="E23" s="3" t="s">
        <v>97</v>
      </c>
      <c r="F23" s="3" t="s">
        <v>98</v>
      </c>
      <c r="G23" s="3" t="s">
        <v>99</v>
      </c>
      <c r="H23" s="4">
        <v>1.0</v>
      </c>
      <c r="I23" s="4">
        <v>1.0</v>
      </c>
      <c r="J23" s="5"/>
      <c r="K23" s="3" t="s">
        <v>100</v>
      </c>
      <c r="L23" s="3" t="s">
        <v>74</v>
      </c>
      <c r="M23" s="3" t="s">
        <v>22</v>
      </c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14</v>
      </c>
      <c r="B24" s="3" t="s">
        <v>94</v>
      </c>
      <c r="C24" s="3" t="s">
        <v>95</v>
      </c>
      <c r="D24" s="3" t="s">
        <v>96</v>
      </c>
      <c r="E24" s="3" t="s">
        <v>97</v>
      </c>
      <c r="F24" s="3" t="s">
        <v>101</v>
      </c>
      <c r="G24" s="3" t="s">
        <v>101</v>
      </c>
      <c r="H24" s="4">
        <v>2.0</v>
      </c>
      <c r="I24" s="4">
        <v>2.0</v>
      </c>
      <c r="J24" s="5"/>
      <c r="K24" s="3" t="s">
        <v>100</v>
      </c>
      <c r="L24" s="3" t="s">
        <v>74</v>
      </c>
      <c r="M24" s="3" t="s">
        <v>22</v>
      </c>
      <c r="N24" s="5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14</v>
      </c>
      <c r="B25" s="3" t="s">
        <v>94</v>
      </c>
      <c r="C25" s="3" t="s">
        <v>95</v>
      </c>
      <c r="D25" s="3" t="s">
        <v>96</v>
      </c>
      <c r="E25" s="3" t="s">
        <v>97</v>
      </c>
      <c r="F25" s="3" t="s">
        <v>102</v>
      </c>
      <c r="G25" s="3" t="s">
        <v>103</v>
      </c>
      <c r="H25" s="4">
        <v>3.0</v>
      </c>
      <c r="I25" s="4">
        <v>3.0</v>
      </c>
      <c r="J25" s="5"/>
      <c r="K25" s="3" t="s">
        <v>100</v>
      </c>
      <c r="L25" s="3" t="s">
        <v>74</v>
      </c>
      <c r="M25" s="3" t="s">
        <v>22</v>
      </c>
      <c r="N25" s="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14</v>
      </c>
      <c r="B26" s="3" t="s">
        <v>104</v>
      </c>
      <c r="C26" s="3" t="s">
        <v>105</v>
      </c>
      <c r="D26" s="7" t="s">
        <v>106</v>
      </c>
      <c r="E26" s="3" t="s">
        <v>107</v>
      </c>
      <c r="F26" s="3" t="s">
        <v>108</v>
      </c>
      <c r="G26" s="3" t="s">
        <v>109</v>
      </c>
      <c r="H26" s="4">
        <v>1.0</v>
      </c>
      <c r="I26" s="4">
        <v>1.0</v>
      </c>
      <c r="J26" s="5"/>
      <c r="K26" s="3" t="s">
        <v>110</v>
      </c>
      <c r="L26" s="3" t="s">
        <v>111</v>
      </c>
      <c r="M26" s="3" t="s">
        <v>22</v>
      </c>
      <c r="N26" s="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14</v>
      </c>
      <c r="B27" s="3" t="s">
        <v>104</v>
      </c>
      <c r="C27" s="3" t="s">
        <v>105</v>
      </c>
      <c r="D27" s="7" t="s">
        <v>106</v>
      </c>
      <c r="E27" s="3" t="s">
        <v>107</v>
      </c>
      <c r="F27" s="3" t="s">
        <v>112</v>
      </c>
      <c r="G27" s="3" t="s">
        <v>113</v>
      </c>
      <c r="H27" s="4">
        <v>2.0</v>
      </c>
      <c r="I27" s="4">
        <v>2.0</v>
      </c>
      <c r="J27" s="5"/>
      <c r="K27" s="3" t="s">
        <v>110</v>
      </c>
      <c r="L27" s="3" t="s">
        <v>111</v>
      </c>
      <c r="M27" s="3" t="s">
        <v>22</v>
      </c>
      <c r="N27" s="5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14</v>
      </c>
      <c r="B28" s="3" t="s">
        <v>104</v>
      </c>
      <c r="C28" s="3" t="s">
        <v>105</v>
      </c>
      <c r="D28" s="7" t="s">
        <v>106</v>
      </c>
      <c r="E28" s="3" t="s">
        <v>107</v>
      </c>
      <c r="F28" s="8" t="s">
        <v>114</v>
      </c>
      <c r="G28" s="3" t="s">
        <v>115</v>
      </c>
      <c r="H28" s="4">
        <v>3.0</v>
      </c>
      <c r="I28" s="4">
        <v>3.0</v>
      </c>
      <c r="J28" s="5"/>
      <c r="K28" s="3" t="s">
        <v>110</v>
      </c>
      <c r="L28" s="3" t="s">
        <v>111</v>
      </c>
      <c r="M28" s="3" t="s">
        <v>22</v>
      </c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14</v>
      </c>
      <c r="B29" s="3" t="s">
        <v>104</v>
      </c>
      <c r="C29" s="3" t="s">
        <v>105</v>
      </c>
      <c r="D29" s="7" t="s">
        <v>106</v>
      </c>
      <c r="E29" s="3" t="s">
        <v>107</v>
      </c>
      <c r="F29" s="3" t="s">
        <v>116</v>
      </c>
      <c r="G29" s="3" t="s">
        <v>116</v>
      </c>
      <c r="H29" s="4">
        <v>4.0</v>
      </c>
      <c r="I29" s="4">
        <v>4.0</v>
      </c>
      <c r="J29" s="5"/>
      <c r="K29" s="3" t="s">
        <v>110</v>
      </c>
      <c r="L29" s="3" t="s">
        <v>111</v>
      </c>
      <c r="M29" s="3" t="s">
        <v>22</v>
      </c>
      <c r="N29" s="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14</v>
      </c>
      <c r="B30" s="3" t="s">
        <v>117</v>
      </c>
      <c r="C30" s="3" t="s">
        <v>118</v>
      </c>
      <c r="D30" s="3" t="s">
        <v>119</v>
      </c>
      <c r="E30" s="3" t="s">
        <v>120</v>
      </c>
      <c r="F30" s="3" t="s">
        <v>108</v>
      </c>
      <c r="G30" s="3" t="s">
        <v>121</v>
      </c>
      <c r="H30" s="4">
        <v>1.0</v>
      </c>
      <c r="I30" s="4">
        <v>1.0</v>
      </c>
      <c r="J30" s="5"/>
      <c r="K30" s="3" t="s">
        <v>122</v>
      </c>
      <c r="L30" s="3" t="s">
        <v>123</v>
      </c>
      <c r="M30" s="3" t="s">
        <v>22</v>
      </c>
      <c r="N30" s="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14</v>
      </c>
      <c r="B31" s="3" t="s">
        <v>117</v>
      </c>
      <c r="C31" s="3" t="s">
        <v>118</v>
      </c>
      <c r="D31" s="3" t="s">
        <v>119</v>
      </c>
      <c r="E31" s="3" t="s">
        <v>120</v>
      </c>
      <c r="F31" s="3" t="s">
        <v>64</v>
      </c>
      <c r="G31" s="3" t="s">
        <v>65</v>
      </c>
      <c r="H31" s="4">
        <v>2.0</v>
      </c>
      <c r="I31" s="4">
        <v>2.0</v>
      </c>
      <c r="J31" s="5"/>
      <c r="K31" s="3" t="s">
        <v>122</v>
      </c>
      <c r="L31" s="3" t="s">
        <v>123</v>
      </c>
      <c r="M31" s="3" t="s">
        <v>22</v>
      </c>
      <c r="N31" s="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14</v>
      </c>
      <c r="B32" s="6" t="s">
        <v>124</v>
      </c>
      <c r="C32" s="6" t="s">
        <v>125</v>
      </c>
      <c r="D32" s="6" t="s">
        <v>126</v>
      </c>
      <c r="E32" s="6" t="s">
        <v>127</v>
      </c>
      <c r="F32" s="6" t="s">
        <v>128</v>
      </c>
      <c r="G32" s="6" t="s">
        <v>36</v>
      </c>
      <c r="H32" s="9">
        <v>1.0</v>
      </c>
      <c r="I32" s="9">
        <v>1.0</v>
      </c>
      <c r="J32" s="10"/>
      <c r="K32" s="6" t="s">
        <v>129</v>
      </c>
      <c r="L32" s="6" t="s">
        <v>130</v>
      </c>
      <c r="M32" s="6" t="s">
        <v>22</v>
      </c>
      <c r="N32" s="10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 t="s">
        <v>14</v>
      </c>
      <c r="B33" s="6" t="s">
        <v>124</v>
      </c>
      <c r="C33" s="6" t="s">
        <v>125</v>
      </c>
      <c r="D33" s="6" t="s">
        <v>126</v>
      </c>
      <c r="E33" s="6" t="s">
        <v>127</v>
      </c>
      <c r="F33" s="6" t="s">
        <v>131</v>
      </c>
      <c r="G33" s="12" t="s">
        <v>132</v>
      </c>
      <c r="H33" s="9">
        <v>2.0</v>
      </c>
      <c r="I33" s="9" t="s">
        <v>36</v>
      </c>
      <c r="J33" s="6"/>
      <c r="K33" s="6" t="s">
        <v>129</v>
      </c>
      <c r="L33" s="6" t="s">
        <v>130</v>
      </c>
      <c r="M33" s="6" t="s">
        <v>22</v>
      </c>
      <c r="N33" s="10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3" t="s">
        <v>14</v>
      </c>
      <c r="B34" s="3" t="s">
        <v>124</v>
      </c>
      <c r="C34" s="3" t="s">
        <v>125</v>
      </c>
      <c r="D34" s="3" t="s">
        <v>126</v>
      </c>
      <c r="E34" s="3" t="s">
        <v>127</v>
      </c>
      <c r="F34" s="3" t="s">
        <v>133</v>
      </c>
      <c r="G34" s="3" t="s">
        <v>134</v>
      </c>
      <c r="H34" s="4">
        <v>3.0</v>
      </c>
      <c r="I34" s="4">
        <v>2.0</v>
      </c>
      <c r="J34" s="5"/>
      <c r="K34" s="3" t="s">
        <v>129</v>
      </c>
      <c r="L34" s="3" t="s">
        <v>130</v>
      </c>
      <c r="M34" s="3" t="s">
        <v>22</v>
      </c>
      <c r="N34" s="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14</v>
      </c>
      <c r="B35" s="3" t="s">
        <v>135</v>
      </c>
      <c r="C35" s="3" t="s">
        <v>136</v>
      </c>
      <c r="D35" s="3" t="s">
        <v>137</v>
      </c>
      <c r="E35" s="3" t="s">
        <v>138</v>
      </c>
      <c r="F35" s="3" t="s">
        <v>128</v>
      </c>
      <c r="G35" s="13" t="s">
        <v>36</v>
      </c>
      <c r="H35" s="4">
        <v>1.0</v>
      </c>
      <c r="I35" s="4" t="s">
        <v>36</v>
      </c>
      <c r="J35" s="5"/>
      <c r="K35" s="3" t="s">
        <v>139</v>
      </c>
      <c r="L35" s="3" t="s">
        <v>140</v>
      </c>
      <c r="M35" s="3" t="s">
        <v>22</v>
      </c>
      <c r="N35" s="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14</v>
      </c>
      <c r="B36" s="3" t="s">
        <v>135</v>
      </c>
      <c r="C36" s="3" t="s">
        <v>136</v>
      </c>
      <c r="D36" s="3" t="s">
        <v>137</v>
      </c>
      <c r="E36" s="3" t="s">
        <v>138</v>
      </c>
      <c r="F36" s="3" t="s">
        <v>141</v>
      </c>
      <c r="G36" s="3" t="s">
        <v>142</v>
      </c>
      <c r="H36" s="4">
        <v>2.0</v>
      </c>
      <c r="I36" s="4">
        <v>1.0</v>
      </c>
      <c r="J36" s="3"/>
      <c r="K36" s="3" t="s">
        <v>139</v>
      </c>
      <c r="L36" s="3" t="s">
        <v>140</v>
      </c>
      <c r="M36" s="3" t="s">
        <v>22</v>
      </c>
      <c r="N36" s="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14</v>
      </c>
      <c r="B37" s="3" t="s">
        <v>135</v>
      </c>
      <c r="C37" s="3" t="s">
        <v>136</v>
      </c>
      <c r="D37" s="3" t="s">
        <v>137</v>
      </c>
      <c r="E37" s="3" t="s">
        <v>138</v>
      </c>
      <c r="F37" s="3" t="s">
        <v>36</v>
      </c>
      <c r="G37" s="3" t="s">
        <v>19</v>
      </c>
      <c r="H37" s="4" t="s">
        <v>36</v>
      </c>
      <c r="I37" s="4">
        <v>2.0</v>
      </c>
      <c r="J37" s="3" t="s">
        <v>80</v>
      </c>
      <c r="K37" s="3" t="s">
        <v>139</v>
      </c>
      <c r="L37" s="3" t="s">
        <v>140</v>
      </c>
      <c r="M37" s="3" t="s">
        <v>22</v>
      </c>
      <c r="N37" s="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14</v>
      </c>
      <c r="B38" s="3" t="s">
        <v>135</v>
      </c>
      <c r="C38" s="3" t="s">
        <v>136</v>
      </c>
      <c r="D38" s="3" t="s">
        <v>137</v>
      </c>
      <c r="E38" s="3" t="s">
        <v>138</v>
      </c>
      <c r="F38" s="3" t="s">
        <v>143</v>
      </c>
      <c r="G38" s="3" t="s">
        <v>143</v>
      </c>
      <c r="H38" s="4">
        <v>3.0</v>
      </c>
      <c r="I38" s="4">
        <v>3.0</v>
      </c>
      <c r="J38" s="5"/>
      <c r="K38" s="3" t="s">
        <v>139</v>
      </c>
      <c r="L38" s="3" t="s">
        <v>140</v>
      </c>
      <c r="M38" s="3" t="s">
        <v>22</v>
      </c>
      <c r="N38" s="5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14</v>
      </c>
      <c r="B39" s="3" t="s">
        <v>144</v>
      </c>
      <c r="C39" s="3" t="s">
        <v>145</v>
      </c>
      <c r="D39" s="3" t="s">
        <v>146</v>
      </c>
      <c r="E39" s="3" t="s">
        <v>147</v>
      </c>
      <c r="F39" s="3" t="s">
        <v>148</v>
      </c>
      <c r="G39" s="3" t="s">
        <v>149</v>
      </c>
      <c r="H39" s="4">
        <v>1.0</v>
      </c>
      <c r="I39" s="4">
        <v>1.0</v>
      </c>
      <c r="J39" s="5"/>
      <c r="K39" s="3" t="s">
        <v>150</v>
      </c>
      <c r="L39" s="3" t="s">
        <v>151</v>
      </c>
      <c r="M39" s="3" t="s">
        <v>22</v>
      </c>
      <c r="N39" s="5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14</v>
      </c>
      <c r="B40" s="3" t="s">
        <v>144</v>
      </c>
      <c r="C40" s="3" t="s">
        <v>145</v>
      </c>
      <c r="D40" s="3" t="s">
        <v>146</v>
      </c>
      <c r="E40" s="3" t="s">
        <v>147</v>
      </c>
      <c r="F40" s="7" t="s">
        <v>152</v>
      </c>
      <c r="G40" s="3" t="s">
        <v>56</v>
      </c>
      <c r="H40" s="4">
        <v>2.0</v>
      </c>
      <c r="I40" s="4">
        <v>2.0</v>
      </c>
      <c r="J40" s="5"/>
      <c r="K40" s="3" t="s">
        <v>150</v>
      </c>
      <c r="L40" s="3" t="s">
        <v>151</v>
      </c>
      <c r="M40" s="3" t="s">
        <v>22</v>
      </c>
      <c r="N40" s="5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14</v>
      </c>
      <c r="B41" s="7" t="s">
        <v>153</v>
      </c>
      <c r="C41" s="3" t="s">
        <v>154</v>
      </c>
      <c r="D41" s="3" t="s">
        <v>155</v>
      </c>
      <c r="E41" s="3" t="s">
        <v>156</v>
      </c>
      <c r="F41" s="3" t="s">
        <v>157</v>
      </c>
      <c r="G41" s="3" t="s">
        <v>158</v>
      </c>
      <c r="H41" s="4">
        <v>1.0</v>
      </c>
      <c r="I41" s="4">
        <v>1.0</v>
      </c>
      <c r="J41" s="3"/>
      <c r="K41" s="3" t="s">
        <v>159</v>
      </c>
      <c r="L41" s="3" t="s">
        <v>160</v>
      </c>
      <c r="M41" s="3" t="s">
        <v>22</v>
      </c>
      <c r="N41" s="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14</v>
      </c>
      <c r="B42" s="7" t="s">
        <v>161</v>
      </c>
      <c r="C42" s="3" t="s">
        <v>154</v>
      </c>
      <c r="D42" s="3" t="s">
        <v>155</v>
      </c>
      <c r="E42" s="3" t="s">
        <v>156</v>
      </c>
      <c r="F42" s="3" t="s">
        <v>162</v>
      </c>
      <c r="G42" s="3" t="s">
        <v>163</v>
      </c>
      <c r="H42" s="4">
        <v>2.0</v>
      </c>
      <c r="I42" s="4">
        <v>2.0</v>
      </c>
      <c r="J42" s="3"/>
      <c r="K42" s="3" t="s">
        <v>159</v>
      </c>
      <c r="L42" s="3" t="s">
        <v>160</v>
      </c>
      <c r="M42" s="3" t="s">
        <v>22</v>
      </c>
      <c r="N42" s="5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14</v>
      </c>
      <c r="B43" s="3" t="s">
        <v>164</v>
      </c>
      <c r="C43" s="3" t="s">
        <v>165</v>
      </c>
      <c r="D43" s="6" t="s">
        <v>166</v>
      </c>
      <c r="E43" s="3" t="s">
        <v>167</v>
      </c>
      <c r="F43" s="6" t="s">
        <v>168</v>
      </c>
      <c r="G43" s="3" t="s">
        <v>158</v>
      </c>
      <c r="H43" s="4">
        <v>1.0</v>
      </c>
      <c r="I43" s="4">
        <v>1.0</v>
      </c>
      <c r="J43" s="3" t="s">
        <v>72</v>
      </c>
      <c r="K43" s="3" t="s">
        <v>169</v>
      </c>
      <c r="L43" s="3" t="s">
        <v>170</v>
      </c>
      <c r="M43" s="3" t="s">
        <v>22</v>
      </c>
      <c r="N43" s="5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14</v>
      </c>
      <c r="B44" s="3" t="s">
        <v>164</v>
      </c>
      <c r="C44" s="3" t="s">
        <v>165</v>
      </c>
      <c r="D44" s="6" t="s">
        <v>166</v>
      </c>
      <c r="E44" s="3" t="s">
        <v>167</v>
      </c>
      <c r="F44" s="6" t="s">
        <v>171</v>
      </c>
      <c r="G44" s="3" t="s">
        <v>172</v>
      </c>
      <c r="H44" s="4">
        <v>2.0</v>
      </c>
      <c r="I44" s="4">
        <v>2.0</v>
      </c>
      <c r="J44" s="3" t="s">
        <v>80</v>
      </c>
      <c r="K44" s="3" t="s">
        <v>169</v>
      </c>
      <c r="L44" s="3" t="s">
        <v>170</v>
      </c>
      <c r="M44" s="3" t="s">
        <v>22</v>
      </c>
      <c r="N44" s="5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14</v>
      </c>
      <c r="B45" s="3" t="s">
        <v>164</v>
      </c>
      <c r="C45" s="3" t="s">
        <v>165</v>
      </c>
      <c r="D45" s="6" t="s">
        <v>166</v>
      </c>
      <c r="E45" s="3" t="s">
        <v>167</v>
      </c>
      <c r="F45" s="3" t="s">
        <v>36</v>
      </c>
      <c r="G45" s="3" t="s">
        <v>173</v>
      </c>
      <c r="H45" s="4" t="s">
        <v>36</v>
      </c>
      <c r="I45" s="4">
        <v>3.0</v>
      </c>
      <c r="J45" s="3"/>
      <c r="K45" s="3" t="s">
        <v>169</v>
      </c>
      <c r="L45" s="3" t="s">
        <v>170</v>
      </c>
      <c r="M45" s="3" t="s">
        <v>22</v>
      </c>
      <c r="N45" s="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14</v>
      </c>
      <c r="B46" s="3" t="s">
        <v>164</v>
      </c>
      <c r="C46" s="3" t="s">
        <v>165</v>
      </c>
      <c r="D46" s="6" t="s">
        <v>166</v>
      </c>
      <c r="E46" s="3" t="s">
        <v>167</v>
      </c>
      <c r="F46" s="3" t="s">
        <v>174</v>
      </c>
      <c r="G46" s="3" t="s">
        <v>175</v>
      </c>
      <c r="H46" s="4">
        <v>3.0</v>
      </c>
      <c r="I46" s="4">
        <v>4.0</v>
      </c>
      <c r="J46" s="5"/>
      <c r="K46" s="3" t="s">
        <v>169</v>
      </c>
      <c r="L46" s="3" t="s">
        <v>170</v>
      </c>
      <c r="M46" s="3" t="s">
        <v>22</v>
      </c>
      <c r="N46" s="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14</v>
      </c>
      <c r="B47" s="3" t="s">
        <v>176</v>
      </c>
      <c r="C47" s="3" t="s">
        <v>177</v>
      </c>
      <c r="D47" s="3" t="s">
        <v>178</v>
      </c>
      <c r="E47" s="3" t="s">
        <v>178</v>
      </c>
      <c r="F47" s="3" t="s">
        <v>168</v>
      </c>
      <c r="G47" s="3" t="s">
        <v>168</v>
      </c>
      <c r="H47" s="4">
        <v>1.0</v>
      </c>
      <c r="I47" s="4">
        <v>1.0</v>
      </c>
      <c r="J47" s="3" t="s">
        <v>72</v>
      </c>
      <c r="K47" s="3" t="s">
        <v>179</v>
      </c>
      <c r="L47" s="3" t="s">
        <v>180</v>
      </c>
      <c r="M47" s="3" t="s">
        <v>22</v>
      </c>
      <c r="N47" s="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14</v>
      </c>
      <c r="B48" s="3" t="s">
        <v>176</v>
      </c>
      <c r="C48" s="3" t="s">
        <v>177</v>
      </c>
      <c r="D48" s="3" t="s">
        <v>178</v>
      </c>
      <c r="E48" s="3" t="s">
        <v>178</v>
      </c>
      <c r="F48" s="3" t="s">
        <v>181</v>
      </c>
      <c r="G48" s="3" t="s">
        <v>181</v>
      </c>
      <c r="H48" s="4">
        <v>2.0</v>
      </c>
      <c r="I48" s="4">
        <v>2.0</v>
      </c>
      <c r="J48" s="3"/>
      <c r="K48" s="3" t="s">
        <v>179</v>
      </c>
      <c r="L48" s="3" t="s">
        <v>180</v>
      </c>
      <c r="M48" s="3" t="s">
        <v>22</v>
      </c>
      <c r="N48" s="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14</v>
      </c>
      <c r="B49" s="3" t="s">
        <v>182</v>
      </c>
      <c r="C49" s="3" t="s">
        <v>183</v>
      </c>
      <c r="D49" s="7" t="s">
        <v>184</v>
      </c>
      <c r="E49" s="8" t="s">
        <v>185</v>
      </c>
      <c r="F49" s="7" t="s">
        <v>168</v>
      </c>
      <c r="G49" s="8" t="s">
        <v>168</v>
      </c>
      <c r="H49" s="4">
        <v>1.0</v>
      </c>
      <c r="I49" s="4">
        <v>1.0</v>
      </c>
      <c r="J49" s="5"/>
      <c r="K49" s="3" t="s">
        <v>186</v>
      </c>
      <c r="L49" s="3" t="s">
        <v>187</v>
      </c>
      <c r="M49" s="3" t="s">
        <v>22</v>
      </c>
      <c r="N49" s="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14</v>
      </c>
      <c r="B50" s="3" t="s">
        <v>182</v>
      </c>
      <c r="C50" s="3" t="s">
        <v>183</v>
      </c>
      <c r="D50" s="7" t="s">
        <v>184</v>
      </c>
      <c r="E50" s="8" t="s">
        <v>185</v>
      </c>
      <c r="F50" s="14" t="s">
        <v>188</v>
      </c>
      <c r="G50" s="3" t="s">
        <v>189</v>
      </c>
      <c r="H50" s="4">
        <v>2.0</v>
      </c>
      <c r="I50" s="4">
        <v>2.0</v>
      </c>
      <c r="J50" s="5"/>
      <c r="K50" s="3" t="s">
        <v>186</v>
      </c>
      <c r="L50" s="3" t="s">
        <v>187</v>
      </c>
      <c r="M50" s="3" t="s">
        <v>22</v>
      </c>
      <c r="N50" s="5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14</v>
      </c>
      <c r="B51" s="3" t="s">
        <v>182</v>
      </c>
      <c r="C51" s="3" t="s">
        <v>183</v>
      </c>
      <c r="D51" s="7" t="s">
        <v>184</v>
      </c>
      <c r="E51" s="8" t="s">
        <v>185</v>
      </c>
      <c r="F51" s="7" t="s">
        <v>190</v>
      </c>
      <c r="G51" s="3" t="s">
        <v>190</v>
      </c>
      <c r="H51" s="4">
        <v>3.0</v>
      </c>
      <c r="I51" s="4">
        <v>3.0</v>
      </c>
      <c r="J51" s="5"/>
      <c r="K51" s="3" t="s">
        <v>186</v>
      </c>
      <c r="L51" s="3" t="s">
        <v>187</v>
      </c>
      <c r="M51" s="3" t="s">
        <v>22</v>
      </c>
      <c r="N51" s="5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14</v>
      </c>
      <c r="B52" s="3" t="s">
        <v>191</v>
      </c>
      <c r="C52" s="3" t="s">
        <v>192</v>
      </c>
      <c r="D52" s="3" t="s">
        <v>193</v>
      </c>
      <c r="E52" s="3" t="s">
        <v>192</v>
      </c>
      <c r="F52" s="3" t="s">
        <v>194</v>
      </c>
      <c r="G52" s="3" t="s">
        <v>192</v>
      </c>
      <c r="H52" s="4">
        <v>1.0</v>
      </c>
      <c r="I52" s="4">
        <v>1.0</v>
      </c>
      <c r="J52" s="5"/>
      <c r="K52" s="3" t="s">
        <v>195</v>
      </c>
      <c r="L52" s="3" t="s">
        <v>196</v>
      </c>
      <c r="M52" s="3" t="s">
        <v>22</v>
      </c>
      <c r="N52" s="5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14</v>
      </c>
      <c r="B53" s="3" t="s">
        <v>191</v>
      </c>
      <c r="C53" s="3" t="s">
        <v>192</v>
      </c>
      <c r="D53" s="3" t="s">
        <v>193</v>
      </c>
      <c r="E53" s="3" t="s">
        <v>192</v>
      </c>
      <c r="F53" s="3" t="s">
        <v>197</v>
      </c>
      <c r="G53" s="3" t="s">
        <v>36</v>
      </c>
      <c r="H53" s="4">
        <v>2.0</v>
      </c>
      <c r="I53" s="4" t="s">
        <v>36</v>
      </c>
      <c r="J53" s="3"/>
      <c r="K53" s="3" t="s">
        <v>195</v>
      </c>
      <c r="L53" s="3" t="s">
        <v>196</v>
      </c>
      <c r="M53" s="3" t="s">
        <v>22</v>
      </c>
      <c r="N53" s="5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14</v>
      </c>
      <c r="B54" s="3" t="s">
        <v>198</v>
      </c>
      <c r="C54" s="3" t="s">
        <v>199</v>
      </c>
      <c r="D54" s="3" t="s">
        <v>200</v>
      </c>
      <c r="E54" s="3" t="s">
        <v>201</v>
      </c>
      <c r="F54" s="3" t="s">
        <v>202</v>
      </c>
      <c r="G54" s="3" t="s">
        <v>202</v>
      </c>
      <c r="H54" s="4">
        <v>1.0</v>
      </c>
      <c r="I54" s="4">
        <v>1.0</v>
      </c>
      <c r="J54" s="3"/>
      <c r="K54" s="3" t="s">
        <v>203</v>
      </c>
      <c r="L54" s="3" t="s">
        <v>204</v>
      </c>
      <c r="M54" s="3" t="s">
        <v>22</v>
      </c>
      <c r="N54" s="5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14</v>
      </c>
      <c r="B55" s="3" t="s">
        <v>198</v>
      </c>
      <c r="C55" s="3" t="s">
        <v>199</v>
      </c>
      <c r="D55" s="3" t="s">
        <v>200</v>
      </c>
      <c r="E55" s="3" t="s">
        <v>201</v>
      </c>
      <c r="F55" s="3" t="s">
        <v>205</v>
      </c>
      <c r="G55" s="3" t="s">
        <v>24</v>
      </c>
      <c r="H55" s="4">
        <v>2.0</v>
      </c>
      <c r="I55" s="4">
        <v>2.0</v>
      </c>
      <c r="J55" s="3"/>
      <c r="K55" s="3" t="s">
        <v>203</v>
      </c>
      <c r="L55" s="3" t="s">
        <v>204</v>
      </c>
      <c r="M55" s="3" t="s">
        <v>22</v>
      </c>
      <c r="N55" s="5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14</v>
      </c>
      <c r="B56" s="3" t="s">
        <v>206</v>
      </c>
      <c r="C56" s="3" t="s">
        <v>207</v>
      </c>
      <c r="D56" s="3" t="s">
        <v>208</v>
      </c>
      <c r="E56" s="3" t="s">
        <v>209</v>
      </c>
      <c r="F56" s="3" t="s">
        <v>210</v>
      </c>
      <c r="G56" s="3" t="s">
        <v>49</v>
      </c>
      <c r="H56" s="4">
        <v>1.0</v>
      </c>
      <c r="I56" s="4">
        <v>1.0</v>
      </c>
      <c r="J56" s="5"/>
      <c r="K56" s="3" t="s">
        <v>211</v>
      </c>
      <c r="L56" s="3" t="s">
        <v>212</v>
      </c>
      <c r="M56" s="3" t="s">
        <v>22</v>
      </c>
      <c r="N56" s="5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14</v>
      </c>
      <c r="B57" s="3" t="s">
        <v>206</v>
      </c>
      <c r="C57" s="3" t="s">
        <v>207</v>
      </c>
      <c r="D57" s="3" t="s">
        <v>208</v>
      </c>
      <c r="E57" s="3" t="s">
        <v>209</v>
      </c>
      <c r="F57" s="8" t="s">
        <v>210</v>
      </c>
      <c r="G57" s="3" t="s">
        <v>62</v>
      </c>
      <c r="H57" s="4">
        <v>2.0</v>
      </c>
      <c r="I57" s="4">
        <v>2.0</v>
      </c>
      <c r="J57" s="5"/>
      <c r="K57" s="3" t="s">
        <v>211</v>
      </c>
      <c r="L57" s="3" t="s">
        <v>212</v>
      </c>
      <c r="M57" s="3" t="s">
        <v>22</v>
      </c>
      <c r="N57" s="5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14</v>
      </c>
      <c r="B58" s="3" t="s">
        <v>206</v>
      </c>
      <c r="C58" s="3" t="s">
        <v>207</v>
      </c>
      <c r="D58" s="3" t="s">
        <v>208</v>
      </c>
      <c r="E58" s="3" t="s">
        <v>209</v>
      </c>
      <c r="F58" s="3" t="s">
        <v>36</v>
      </c>
      <c r="G58" s="3" t="s">
        <v>175</v>
      </c>
      <c r="H58" s="4" t="s">
        <v>36</v>
      </c>
      <c r="I58" s="4">
        <v>3.0</v>
      </c>
      <c r="J58" s="5"/>
      <c r="K58" s="3" t="s">
        <v>211</v>
      </c>
      <c r="L58" s="3" t="s">
        <v>212</v>
      </c>
      <c r="M58" s="3" t="s">
        <v>22</v>
      </c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14</v>
      </c>
      <c r="B59" s="3" t="s">
        <v>206</v>
      </c>
      <c r="C59" s="3" t="s">
        <v>207</v>
      </c>
      <c r="D59" s="3" t="s">
        <v>208</v>
      </c>
      <c r="E59" s="3" t="s">
        <v>209</v>
      </c>
      <c r="F59" s="3" t="s">
        <v>213</v>
      </c>
      <c r="G59" s="3" t="s">
        <v>214</v>
      </c>
      <c r="H59" s="4">
        <v>3.0</v>
      </c>
      <c r="I59" s="4">
        <v>4.0</v>
      </c>
      <c r="J59" s="5"/>
      <c r="K59" s="3" t="s">
        <v>211</v>
      </c>
      <c r="L59" s="3" t="s">
        <v>212</v>
      </c>
      <c r="M59" s="3" t="s">
        <v>22</v>
      </c>
      <c r="N59" s="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14</v>
      </c>
      <c r="B60" s="3" t="s">
        <v>215</v>
      </c>
      <c r="C60" s="3" t="s">
        <v>216</v>
      </c>
      <c r="D60" s="3" t="s">
        <v>217</v>
      </c>
      <c r="E60" s="3" t="s">
        <v>218</v>
      </c>
      <c r="F60" s="3" t="s">
        <v>173</v>
      </c>
      <c r="G60" s="3" t="s">
        <v>219</v>
      </c>
      <c r="H60" s="4">
        <v>1.0</v>
      </c>
      <c r="I60" s="4">
        <v>1.0</v>
      </c>
      <c r="J60" s="5"/>
      <c r="K60" s="3" t="s">
        <v>220</v>
      </c>
      <c r="L60" s="3" t="s">
        <v>221</v>
      </c>
      <c r="M60" s="3" t="s">
        <v>22</v>
      </c>
      <c r="N60" s="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14</v>
      </c>
      <c r="B61" s="3" t="s">
        <v>215</v>
      </c>
      <c r="C61" s="3" t="s">
        <v>216</v>
      </c>
      <c r="D61" s="3" t="s">
        <v>217</v>
      </c>
      <c r="E61" s="3" t="s">
        <v>218</v>
      </c>
      <c r="F61" s="3" t="s">
        <v>222</v>
      </c>
      <c r="G61" s="3" t="s">
        <v>222</v>
      </c>
      <c r="H61" s="4">
        <v>2.0</v>
      </c>
      <c r="I61" s="4">
        <v>2.0</v>
      </c>
      <c r="J61" s="5"/>
      <c r="K61" s="3" t="s">
        <v>220</v>
      </c>
      <c r="L61" s="3" t="s">
        <v>221</v>
      </c>
      <c r="M61" s="3" t="s">
        <v>22</v>
      </c>
      <c r="N61" s="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6" t="s">
        <v>14</v>
      </c>
      <c r="B62" s="6" t="s">
        <v>223</v>
      </c>
      <c r="C62" s="6" t="s">
        <v>224</v>
      </c>
      <c r="D62" s="6" t="s">
        <v>225</v>
      </c>
      <c r="E62" s="6" t="s">
        <v>224</v>
      </c>
      <c r="F62" s="6" t="s">
        <v>29</v>
      </c>
      <c r="G62" s="6" t="s">
        <v>36</v>
      </c>
      <c r="H62" s="9">
        <v>1.0</v>
      </c>
      <c r="I62" s="9" t="s">
        <v>36</v>
      </c>
      <c r="J62" s="6" t="s">
        <v>72</v>
      </c>
      <c r="K62" s="6" t="s">
        <v>226</v>
      </c>
      <c r="L62" s="6" t="s">
        <v>227</v>
      </c>
      <c r="M62" s="6" t="s">
        <v>22</v>
      </c>
      <c r="N62" s="10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 t="s">
        <v>14</v>
      </c>
      <c r="B63" s="6" t="s">
        <v>223</v>
      </c>
      <c r="C63" s="6" t="s">
        <v>224</v>
      </c>
      <c r="D63" s="6" t="s">
        <v>225</v>
      </c>
      <c r="E63" s="6" t="s">
        <v>224</v>
      </c>
      <c r="F63" s="6" t="s">
        <v>228</v>
      </c>
      <c r="G63" s="15" t="s">
        <v>224</v>
      </c>
      <c r="H63" s="9">
        <v>2.0</v>
      </c>
      <c r="I63" s="9">
        <v>1.0</v>
      </c>
      <c r="J63" s="6"/>
      <c r="K63" s="6" t="s">
        <v>226</v>
      </c>
      <c r="L63" s="6" t="s">
        <v>227</v>
      </c>
      <c r="M63" s="6" t="s">
        <v>22</v>
      </c>
      <c r="N63" s="10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3" t="s">
        <v>14</v>
      </c>
      <c r="B64" s="3" t="s">
        <v>229</v>
      </c>
      <c r="C64" s="3" t="s">
        <v>230</v>
      </c>
      <c r="D64" s="3" t="s">
        <v>231</v>
      </c>
      <c r="E64" s="3" t="s">
        <v>232</v>
      </c>
      <c r="F64" s="3" t="s">
        <v>233</v>
      </c>
      <c r="G64" s="3" t="s">
        <v>233</v>
      </c>
      <c r="H64" s="4">
        <v>1.0</v>
      </c>
      <c r="I64" s="4">
        <v>1.0</v>
      </c>
      <c r="J64" s="3" t="s">
        <v>72</v>
      </c>
      <c r="K64" s="3" t="s">
        <v>234</v>
      </c>
      <c r="L64" s="3" t="s">
        <v>235</v>
      </c>
      <c r="M64" s="3" t="s">
        <v>22</v>
      </c>
      <c r="N64" s="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14</v>
      </c>
      <c r="B65" s="3" t="s">
        <v>229</v>
      </c>
      <c r="C65" s="3" t="s">
        <v>230</v>
      </c>
      <c r="D65" s="3" t="s">
        <v>231</v>
      </c>
      <c r="E65" s="3" t="s">
        <v>232</v>
      </c>
      <c r="F65" s="3" t="s">
        <v>236</v>
      </c>
      <c r="G65" s="8" t="s">
        <v>237</v>
      </c>
      <c r="H65" s="4">
        <v>2.0</v>
      </c>
      <c r="I65" s="4">
        <v>2.0</v>
      </c>
      <c r="J65" s="3"/>
      <c r="K65" s="3" t="s">
        <v>234</v>
      </c>
      <c r="L65" s="3" t="s">
        <v>235</v>
      </c>
      <c r="M65" s="3" t="s">
        <v>22</v>
      </c>
      <c r="N65" s="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14</v>
      </c>
      <c r="B66" s="3" t="s">
        <v>229</v>
      </c>
      <c r="C66" s="3" t="s">
        <v>230</v>
      </c>
      <c r="D66" s="3" t="s">
        <v>231</v>
      </c>
      <c r="E66" s="3" t="s">
        <v>232</v>
      </c>
      <c r="F66" s="3" t="s">
        <v>238</v>
      </c>
      <c r="G66" s="3" t="s">
        <v>238</v>
      </c>
      <c r="H66" s="4">
        <v>3.0</v>
      </c>
      <c r="I66" s="4">
        <v>3.0</v>
      </c>
      <c r="J66" s="3"/>
      <c r="K66" s="3" t="s">
        <v>234</v>
      </c>
      <c r="L66" s="3" t="s">
        <v>235</v>
      </c>
      <c r="M66" s="3" t="s">
        <v>22</v>
      </c>
      <c r="N66" s="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14</v>
      </c>
      <c r="B67" s="3" t="s">
        <v>239</v>
      </c>
      <c r="C67" s="3" t="s">
        <v>240</v>
      </c>
      <c r="D67" s="3" t="s">
        <v>241</v>
      </c>
      <c r="E67" s="8" t="s">
        <v>242</v>
      </c>
      <c r="F67" s="3" t="s">
        <v>128</v>
      </c>
      <c r="G67" s="3" t="s">
        <v>36</v>
      </c>
      <c r="H67" s="4">
        <v>1.0</v>
      </c>
      <c r="I67" s="4" t="s">
        <v>36</v>
      </c>
      <c r="J67" s="3" t="s">
        <v>80</v>
      </c>
      <c r="K67" s="3" t="s">
        <v>242</v>
      </c>
      <c r="L67" s="3" t="s">
        <v>243</v>
      </c>
      <c r="M67" s="3" t="s">
        <v>22</v>
      </c>
      <c r="N67" s="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14</v>
      </c>
      <c r="B68" s="3" t="s">
        <v>239</v>
      </c>
      <c r="C68" s="3" t="s">
        <v>240</v>
      </c>
      <c r="D68" s="3" t="s">
        <v>241</v>
      </c>
      <c r="E68" s="8" t="s">
        <v>242</v>
      </c>
      <c r="F68" s="8" t="s">
        <v>244</v>
      </c>
      <c r="G68" s="16" t="s">
        <v>242</v>
      </c>
      <c r="H68" s="4">
        <v>2.0</v>
      </c>
      <c r="I68" s="4">
        <v>1.0</v>
      </c>
      <c r="J68" s="3"/>
      <c r="K68" s="3" t="s">
        <v>242</v>
      </c>
      <c r="L68" s="3" t="s">
        <v>243</v>
      </c>
      <c r="M68" s="3" t="s">
        <v>22</v>
      </c>
      <c r="N68" s="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14</v>
      </c>
      <c r="B69" s="3" t="s">
        <v>239</v>
      </c>
      <c r="C69" s="3" t="s">
        <v>240</v>
      </c>
      <c r="D69" s="3" t="s">
        <v>241</v>
      </c>
      <c r="E69" s="8" t="s">
        <v>242</v>
      </c>
      <c r="F69" s="3" t="s">
        <v>245</v>
      </c>
      <c r="G69" s="3" t="s">
        <v>36</v>
      </c>
      <c r="H69" s="4">
        <v>3.0</v>
      </c>
      <c r="I69" s="4" t="s">
        <v>36</v>
      </c>
      <c r="J69" s="3"/>
      <c r="K69" s="3" t="s">
        <v>242</v>
      </c>
      <c r="L69" s="3" t="s">
        <v>243</v>
      </c>
      <c r="M69" s="3" t="s">
        <v>22</v>
      </c>
      <c r="N69" s="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14</v>
      </c>
      <c r="B70" s="3" t="s">
        <v>246</v>
      </c>
      <c r="C70" s="3" t="s">
        <v>247</v>
      </c>
      <c r="D70" s="3" t="s">
        <v>248</v>
      </c>
      <c r="E70" s="3" t="s">
        <v>249</v>
      </c>
      <c r="F70" s="3" t="s">
        <v>250</v>
      </c>
      <c r="G70" s="3" t="s">
        <v>251</v>
      </c>
      <c r="H70" s="4">
        <v>1.0</v>
      </c>
      <c r="I70" s="4">
        <v>1.0</v>
      </c>
      <c r="J70" s="5"/>
      <c r="K70" s="3" t="s">
        <v>252</v>
      </c>
      <c r="L70" s="3" t="s">
        <v>253</v>
      </c>
      <c r="M70" s="3" t="s">
        <v>22</v>
      </c>
      <c r="N70" s="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14</v>
      </c>
      <c r="B71" s="3" t="s">
        <v>246</v>
      </c>
      <c r="C71" s="3" t="s">
        <v>247</v>
      </c>
      <c r="D71" s="3" t="s">
        <v>248</v>
      </c>
      <c r="E71" s="3" t="s">
        <v>249</v>
      </c>
      <c r="F71" s="3" t="s">
        <v>254</v>
      </c>
      <c r="G71" s="3" t="s">
        <v>254</v>
      </c>
      <c r="H71" s="4">
        <v>2.0</v>
      </c>
      <c r="I71" s="4">
        <v>2.0</v>
      </c>
      <c r="J71" s="5"/>
      <c r="K71" s="3" t="s">
        <v>252</v>
      </c>
      <c r="L71" s="3" t="s">
        <v>253</v>
      </c>
      <c r="M71" s="3" t="s">
        <v>22</v>
      </c>
      <c r="N71" s="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14</v>
      </c>
      <c r="B72" s="3" t="s">
        <v>255</v>
      </c>
      <c r="C72" s="3" t="s">
        <v>256</v>
      </c>
      <c r="D72" s="3" t="s">
        <v>257</v>
      </c>
      <c r="E72" s="3" t="s">
        <v>258</v>
      </c>
      <c r="F72" s="3" t="s">
        <v>36</v>
      </c>
      <c r="G72" s="3" t="s">
        <v>49</v>
      </c>
      <c r="H72" s="4" t="s">
        <v>36</v>
      </c>
      <c r="I72" s="4">
        <v>1.0</v>
      </c>
      <c r="J72" s="5"/>
      <c r="K72" s="3" t="s">
        <v>259</v>
      </c>
      <c r="L72" s="3" t="s">
        <v>260</v>
      </c>
      <c r="M72" s="3" t="s">
        <v>22</v>
      </c>
      <c r="N72" s="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14</v>
      </c>
      <c r="B73" s="3" t="s">
        <v>255</v>
      </c>
      <c r="C73" s="3" t="s">
        <v>256</v>
      </c>
      <c r="D73" s="3" t="s">
        <v>257</v>
      </c>
      <c r="E73" s="3" t="s">
        <v>258</v>
      </c>
      <c r="F73" s="3" t="s">
        <v>261</v>
      </c>
      <c r="G73" s="3" t="s">
        <v>261</v>
      </c>
      <c r="H73" s="4">
        <v>1.0</v>
      </c>
      <c r="I73" s="4">
        <v>2.0</v>
      </c>
      <c r="J73" s="5"/>
      <c r="K73" s="3" t="s">
        <v>259</v>
      </c>
      <c r="L73" s="3" t="s">
        <v>260</v>
      </c>
      <c r="M73" s="3" t="s">
        <v>22</v>
      </c>
      <c r="N73" s="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14</v>
      </c>
      <c r="B74" s="3" t="s">
        <v>255</v>
      </c>
      <c r="C74" s="3" t="s">
        <v>256</v>
      </c>
      <c r="D74" s="3" t="s">
        <v>257</v>
      </c>
      <c r="E74" s="3" t="s">
        <v>258</v>
      </c>
      <c r="F74" s="3" t="s">
        <v>262</v>
      </c>
      <c r="G74" s="3" t="s">
        <v>263</v>
      </c>
      <c r="H74" s="4">
        <v>2.0</v>
      </c>
      <c r="I74" s="4">
        <v>3.0</v>
      </c>
      <c r="J74" s="5"/>
      <c r="K74" s="3" t="s">
        <v>259</v>
      </c>
      <c r="L74" s="3" t="s">
        <v>260</v>
      </c>
      <c r="M74" s="3" t="s">
        <v>22</v>
      </c>
      <c r="N74" s="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14</v>
      </c>
      <c r="B75" s="3" t="s">
        <v>264</v>
      </c>
      <c r="C75" s="3" t="s">
        <v>265</v>
      </c>
      <c r="D75" s="3" t="s">
        <v>266</v>
      </c>
      <c r="E75" s="3" t="s">
        <v>267</v>
      </c>
      <c r="F75" s="3" t="s">
        <v>268</v>
      </c>
      <c r="G75" s="3" t="s">
        <v>269</v>
      </c>
      <c r="H75" s="4">
        <v>1.0</v>
      </c>
      <c r="I75" s="4">
        <v>1.0</v>
      </c>
      <c r="J75" s="5"/>
      <c r="K75" s="3" t="s">
        <v>270</v>
      </c>
      <c r="L75" s="3" t="s">
        <v>271</v>
      </c>
      <c r="M75" s="3" t="s">
        <v>22</v>
      </c>
      <c r="N75" s="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14</v>
      </c>
      <c r="B76" s="3" t="s">
        <v>264</v>
      </c>
      <c r="C76" s="3" t="s">
        <v>265</v>
      </c>
      <c r="D76" s="3" t="s">
        <v>266</v>
      </c>
      <c r="E76" s="3" t="s">
        <v>267</v>
      </c>
      <c r="F76" s="3" t="s">
        <v>98</v>
      </c>
      <c r="G76" s="3" t="s">
        <v>98</v>
      </c>
      <c r="H76" s="4">
        <v>2.0</v>
      </c>
      <c r="I76" s="4">
        <v>2.0</v>
      </c>
      <c r="J76" s="5"/>
      <c r="K76" s="3" t="s">
        <v>270</v>
      </c>
      <c r="L76" s="3" t="s">
        <v>271</v>
      </c>
      <c r="M76" s="3" t="s">
        <v>22</v>
      </c>
      <c r="N76" s="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14</v>
      </c>
      <c r="B77" s="3" t="s">
        <v>272</v>
      </c>
      <c r="C77" s="3" t="s">
        <v>273</v>
      </c>
      <c r="D77" s="3" t="s">
        <v>274</v>
      </c>
      <c r="E77" s="3" t="s">
        <v>275</v>
      </c>
      <c r="F77" s="3" t="s">
        <v>276</v>
      </c>
      <c r="G77" s="3" t="s">
        <v>276</v>
      </c>
      <c r="H77" s="4">
        <v>1.0</v>
      </c>
      <c r="I77" s="4">
        <v>1.0</v>
      </c>
      <c r="J77" s="3" t="s">
        <v>72</v>
      </c>
      <c r="K77" s="3" t="s">
        <v>277</v>
      </c>
      <c r="L77" s="3" t="s">
        <v>278</v>
      </c>
      <c r="M77" s="3" t="s">
        <v>22</v>
      </c>
      <c r="N77" s="5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14</v>
      </c>
      <c r="B78" s="3" t="s">
        <v>272</v>
      </c>
      <c r="C78" s="3" t="s">
        <v>273</v>
      </c>
      <c r="D78" s="3" t="s">
        <v>274</v>
      </c>
      <c r="E78" s="3" t="s">
        <v>275</v>
      </c>
      <c r="F78" s="3" t="s">
        <v>279</v>
      </c>
      <c r="G78" s="3" t="s">
        <v>280</v>
      </c>
      <c r="H78" s="4">
        <v>2.0</v>
      </c>
      <c r="I78" s="4">
        <v>2.0</v>
      </c>
      <c r="J78" s="3"/>
      <c r="K78" s="3" t="s">
        <v>277</v>
      </c>
      <c r="L78" s="3" t="s">
        <v>278</v>
      </c>
      <c r="M78" s="3" t="s">
        <v>22</v>
      </c>
      <c r="N78" s="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14</v>
      </c>
      <c r="B79" s="3" t="s">
        <v>272</v>
      </c>
      <c r="C79" s="3" t="s">
        <v>273</v>
      </c>
      <c r="D79" s="3" t="s">
        <v>274</v>
      </c>
      <c r="E79" s="3" t="s">
        <v>275</v>
      </c>
      <c r="F79" s="3" t="s">
        <v>281</v>
      </c>
      <c r="G79" s="3" t="s">
        <v>282</v>
      </c>
      <c r="H79" s="4">
        <v>3.0</v>
      </c>
      <c r="I79" s="4">
        <v>3.0</v>
      </c>
      <c r="J79" s="3"/>
      <c r="K79" s="3" t="s">
        <v>277</v>
      </c>
      <c r="L79" s="3" t="s">
        <v>278</v>
      </c>
      <c r="M79" s="3" t="s">
        <v>22</v>
      </c>
      <c r="N79" s="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14</v>
      </c>
      <c r="B80" s="3" t="s">
        <v>283</v>
      </c>
      <c r="C80" s="3" t="s">
        <v>284</v>
      </c>
      <c r="D80" s="3" t="s">
        <v>285</v>
      </c>
      <c r="E80" s="3" t="s">
        <v>286</v>
      </c>
      <c r="F80" s="3" t="s">
        <v>287</v>
      </c>
      <c r="G80" s="3" t="s">
        <v>49</v>
      </c>
      <c r="H80" s="4">
        <v>1.0</v>
      </c>
      <c r="I80" s="4">
        <v>1.0</v>
      </c>
      <c r="J80" s="5"/>
      <c r="K80" s="3" t="s">
        <v>288</v>
      </c>
      <c r="L80" s="3" t="s">
        <v>289</v>
      </c>
      <c r="M80" s="3" t="s">
        <v>22</v>
      </c>
      <c r="N80" s="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14</v>
      </c>
      <c r="B81" s="3" t="s">
        <v>283</v>
      </c>
      <c r="C81" s="3" t="s">
        <v>284</v>
      </c>
      <c r="D81" s="3" t="s">
        <v>285</v>
      </c>
      <c r="E81" s="3" t="s">
        <v>286</v>
      </c>
      <c r="F81" s="3" t="s">
        <v>290</v>
      </c>
      <c r="G81" s="3" t="s">
        <v>291</v>
      </c>
      <c r="H81" s="4">
        <v>2.0</v>
      </c>
      <c r="I81" s="4">
        <v>2.0</v>
      </c>
      <c r="J81" s="5"/>
      <c r="K81" s="3" t="s">
        <v>288</v>
      </c>
      <c r="L81" s="3" t="s">
        <v>289</v>
      </c>
      <c r="M81" s="3" t="s">
        <v>22</v>
      </c>
      <c r="N81" s="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14</v>
      </c>
      <c r="B82" s="3" t="s">
        <v>283</v>
      </c>
      <c r="C82" s="3" t="s">
        <v>284</v>
      </c>
      <c r="D82" s="3" t="s">
        <v>285</v>
      </c>
      <c r="E82" s="3" t="s">
        <v>286</v>
      </c>
      <c r="F82" s="3" t="s">
        <v>55</v>
      </c>
      <c r="G82" s="3" t="s">
        <v>56</v>
      </c>
      <c r="H82" s="4">
        <v>3.0</v>
      </c>
      <c r="I82" s="4">
        <v>3.0</v>
      </c>
      <c r="J82" s="5"/>
      <c r="K82" s="3" t="s">
        <v>288</v>
      </c>
      <c r="L82" s="3" t="s">
        <v>289</v>
      </c>
      <c r="M82" s="3" t="s">
        <v>22</v>
      </c>
      <c r="N82" s="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14</v>
      </c>
      <c r="B83" s="3" t="s">
        <v>292</v>
      </c>
      <c r="C83" s="3" t="s">
        <v>292</v>
      </c>
      <c r="D83" s="3" t="s">
        <v>293</v>
      </c>
      <c r="E83" s="3" t="s">
        <v>293</v>
      </c>
      <c r="F83" s="3" t="s">
        <v>19</v>
      </c>
      <c r="G83" s="3" t="s">
        <v>19</v>
      </c>
      <c r="H83" s="4">
        <v>1.0</v>
      </c>
      <c r="I83" s="4">
        <v>1.0</v>
      </c>
      <c r="J83" s="5"/>
      <c r="K83" s="3" t="s">
        <v>294</v>
      </c>
      <c r="L83" s="3" t="s">
        <v>295</v>
      </c>
      <c r="M83" s="3" t="s">
        <v>22</v>
      </c>
      <c r="N83" s="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14</v>
      </c>
      <c r="B84" s="3" t="s">
        <v>292</v>
      </c>
      <c r="C84" s="3" t="s">
        <v>292</v>
      </c>
      <c r="D84" s="3" t="s">
        <v>293</v>
      </c>
      <c r="E84" s="3" t="s">
        <v>293</v>
      </c>
      <c r="F84" s="3" t="s">
        <v>296</v>
      </c>
      <c r="G84" s="3" t="s">
        <v>296</v>
      </c>
      <c r="H84" s="4">
        <v>2.0</v>
      </c>
      <c r="I84" s="4">
        <v>2.0</v>
      </c>
      <c r="J84" s="5"/>
      <c r="K84" s="3" t="s">
        <v>294</v>
      </c>
      <c r="L84" s="3" t="s">
        <v>295</v>
      </c>
      <c r="M84" s="3" t="s">
        <v>22</v>
      </c>
      <c r="N84" s="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14</v>
      </c>
      <c r="B85" s="3" t="s">
        <v>297</v>
      </c>
      <c r="C85" s="3" t="s">
        <v>298</v>
      </c>
      <c r="D85" s="3" t="s">
        <v>299</v>
      </c>
      <c r="E85" s="3" t="s">
        <v>300</v>
      </c>
      <c r="F85" s="17" t="s">
        <v>36</v>
      </c>
      <c r="G85" s="3" t="s">
        <v>301</v>
      </c>
      <c r="H85" s="4" t="s">
        <v>36</v>
      </c>
      <c r="I85" s="4">
        <v>1.0</v>
      </c>
      <c r="J85" s="5"/>
      <c r="K85" s="3" t="s">
        <v>302</v>
      </c>
      <c r="L85" s="3" t="s">
        <v>303</v>
      </c>
      <c r="M85" s="3" t="s">
        <v>22</v>
      </c>
      <c r="N85" s="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14</v>
      </c>
      <c r="B86" s="3" t="s">
        <v>297</v>
      </c>
      <c r="C86" s="3" t="s">
        <v>298</v>
      </c>
      <c r="D86" s="3" t="s">
        <v>299</v>
      </c>
      <c r="E86" s="3" t="s">
        <v>300</v>
      </c>
      <c r="F86" s="3" t="s">
        <v>131</v>
      </c>
      <c r="G86" s="3" t="s">
        <v>121</v>
      </c>
      <c r="H86" s="4">
        <v>1.0</v>
      </c>
      <c r="I86" s="4">
        <v>2.0</v>
      </c>
      <c r="J86" s="3"/>
      <c r="K86" s="3" t="s">
        <v>302</v>
      </c>
      <c r="L86" s="3" t="s">
        <v>303</v>
      </c>
      <c r="M86" s="3" t="s">
        <v>22</v>
      </c>
      <c r="N86" s="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14</v>
      </c>
      <c r="B87" s="3" t="s">
        <v>297</v>
      </c>
      <c r="C87" s="3" t="s">
        <v>298</v>
      </c>
      <c r="D87" s="3" t="s">
        <v>299</v>
      </c>
      <c r="E87" s="3" t="s">
        <v>300</v>
      </c>
      <c r="F87" s="3" t="s">
        <v>158</v>
      </c>
      <c r="G87" s="3" t="s">
        <v>158</v>
      </c>
      <c r="H87" s="4">
        <v>2.0</v>
      </c>
      <c r="I87" s="4">
        <v>3.0</v>
      </c>
      <c r="J87" s="3"/>
      <c r="K87" s="3" t="s">
        <v>302</v>
      </c>
      <c r="L87" s="3" t="s">
        <v>303</v>
      </c>
      <c r="M87" s="3" t="s">
        <v>22</v>
      </c>
      <c r="N87" s="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14</v>
      </c>
      <c r="B88" s="3" t="s">
        <v>304</v>
      </c>
      <c r="C88" s="3" t="s">
        <v>305</v>
      </c>
      <c r="D88" s="3" t="s">
        <v>306</v>
      </c>
      <c r="E88" s="3" t="s">
        <v>307</v>
      </c>
      <c r="F88" s="3" t="s">
        <v>308</v>
      </c>
      <c r="G88" s="3" t="s">
        <v>309</v>
      </c>
      <c r="H88" s="4">
        <v>1.0</v>
      </c>
      <c r="I88" s="4">
        <v>1.0</v>
      </c>
      <c r="J88" s="3"/>
      <c r="K88" s="3" t="s">
        <v>310</v>
      </c>
      <c r="L88" s="3" t="s">
        <v>311</v>
      </c>
      <c r="M88" s="3" t="s">
        <v>22</v>
      </c>
      <c r="N88" s="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14</v>
      </c>
      <c r="B89" s="3" t="s">
        <v>304</v>
      </c>
      <c r="C89" s="3" t="s">
        <v>305</v>
      </c>
      <c r="D89" s="3" t="s">
        <v>306</v>
      </c>
      <c r="E89" s="3" t="s">
        <v>307</v>
      </c>
      <c r="F89" s="3" t="s">
        <v>133</v>
      </c>
      <c r="G89" s="3" t="s">
        <v>312</v>
      </c>
      <c r="H89" s="4">
        <v>2.0</v>
      </c>
      <c r="I89" s="4">
        <v>2.0</v>
      </c>
      <c r="J89" s="5"/>
      <c r="K89" s="3" t="s">
        <v>310</v>
      </c>
      <c r="L89" s="3" t="s">
        <v>311</v>
      </c>
      <c r="M89" s="3" t="s">
        <v>22</v>
      </c>
      <c r="N89" s="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14</v>
      </c>
      <c r="B90" s="3" t="s">
        <v>313</v>
      </c>
      <c r="C90" s="3" t="s">
        <v>314</v>
      </c>
      <c r="D90" s="3" t="s">
        <v>315</v>
      </c>
      <c r="E90" s="3" t="s">
        <v>316</v>
      </c>
      <c r="F90" s="3" t="s">
        <v>317</v>
      </c>
      <c r="G90" s="3" t="s">
        <v>317</v>
      </c>
      <c r="H90" s="4">
        <v>1.0</v>
      </c>
      <c r="I90" s="4">
        <v>1.0</v>
      </c>
      <c r="J90" s="5"/>
      <c r="K90" s="3" t="s">
        <v>318</v>
      </c>
      <c r="L90" s="3" t="s">
        <v>319</v>
      </c>
      <c r="M90" s="3" t="s">
        <v>22</v>
      </c>
      <c r="N90" s="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14</v>
      </c>
      <c r="B91" s="3" t="s">
        <v>313</v>
      </c>
      <c r="C91" s="3" t="s">
        <v>314</v>
      </c>
      <c r="D91" s="3" t="s">
        <v>315</v>
      </c>
      <c r="E91" s="3" t="s">
        <v>316</v>
      </c>
      <c r="F91" s="3" t="s">
        <v>65</v>
      </c>
      <c r="G91" s="3" t="s">
        <v>245</v>
      </c>
      <c r="H91" s="4">
        <v>2.0</v>
      </c>
      <c r="I91" s="4">
        <v>2.0</v>
      </c>
      <c r="J91" s="5"/>
      <c r="K91" s="3" t="s">
        <v>318</v>
      </c>
      <c r="L91" s="3" t="s">
        <v>319</v>
      </c>
      <c r="M91" s="3" t="s">
        <v>22</v>
      </c>
      <c r="N91" s="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14</v>
      </c>
      <c r="B92" s="3" t="s">
        <v>320</v>
      </c>
      <c r="C92" s="3" t="s">
        <v>321</v>
      </c>
      <c r="D92" s="3" t="s">
        <v>322</v>
      </c>
      <c r="E92" s="3" t="s">
        <v>323</v>
      </c>
      <c r="F92" s="3" t="s">
        <v>128</v>
      </c>
      <c r="G92" s="3" t="s">
        <v>36</v>
      </c>
      <c r="H92" s="4">
        <v>1.0</v>
      </c>
      <c r="I92" s="4" t="s">
        <v>36</v>
      </c>
      <c r="J92" s="5"/>
      <c r="K92" s="3" t="s">
        <v>324</v>
      </c>
      <c r="L92" s="3" t="s">
        <v>325</v>
      </c>
      <c r="M92" s="3" t="s">
        <v>22</v>
      </c>
      <c r="N92" s="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14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326</v>
      </c>
      <c r="G93" s="3" t="s">
        <v>327</v>
      </c>
      <c r="H93" s="4">
        <v>2.0</v>
      </c>
      <c r="I93" s="4">
        <v>1.0</v>
      </c>
      <c r="J93" s="3"/>
      <c r="K93" s="3" t="s">
        <v>324</v>
      </c>
      <c r="L93" s="3" t="s">
        <v>325</v>
      </c>
      <c r="M93" s="3" t="s">
        <v>22</v>
      </c>
      <c r="N93" s="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14</v>
      </c>
      <c r="B94" s="3" t="s">
        <v>320</v>
      </c>
      <c r="C94" s="3" t="s">
        <v>321</v>
      </c>
      <c r="D94" s="3" t="s">
        <v>322</v>
      </c>
      <c r="E94" s="3" t="s">
        <v>323</v>
      </c>
      <c r="F94" s="3" t="s">
        <v>143</v>
      </c>
      <c r="G94" s="3" t="s">
        <v>143</v>
      </c>
      <c r="H94" s="4">
        <v>3.0</v>
      </c>
      <c r="I94" s="4">
        <v>2.0</v>
      </c>
      <c r="J94" s="5"/>
      <c r="K94" s="3" t="s">
        <v>324</v>
      </c>
      <c r="L94" s="3" t="s">
        <v>325</v>
      </c>
      <c r="M94" s="3" t="s">
        <v>22</v>
      </c>
      <c r="N94" s="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14</v>
      </c>
      <c r="B95" s="3" t="s">
        <v>328</v>
      </c>
      <c r="C95" s="3" t="s">
        <v>329</v>
      </c>
      <c r="D95" s="6" t="s">
        <v>330</v>
      </c>
      <c r="E95" s="3" t="s">
        <v>331</v>
      </c>
      <c r="F95" s="6" t="s">
        <v>19</v>
      </c>
      <c r="G95" s="3" t="s">
        <v>19</v>
      </c>
      <c r="H95" s="4">
        <v>1.0</v>
      </c>
      <c r="I95" s="4">
        <v>1.0</v>
      </c>
      <c r="J95" s="3" t="s">
        <v>80</v>
      </c>
      <c r="K95" s="3" t="s">
        <v>332</v>
      </c>
      <c r="L95" s="3" t="s">
        <v>333</v>
      </c>
      <c r="M95" s="3" t="s">
        <v>22</v>
      </c>
      <c r="N95" s="5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14</v>
      </c>
      <c r="B96" s="3" t="s">
        <v>328</v>
      </c>
      <c r="C96" s="3" t="s">
        <v>329</v>
      </c>
      <c r="D96" s="6" t="s">
        <v>330</v>
      </c>
      <c r="E96" s="3" t="s">
        <v>331</v>
      </c>
      <c r="F96" s="6" t="s">
        <v>43</v>
      </c>
      <c r="G96" s="3" t="s">
        <v>44</v>
      </c>
      <c r="H96" s="4">
        <v>2.0</v>
      </c>
      <c r="I96" s="4">
        <v>2.0</v>
      </c>
      <c r="J96" s="5"/>
      <c r="K96" s="3" t="s">
        <v>332</v>
      </c>
      <c r="L96" s="3" t="s">
        <v>333</v>
      </c>
      <c r="M96" s="3" t="s">
        <v>22</v>
      </c>
      <c r="N96" s="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14</v>
      </c>
      <c r="B97" s="3" t="s">
        <v>328</v>
      </c>
      <c r="C97" s="3" t="s">
        <v>329</v>
      </c>
      <c r="D97" s="6" t="s">
        <v>330</v>
      </c>
      <c r="E97" s="3" t="s">
        <v>331</v>
      </c>
      <c r="F97" s="6" t="s">
        <v>128</v>
      </c>
      <c r="G97" s="3" t="s">
        <v>334</v>
      </c>
      <c r="H97" s="4">
        <v>3.0</v>
      </c>
      <c r="I97" s="4">
        <v>3.0</v>
      </c>
      <c r="J97" s="5"/>
      <c r="K97" s="3" t="s">
        <v>332</v>
      </c>
      <c r="L97" s="3" t="s">
        <v>333</v>
      </c>
      <c r="M97" s="3" t="s">
        <v>22</v>
      </c>
      <c r="N97" s="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14</v>
      </c>
      <c r="B98" s="3" t="s">
        <v>328</v>
      </c>
      <c r="C98" s="3" t="s">
        <v>329</v>
      </c>
      <c r="D98" s="6" t="s">
        <v>330</v>
      </c>
      <c r="E98" s="3" t="s">
        <v>331</v>
      </c>
      <c r="F98" s="6" t="s">
        <v>36</v>
      </c>
      <c r="G98" s="3" t="s">
        <v>219</v>
      </c>
      <c r="H98" s="4" t="s">
        <v>36</v>
      </c>
      <c r="I98" s="4">
        <v>4.0</v>
      </c>
      <c r="J98" s="3"/>
      <c r="K98" s="3" t="s">
        <v>332</v>
      </c>
      <c r="L98" s="3" t="s">
        <v>333</v>
      </c>
      <c r="M98" s="3" t="s">
        <v>22</v>
      </c>
      <c r="N98" s="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14</v>
      </c>
      <c r="B99" s="3" t="s">
        <v>328</v>
      </c>
      <c r="C99" s="3" t="s">
        <v>329</v>
      </c>
      <c r="D99" s="6" t="s">
        <v>330</v>
      </c>
      <c r="E99" s="3" t="s">
        <v>331</v>
      </c>
      <c r="F99" s="6" t="s">
        <v>335</v>
      </c>
      <c r="G99" s="3" t="s">
        <v>24</v>
      </c>
      <c r="H99" s="4">
        <v>4.0</v>
      </c>
      <c r="I99" s="4">
        <v>5.0</v>
      </c>
      <c r="J99" s="5"/>
      <c r="K99" s="3" t="s">
        <v>332</v>
      </c>
      <c r="L99" s="3" t="s">
        <v>333</v>
      </c>
      <c r="M99" s="3" t="s">
        <v>22</v>
      </c>
      <c r="N99" s="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14</v>
      </c>
      <c r="B100" s="3" t="s">
        <v>336</v>
      </c>
      <c r="C100" s="3" t="s">
        <v>337</v>
      </c>
      <c r="D100" s="15" t="s">
        <v>338</v>
      </c>
      <c r="E100" s="3" t="s">
        <v>339</v>
      </c>
      <c r="F100" s="16" t="s">
        <v>340</v>
      </c>
      <c r="G100" s="3" t="s">
        <v>62</v>
      </c>
      <c r="H100" s="4">
        <v>1.0</v>
      </c>
      <c r="I100" s="4">
        <v>1.0</v>
      </c>
      <c r="J100" s="5"/>
      <c r="K100" s="3" t="s">
        <v>341</v>
      </c>
      <c r="L100" s="3" t="s">
        <v>342</v>
      </c>
      <c r="M100" s="3" t="s">
        <v>22</v>
      </c>
      <c r="N100" s="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14</v>
      </c>
      <c r="B101" s="3" t="s">
        <v>336</v>
      </c>
      <c r="C101" s="3" t="s">
        <v>337</v>
      </c>
      <c r="D101" s="3" t="s">
        <v>343</v>
      </c>
      <c r="E101" s="3" t="s">
        <v>339</v>
      </c>
      <c r="F101" s="15" t="s">
        <v>36</v>
      </c>
      <c r="G101" s="3" t="s">
        <v>344</v>
      </c>
      <c r="H101" s="4" t="s">
        <v>36</v>
      </c>
      <c r="I101" s="4">
        <v>2.0</v>
      </c>
      <c r="J101" s="5"/>
      <c r="K101" s="3" t="s">
        <v>341</v>
      </c>
      <c r="L101" s="3" t="s">
        <v>342</v>
      </c>
      <c r="M101" s="3" t="s">
        <v>22</v>
      </c>
      <c r="N101" s="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14</v>
      </c>
      <c r="B102" s="3" t="s">
        <v>336</v>
      </c>
      <c r="C102" s="3" t="s">
        <v>337</v>
      </c>
      <c r="D102" s="3" t="s">
        <v>343</v>
      </c>
      <c r="E102" s="3" t="s">
        <v>339</v>
      </c>
      <c r="F102" s="3" t="s">
        <v>190</v>
      </c>
      <c r="G102" s="3" t="s">
        <v>190</v>
      </c>
      <c r="H102" s="4">
        <v>3.0</v>
      </c>
      <c r="I102" s="4">
        <v>3.0</v>
      </c>
      <c r="J102" s="5"/>
      <c r="K102" s="3" t="s">
        <v>341</v>
      </c>
      <c r="L102" s="3" t="s">
        <v>342</v>
      </c>
      <c r="M102" s="3" t="s">
        <v>22</v>
      </c>
      <c r="N102" s="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14</v>
      </c>
      <c r="B103" s="3" t="s">
        <v>345</v>
      </c>
      <c r="C103" s="3" t="s">
        <v>346</v>
      </c>
      <c r="D103" s="3" t="s">
        <v>347</v>
      </c>
      <c r="E103" s="3" t="s">
        <v>348</v>
      </c>
      <c r="F103" s="3" t="s">
        <v>349</v>
      </c>
      <c r="G103" s="3" t="s">
        <v>349</v>
      </c>
      <c r="H103" s="4">
        <v>1.0</v>
      </c>
      <c r="I103" s="4">
        <v>1.0</v>
      </c>
      <c r="J103" s="5"/>
      <c r="K103" s="3" t="s">
        <v>350</v>
      </c>
      <c r="L103" s="3" t="s">
        <v>351</v>
      </c>
      <c r="M103" s="3" t="s">
        <v>22</v>
      </c>
      <c r="N103" s="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14</v>
      </c>
      <c r="B104" s="3" t="s">
        <v>345</v>
      </c>
      <c r="C104" s="3" t="s">
        <v>346</v>
      </c>
      <c r="D104" s="3" t="s">
        <v>347</v>
      </c>
      <c r="E104" s="3" t="s">
        <v>348</v>
      </c>
      <c r="F104" s="3" t="s">
        <v>352</v>
      </c>
      <c r="G104" s="3" t="s">
        <v>353</v>
      </c>
      <c r="H104" s="4">
        <v>2.0</v>
      </c>
      <c r="I104" s="4">
        <v>2.0</v>
      </c>
      <c r="J104" s="5"/>
      <c r="K104" s="3" t="s">
        <v>350</v>
      </c>
      <c r="L104" s="3" t="s">
        <v>351</v>
      </c>
      <c r="M104" s="3" t="s">
        <v>22</v>
      </c>
      <c r="N104" s="5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14</v>
      </c>
      <c r="B105" s="3" t="s">
        <v>345</v>
      </c>
      <c r="C105" s="3" t="s">
        <v>346</v>
      </c>
      <c r="D105" s="3" t="s">
        <v>347</v>
      </c>
      <c r="E105" s="3" t="s">
        <v>348</v>
      </c>
      <c r="F105" s="3" t="s">
        <v>172</v>
      </c>
      <c r="G105" s="3" t="s">
        <v>334</v>
      </c>
      <c r="H105" s="4">
        <v>3.0</v>
      </c>
      <c r="I105" s="4">
        <v>3.0</v>
      </c>
      <c r="J105" s="5"/>
      <c r="K105" s="3" t="s">
        <v>350</v>
      </c>
      <c r="L105" s="3" t="s">
        <v>351</v>
      </c>
      <c r="M105" s="3" t="s">
        <v>22</v>
      </c>
      <c r="N105" s="5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14</v>
      </c>
      <c r="B106" s="3" t="s">
        <v>354</v>
      </c>
      <c r="C106" s="3" t="s">
        <v>355</v>
      </c>
      <c r="D106" s="6" t="s">
        <v>356</v>
      </c>
      <c r="E106" s="3" t="s">
        <v>357</v>
      </c>
      <c r="F106" s="6" t="s">
        <v>128</v>
      </c>
      <c r="G106" s="3" t="s">
        <v>358</v>
      </c>
      <c r="H106" s="4">
        <v>1.0</v>
      </c>
      <c r="I106" s="4">
        <v>1.0</v>
      </c>
      <c r="J106" s="5"/>
      <c r="K106" s="3" t="s">
        <v>359</v>
      </c>
      <c r="L106" s="3" t="s">
        <v>360</v>
      </c>
      <c r="M106" s="3" t="s">
        <v>22</v>
      </c>
      <c r="N106" s="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14</v>
      </c>
      <c r="B107" s="3" t="s">
        <v>354</v>
      </c>
      <c r="C107" s="3" t="s">
        <v>355</v>
      </c>
      <c r="D107" s="6" t="s">
        <v>356</v>
      </c>
      <c r="E107" s="3" t="s">
        <v>357</v>
      </c>
      <c r="F107" s="6" t="s">
        <v>361</v>
      </c>
      <c r="G107" s="3" t="s">
        <v>36</v>
      </c>
      <c r="H107" s="4">
        <v>2.0</v>
      </c>
      <c r="I107" s="4" t="s">
        <v>36</v>
      </c>
      <c r="J107" s="5"/>
      <c r="K107" s="3" t="s">
        <v>359</v>
      </c>
      <c r="L107" s="3" t="s">
        <v>360</v>
      </c>
      <c r="M107" s="3" t="s">
        <v>22</v>
      </c>
      <c r="N107" s="5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14</v>
      </c>
      <c r="B108" s="3" t="s">
        <v>354</v>
      </c>
      <c r="C108" s="3" t="s">
        <v>355</v>
      </c>
      <c r="D108" s="6" t="s">
        <v>356</v>
      </c>
      <c r="E108" s="3" t="s">
        <v>357</v>
      </c>
      <c r="F108" s="6" t="s">
        <v>362</v>
      </c>
      <c r="G108" s="3" t="s">
        <v>362</v>
      </c>
      <c r="H108" s="4">
        <v>3.0</v>
      </c>
      <c r="I108" s="4">
        <v>2.0</v>
      </c>
      <c r="J108" s="5"/>
      <c r="K108" s="3" t="s">
        <v>359</v>
      </c>
      <c r="L108" s="3" t="s">
        <v>360</v>
      </c>
      <c r="M108" s="3" t="s">
        <v>22</v>
      </c>
      <c r="N108" s="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14</v>
      </c>
      <c r="B109" s="3" t="s">
        <v>363</v>
      </c>
      <c r="C109" s="3" t="s">
        <v>364</v>
      </c>
      <c r="D109" s="3" t="s">
        <v>365</v>
      </c>
      <c r="E109" s="3" t="s">
        <v>366</v>
      </c>
      <c r="F109" s="3" t="s">
        <v>128</v>
      </c>
      <c r="G109" s="3" t="s">
        <v>36</v>
      </c>
      <c r="H109" s="4">
        <v>1.0</v>
      </c>
      <c r="I109" s="4" t="s">
        <v>36</v>
      </c>
      <c r="J109" s="5"/>
      <c r="K109" s="3" t="s">
        <v>367</v>
      </c>
      <c r="L109" s="3" t="s">
        <v>368</v>
      </c>
      <c r="M109" s="3" t="s">
        <v>22</v>
      </c>
      <c r="N109" s="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14</v>
      </c>
      <c r="B110" s="3" t="s">
        <v>363</v>
      </c>
      <c r="C110" s="3" t="s">
        <v>364</v>
      </c>
      <c r="D110" s="3" t="s">
        <v>365</v>
      </c>
      <c r="E110" s="3" t="s">
        <v>366</v>
      </c>
      <c r="F110" s="3" t="s">
        <v>369</v>
      </c>
      <c r="G110" s="15" t="s">
        <v>370</v>
      </c>
      <c r="H110" s="4">
        <v>2.0</v>
      </c>
      <c r="I110" s="4">
        <v>1.0</v>
      </c>
      <c r="J110" s="5"/>
      <c r="K110" s="3" t="s">
        <v>367</v>
      </c>
      <c r="L110" s="3" t="s">
        <v>368</v>
      </c>
      <c r="M110" s="3" t="s">
        <v>22</v>
      </c>
      <c r="N110" s="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14</v>
      </c>
      <c r="B111" s="3" t="s">
        <v>363</v>
      </c>
      <c r="C111" s="3" t="s">
        <v>364</v>
      </c>
      <c r="D111" s="3" t="s">
        <v>365</v>
      </c>
      <c r="E111" s="3" t="s">
        <v>366</v>
      </c>
      <c r="F111" s="3" t="s">
        <v>175</v>
      </c>
      <c r="G111" s="3" t="s">
        <v>175</v>
      </c>
      <c r="H111" s="4">
        <v>3.0</v>
      </c>
      <c r="I111" s="4">
        <v>2.0</v>
      </c>
      <c r="J111" s="5"/>
      <c r="K111" s="3" t="s">
        <v>367</v>
      </c>
      <c r="L111" s="3" t="s">
        <v>368</v>
      </c>
      <c r="M111" s="3" t="s">
        <v>22</v>
      </c>
      <c r="N111" s="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14</v>
      </c>
      <c r="B112" s="3" t="s">
        <v>371</v>
      </c>
      <c r="C112" s="3" t="s">
        <v>372</v>
      </c>
      <c r="D112" s="3" t="s">
        <v>373</v>
      </c>
      <c r="E112" s="3" t="s">
        <v>374</v>
      </c>
      <c r="F112" s="3" t="s">
        <v>287</v>
      </c>
      <c r="G112" s="3" t="s">
        <v>36</v>
      </c>
      <c r="H112" s="4">
        <v>1.0</v>
      </c>
      <c r="I112" s="4" t="s">
        <v>36</v>
      </c>
      <c r="J112" s="5"/>
      <c r="K112" s="3" t="s">
        <v>375</v>
      </c>
      <c r="L112" s="3" t="s">
        <v>376</v>
      </c>
      <c r="M112" s="3" t="s">
        <v>22</v>
      </c>
      <c r="N112" s="5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14</v>
      </c>
      <c r="B113" s="3" t="s">
        <v>371</v>
      </c>
      <c r="C113" s="3" t="s">
        <v>372</v>
      </c>
      <c r="D113" s="3" t="s">
        <v>373</v>
      </c>
      <c r="E113" s="3" t="s">
        <v>374</v>
      </c>
      <c r="F113" s="3" t="s">
        <v>377</v>
      </c>
      <c r="G113" s="15" t="s">
        <v>54</v>
      </c>
      <c r="H113" s="4">
        <v>2.0</v>
      </c>
      <c r="I113" s="4">
        <v>1.0</v>
      </c>
      <c r="J113" s="3"/>
      <c r="K113" s="3" t="s">
        <v>375</v>
      </c>
      <c r="L113" s="3" t="s">
        <v>376</v>
      </c>
      <c r="M113" s="3" t="s">
        <v>22</v>
      </c>
      <c r="N113" s="5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14</v>
      </c>
      <c r="B114" s="3" t="s">
        <v>371</v>
      </c>
      <c r="C114" s="3" t="s">
        <v>372</v>
      </c>
      <c r="D114" s="3" t="s">
        <v>373</v>
      </c>
      <c r="E114" s="3" t="s">
        <v>374</v>
      </c>
      <c r="F114" s="3" t="s">
        <v>378</v>
      </c>
      <c r="G114" s="3" t="s">
        <v>56</v>
      </c>
      <c r="H114" s="4">
        <v>3.0</v>
      </c>
      <c r="I114" s="4">
        <v>2.0</v>
      </c>
      <c r="J114" s="5"/>
      <c r="K114" s="3" t="s">
        <v>375</v>
      </c>
      <c r="L114" s="3" t="s">
        <v>376</v>
      </c>
      <c r="M114" s="3" t="s">
        <v>22</v>
      </c>
      <c r="N114" s="5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14</v>
      </c>
      <c r="B115" s="3" t="s">
        <v>379</v>
      </c>
      <c r="C115" s="3" t="s">
        <v>380</v>
      </c>
      <c r="D115" s="3" t="s">
        <v>381</v>
      </c>
      <c r="E115" s="3" t="s">
        <v>382</v>
      </c>
      <c r="F115" s="3" t="s">
        <v>383</v>
      </c>
      <c r="G115" s="3" t="s">
        <v>383</v>
      </c>
      <c r="H115" s="4">
        <v>1.0</v>
      </c>
      <c r="I115" s="4">
        <v>1.0</v>
      </c>
      <c r="J115" s="5"/>
      <c r="K115" s="3" t="s">
        <v>384</v>
      </c>
      <c r="L115" s="3" t="s">
        <v>385</v>
      </c>
      <c r="M115" s="3" t="s">
        <v>22</v>
      </c>
      <c r="N115" s="5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14</v>
      </c>
      <c r="B116" s="3" t="s">
        <v>379</v>
      </c>
      <c r="C116" s="3" t="s">
        <v>380</v>
      </c>
      <c r="D116" s="3" t="s">
        <v>381</v>
      </c>
      <c r="E116" s="3" t="s">
        <v>382</v>
      </c>
      <c r="F116" s="3" t="s">
        <v>386</v>
      </c>
      <c r="G116" s="3" t="s">
        <v>190</v>
      </c>
      <c r="H116" s="4">
        <v>2.0</v>
      </c>
      <c r="I116" s="4">
        <v>2.0</v>
      </c>
      <c r="J116" s="5"/>
      <c r="K116" s="3" t="s">
        <v>384</v>
      </c>
      <c r="L116" s="3" t="s">
        <v>385</v>
      </c>
      <c r="M116" s="3" t="s">
        <v>22</v>
      </c>
      <c r="N116" s="5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14</v>
      </c>
      <c r="B117" s="3" t="s">
        <v>379</v>
      </c>
      <c r="C117" s="3" t="s">
        <v>380</v>
      </c>
      <c r="D117" s="3" t="s">
        <v>381</v>
      </c>
      <c r="E117" s="3" t="s">
        <v>382</v>
      </c>
      <c r="F117" s="3" t="s">
        <v>387</v>
      </c>
      <c r="G117" s="3" t="s">
        <v>387</v>
      </c>
      <c r="H117" s="4">
        <v>3.0</v>
      </c>
      <c r="I117" s="4">
        <v>3.0</v>
      </c>
      <c r="J117" s="5"/>
      <c r="K117" s="3" t="s">
        <v>384</v>
      </c>
      <c r="L117" s="3" t="s">
        <v>385</v>
      </c>
      <c r="M117" s="3" t="s">
        <v>22</v>
      </c>
      <c r="N117" s="5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14</v>
      </c>
      <c r="B118" s="3" t="s">
        <v>388</v>
      </c>
      <c r="C118" s="3" t="s">
        <v>389</v>
      </c>
      <c r="D118" s="3" t="s">
        <v>390</v>
      </c>
      <c r="E118" s="3" t="s">
        <v>391</v>
      </c>
      <c r="F118" s="3" t="s">
        <v>108</v>
      </c>
      <c r="G118" s="3" t="s">
        <v>175</v>
      </c>
      <c r="H118" s="4">
        <v>1.0</v>
      </c>
      <c r="I118" s="4">
        <v>1.0</v>
      </c>
      <c r="J118" s="3"/>
      <c r="K118" s="3" t="s">
        <v>392</v>
      </c>
      <c r="L118" s="3" t="s">
        <v>319</v>
      </c>
      <c r="M118" s="3" t="s">
        <v>22</v>
      </c>
      <c r="N118" s="5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14</v>
      </c>
      <c r="B119" s="3" t="s">
        <v>388</v>
      </c>
      <c r="C119" s="3" t="s">
        <v>389</v>
      </c>
      <c r="D119" s="3" t="s">
        <v>390</v>
      </c>
      <c r="E119" s="3" t="s">
        <v>391</v>
      </c>
      <c r="F119" s="3" t="s">
        <v>393</v>
      </c>
      <c r="G119" s="3" t="s">
        <v>394</v>
      </c>
      <c r="H119" s="4">
        <v>2.0</v>
      </c>
      <c r="I119" s="4">
        <v>2.0</v>
      </c>
      <c r="J119" s="3"/>
      <c r="K119" s="3" t="s">
        <v>392</v>
      </c>
      <c r="L119" s="3" t="s">
        <v>319</v>
      </c>
      <c r="M119" s="3" t="s">
        <v>22</v>
      </c>
      <c r="N119" s="5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14</v>
      </c>
      <c r="B120" s="3" t="s">
        <v>388</v>
      </c>
      <c r="C120" s="3" t="s">
        <v>389</v>
      </c>
      <c r="D120" s="3" t="s">
        <v>390</v>
      </c>
      <c r="E120" s="3" t="s">
        <v>391</v>
      </c>
      <c r="F120" s="3" t="s">
        <v>245</v>
      </c>
      <c r="G120" s="3" t="s">
        <v>245</v>
      </c>
      <c r="H120" s="4">
        <v>3.0</v>
      </c>
      <c r="I120" s="4">
        <v>3.0</v>
      </c>
      <c r="J120" s="3"/>
      <c r="K120" s="3" t="s">
        <v>392</v>
      </c>
      <c r="L120" s="3" t="s">
        <v>319</v>
      </c>
      <c r="M120" s="3" t="s">
        <v>22</v>
      </c>
      <c r="N120" s="5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14</v>
      </c>
      <c r="B121" s="3" t="s">
        <v>395</v>
      </c>
      <c r="C121" s="3" t="s">
        <v>396</v>
      </c>
      <c r="D121" s="3" t="s">
        <v>397</v>
      </c>
      <c r="E121" s="3" t="s">
        <v>398</v>
      </c>
      <c r="F121" s="3" t="s">
        <v>108</v>
      </c>
      <c r="G121" s="3" t="s">
        <v>175</v>
      </c>
      <c r="H121" s="4">
        <v>1.0</v>
      </c>
      <c r="I121" s="4">
        <v>1.0</v>
      </c>
      <c r="J121" s="3"/>
      <c r="K121" s="3" t="s">
        <v>399</v>
      </c>
      <c r="L121" s="3" t="s">
        <v>400</v>
      </c>
      <c r="M121" s="3" t="s">
        <v>22</v>
      </c>
      <c r="N121" s="5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14</v>
      </c>
      <c r="B122" s="3" t="s">
        <v>395</v>
      </c>
      <c r="C122" s="3" t="s">
        <v>396</v>
      </c>
      <c r="D122" s="3" t="s">
        <v>397</v>
      </c>
      <c r="E122" s="3" t="s">
        <v>398</v>
      </c>
      <c r="F122" s="3" t="s">
        <v>393</v>
      </c>
      <c r="G122" s="3" t="s">
        <v>394</v>
      </c>
      <c r="H122" s="4">
        <v>2.0</v>
      </c>
      <c r="I122" s="4">
        <v>2.0</v>
      </c>
      <c r="J122" s="3"/>
      <c r="K122" s="3" t="s">
        <v>399</v>
      </c>
      <c r="L122" s="3" t="s">
        <v>400</v>
      </c>
      <c r="M122" s="3" t="s">
        <v>22</v>
      </c>
      <c r="N122" s="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14</v>
      </c>
      <c r="B123" s="3" t="s">
        <v>395</v>
      </c>
      <c r="C123" s="3" t="s">
        <v>396</v>
      </c>
      <c r="D123" s="3" t="s">
        <v>397</v>
      </c>
      <c r="E123" s="3" t="s">
        <v>398</v>
      </c>
      <c r="F123" s="3" t="s">
        <v>401</v>
      </c>
      <c r="G123" s="3" t="s">
        <v>402</v>
      </c>
      <c r="H123" s="4">
        <v>3.0</v>
      </c>
      <c r="I123" s="4">
        <v>3.0</v>
      </c>
      <c r="J123" s="3"/>
      <c r="K123" s="3" t="s">
        <v>399</v>
      </c>
      <c r="L123" s="3" t="s">
        <v>400</v>
      </c>
      <c r="M123" s="3" t="s">
        <v>22</v>
      </c>
      <c r="N123" s="5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14</v>
      </c>
      <c r="B124" s="3" t="s">
        <v>403</v>
      </c>
      <c r="C124" s="3" t="s">
        <v>404</v>
      </c>
      <c r="D124" s="3" t="s">
        <v>405</v>
      </c>
      <c r="E124" s="3" t="s">
        <v>406</v>
      </c>
      <c r="F124" s="3" t="s">
        <v>108</v>
      </c>
      <c r="G124" s="3" t="s">
        <v>280</v>
      </c>
      <c r="H124" s="4">
        <v>1.0</v>
      </c>
      <c r="I124" s="4">
        <v>1.0</v>
      </c>
      <c r="J124" s="3"/>
      <c r="K124" s="3" t="s">
        <v>407</v>
      </c>
      <c r="L124" s="3" t="s">
        <v>408</v>
      </c>
      <c r="M124" s="3" t="s">
        <v>22</v>
      </c>
      <c r="N124" s="5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14</v>
      </c>
      <c r="B125" s="3" t="s">
        <v>403</v>
      </c>
      <c r="C125" s="3" t="s">
        <v>404</v>
      </c>
      <c r="D125" s="3" t="s">
        <v>405</v>
      </c>
      <c r="E125" s="3" t="s">
        <v>406</v>
      </c>
      <c r="F125" s="3" t="s">
        <v>409</v>
      </c>
      <c r="G125" s="3" t="s">
        <v>334</v>
      </c>
      <c r="H125" s="4">
        <v>2.0</v>
      </c>
      <c r="I125" s="4">
        <v>2.0</v>
      </c>
      <c r="J125" s="6"/>
      <c r="K125" s="3" t="s">
        <v>407</v>
      </c>
      <c r="L125" s="3" t="s">
        <v>408</v>
      </c>
      <c r="M125" s="3" t="s">
        <v>22</v>
      </c>
      <c r="N125" s="5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14</v>
      </c>
      <c r="B126" s="3" t="s">
        <v>403</v>
      </c>
      <c r="C126" s="3" t="s">
        <v>404</v>
      </c>
      <c r="D126" s="3" t="s">
        <v>405</v>
      </c>
      <c r="E126" s="3" t="s">
        <v>406</v>
      </c>
      <c r="F126" s="17" t="s">
        <v>36</v>
      </c>
      <c r="G126" s="3" t="s">
        <v>410</v>
      </c>
      <c r="H126" s="4">
        <v>3.0</v>
      </c>
      <c r="I126" s="4">
        <v>3.0</v>
      </c>
      <c r="J126" s="5"/>
      <c r="K126" s="3" t="s">
        <v>407</v>
      </c>
      <c r="L126" s="3" t="s">
        <v>408</v>
      </c>
      <c r="M126" s="3" t="s">
        <v>22</v>
      </c>
      <c r="N126" s="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14</v>
      </c>
      <c r="B127" s="3" t="s">
        <v>411</v>
      </c>
      <c r="C127" s="3" t="s">
        <v>412</v>
      </c>
      <c r="D127" s="3" t="s">
        <v>413</v>
      </c>
      <c r="E127" s="3" t="s">
        <v>414</v>
      </c>
      <c r="F127" s="17" t="s">
        <v>36</v>
      </c>
      <c r="G127" s="3" t="s">
        <v>415</v>
      </c>
      <c r="H127" s="4" t="s">
        <v>36</v>
      </c>
      <c r="I127" s="4">
        <v>1.0</v>
      </c>
      <c r="J127" s="3"/>
      <c r="K127" s="3" t="s">
        <v>416</v>
      </c>
      <c r="L127" s="3" t="s">
        <v>417</v>
      </c>
      <c r="M127" s="3" t="s">
        <v>22</v>
      </c>
      <c r="N127" s="3" t="s">
        <v>418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14</v>
      </c>
      <c r="B128" s="3" t="s">
        <v>411</v>
      </c>
      <c r="C128" s="3" t="s">
        <v>412</v>
      </c>
      <c r="D128" s="3" t="s">
        <v>413</v>
      </c>
      <c r="E128" s="3" t="s">
        <v>414</v>
      </c>
      <c r="F128" s="3" t="s">
        <v>419</v>
      </c>
      <c r="G128" s="3" t="s">
        <v>420</v>
      </c>
      <c r="H128" s="4">
        <v>1.0</v>
      </c>
      <c r="I128" s="4">
        <v>2.0</v>
      </c>
      <c r="J128" s="3"/>
      <c r="K128" s="3" t="s">
        <v>416</v>
      </c>
      <c r="L128" s="3" t="s">
        <v>417</v>
      </c>
      <c r="M128" s="3" t="s">
        <v>22</v>
      </c>
      <c r="N128" s="3" t="s">
        <v>418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14</v>
      </c>
      <c r="B129" s="3" t="s">
        <v>411</v>
      </c>
      <c r="C129" s="3" t="s">
        <v>412</v>
      </c>
      <c r="D129" s="3" t="s">
        <v>413</v>
      </c>
      <c r="E129" s="3" t="s">
        <v>414</v>
      </c>
      <c r="F129" s="3" t="s">
        <v>420</v>
      </c>
      <c r="G129" s="3" t="s">
        <v>362</v>
      </c>
      <c r="H129" s="4">
        <v>2.0</v>
      </c>
      <c r="I129" s="4">
        <v>3.0</v>
      </c>
      <c r="J129" s="5"/>
      <c r="K129" s="3" t="s">
        <v>416</v>
      </c>
      <c r="L129" s="3" t="s">
        <v>417</v>
      </c>
      <c r="M129" s="3" t="s">
        <v>22</v>
      </c>
      <c r="N129" s="3" t="s">
        <v>418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14</v>
      </c>
      <c r="B130" s="3" t="s">
        <v>421</v>
      </c>
      <c r="C130" s="3" t="s">
        <v>422</v>
      </c>
      <c r="D130" s="3" t="s">
        <v>423</v>
      </c>
      <c r="E130" s="3" t="s">
        <v>424</v>
      </c>
      <c r="F130" s="3" t="s">
        <v>174</v>
      </c>
      <c r="G130" s="3" t="s">
        <v>425</v>
      </c>
      <c r="H130" s="4">
        <v>1.0</v>
      </c>
      <c r="I130" s="4">
        <v>1.0</v>
      </c>
      <c r="J130" s="5"/>
      <c r="K130" s="3" t="s">
        <v>426</v>
      </c>
      <c r="L130" s="3" t="s">
        <v>427</v>
      </c>
      <c r="M130" s="3" t="s">
        <v>22</v>
      </c>
      <c r="N130" s="5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14</v>
      </c>
      <c r="B131" s="3" t="s">
        <v>421</v>
      </c>
      <c r="C131" s="3" t="s">
        <v>422</v>
      </c>
      <c r="D131" s="3" t="s">
        <v>423</v>
      </c>
      <c r="E131" s="3" t="s">
        <v>424</v>
      </c>
      <c r="F131" s="3" t="s">
        <v>36</v>
      </c>
      <c r="G131" s="3" t="s">
        <v>103</v>
      </c>
      <c r="H131" s="4" t="s">
        <v>36</v>
      </c>
      <c r="I131" s="4">
        <v>2.0</v>
      </c>
      <c r="J131" s="3" t="s">
        <v>72</v>
      </c>
      <c r="K131" s="3" t="s">
        <v>426</v>
      </c>
      <c r="L131" s="3" t="s">
        <v>427</v>
      </c>
      <c r="M131" s="3" t="s">
        <v>22</v>
      </c>
      <c r="N131" s="5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14</v>
      </c>
      <c r="B132" s="3" t="s">
        <v>421</v>
      </c>
      <c r="C132" s="3" t="s">
        <v>422</v>
      </c>
      <c r="D132" s="3" t="s">
        <v>423</v>
      </c>
      <c r="E132" s="3" t="s">
        <v>424</v>
      </c>
      <c r="F132" s="3" t="s">
        <v>181</v>
      </c>
      <c r="G132" s="3" t="s">
        <v>428</v>
      </c>
      <c r="H132" s="4">
        <v>2.0</v>
      </c>
      <c r="I132" s="4">
        <v>3.0</v>
      </c>
      <c r="J132" s="3"/>
      <c r="K132" s="3" t="s">
        <v>426</v>
      </c>
      <c r="L132" s="3" t="s">
        <v>427</v>
      </c>
      <c r="M132" s="3" t="s">
        <v>22</v>
      </c>
      <c r="N132" s="5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14</v>
      </c>
      <c r="B133" s="3" t="s">
        <v>429</v>
      </c>
      <c r="C133" s="3" t="s">
        <v>430</v>
      </c>
      <c r="D133" s="3" t="s">
        <v>431</v>
      </c>
      <c r="E133" s="3" t="s">
        <v>432</v>
      </c>
      <c r="F133" s="3" t="s">
        <v>425</v>
      </c>
      <c r="G133" s="3" t="s">
        <v>433</v>
      </c>
      <c r="H133" s="4">
        <v>1.0</v>
      </c>
      <c r="I133" s="4">
        <v>1.0</v>
      </c>
      <c r="J133" s="5"/>
      <c r="K133" s="3" t="s">
        <v>434</v>
      </c>
      <c r="L133" s="3" t="s">
        <v>435</v>
      </c>
      <c r="M133" s="3" t="s">
        <v>22</v>
      </c>
      <c r="N133" s="5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14</v>
      </c>
      <c r="B134" s="3" t="s">
        <v>429</v>
      </c>
      <c r="C134" s="3" t="s">
        <v>430</v>
      </c>
      <c r="D134" s="3" t="s">
        <v>431</v>
      </c>
      <c r="E134" s="3" t="s">
        <v>432</v>
      </c>
      <c r="F134" s="3" t="s">
        <v>436</v>
      </c>
      <c r="G134" s="3" t="s">
        <v>437</v>
      </c>
      <c r="H134" s="4">
        <v>2.0</v>
      </c>
      <c r="I134" s="4">
        <v>2.0</v>
      </c>
      <c r="J134" s="5"/>
      <c r="K134" s="3" t="s">
        <v>434</v>
      </c>
      <c r="L134" s="3" t="s">
        <v>435</v>
      </c>
      <c r="M134" s="3" t="s">
        <v>22</v>
      </c>
      <c r="N134" s="5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14</v>
      </c>
      <c r="B135" s="3" t="s">
        <v>438</v>
      </c>
      <c r="C135" s="3" t="s">
        <v>439</v>
      </c>
      <c r="D135" s="6" t="s">
        <v>440</v>
      </c>
      <c r="E135" s="3" t="s">
        <v>441</v>
      </c>
      <c r="F135" s="6" t="s">
        <v>442</v>
      </c>
      <c r="G135" s="3" t="s">
        <v>443</v>
      </c>
      <c r="H135" s="4">
        <v>1.0</v>
      </c>
      <c r="I135" s="4">
        <v>1.0</v>
      </c>
      <c r="J135" s="5"/>
      <c r="K135" s="3" t="s">
        <v>444</v>
      </c>
      <c r="L135" s="3" t="s">
        <v>445</v>
      </c>
      <c r="M135" s="3" t="s">
        <v>22</v>
      </c>
      <c r="N135" s="5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14</v>
      </c>
      <c r="B136" s="3" t="s">
        <v>438</v>
      </c>
      <c r="C136" s="3" t="s">
        <v>439</v>
      </c>
      <c r="D136" s="6" t="s">
        <v>440</v>
      </c>
      <c r="E136" s="3" t="s">
        <v>441</v>
      </c>
      <c r="F136" s="6" t="s">
        <v>446</v>
      </c>
      <c r="G136" s="3" t="s">
        <v>44</v>
      </c>
      <c r="H136" s="4">
        <v>2.0</v>
      </c>
      <c r="I136" s="4">
        <v>2.0</v>
      </c>
      <c r="J136" s="5"/>
      <c r="K136" s="3" t="s">
        <v>444</v>
      </c>
      <c r="L136" s="3" t="s">
        <v>445</v>
      </c>
      <c r="M136" s="3" t="s">
        <v>22</v>
      </c>
      <c r="N136" s="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14</v>
      </c>
      <c r="B137" s="3" t="s">
        <v>447</v>
      </c>
      <c r="C137" s="3" t="s">
        <v>448</v>
      </c>
      <c r="D137" s="3" t="s">
        <v>449</v>
      </c>
      <c r="E137" s="3" t="s">
        <v>450</v>
      </c>
      <c r="F137" s="3" t="s">
        <v>451</v>
      </c>
      <c r="G137" s="3" t="s">
        <v>452</v>
      </c>
      <c r="H137" s="4">
        <v>1.0</v>
      </c>
      <c r="I137" s="4">
        <v>2.0</v>
      </c>
      <c r="J137" s="5"/>
      <c r="K137" s="3" t="s">
        <v>453</v>
      </c>
      <c r="L137" s="3" t="s">
        <v>454</v>
      </c>
      <c r="M137" s="3" t="s">
        <v>22</v>
      </c>
      <c r="N137" s="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14</v>
      </c>
      <c r="B138" s="3" t="s">
        <v>447</v>
      </c>
      <c r="C138" s="3" t="s">
        <v>448</v>
      </c>
      <c r="D138" s="3" t="s">
        <v>449</v>
      </c>
      <c r="E138" s="3" t="s">
        <v>450</v>
      </c>
      <c r="F138" s="3" t="s">
        <v>158</v>
      </c>
      <c r="G138" s="3" t="s">
        <v>158</v>
      </c>
      <c r="H138" s="4">
        <v>1.0</v>
      </c>
      <c r="I138" s="4">
        <v>2.0</v>
      </c>
      <c r="J138" s="5"/>
      <c r="K138" s="3" t="s">
        <v>453</v>
      </c>
      <c r="L138" s="3" t="s">
        <v>454</v>
      </c>
      <c r="M138" s="3" t="s">
        <v>22</v>
      </c>
      <c r="N138" s="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14</v>
      </c>
      <c r="B139" s="3" t="s">
        <v>455</v>
      </c>
      <c r="C139" s="3" t="s">
        <v>163</v>
      </c>
      <c r="D139" s="3" t="s">
        <v>456</v>
      </c>
      <c r="E139" s="3" t="s">
        <v>163</v>
      </c>
      <c r="F139" s="3" t="s">
        <v>128</v>
      </c>
      <c r="G139" s="15" t="s">
        <v>36</v>
      </c>
      <c r="H139" s="4">
        <v>1.0</v>
      </c>
      <c r="I139" s="4" t="s">
        <v>36</v>
      </c>
      <c r="J139" s="3"/>
      <c r="K139" s="3" t="s">
        <v>457</v>
      </c>
      <c r="L139" s="3" t="s">
        <v>457</v>
      </c>
      <c r="M139" s="3" t="s">
        <v>22</v>
      </c>
      <c r="N139" s="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14</v>
      </c>
      <c r="B140" s="3" t="s">
        <v>455</v>
      </c>
      <c r="C140" s="3" t="s">
        <v>163</v>
      </c>
      <c r="D140" s="3" t="s">
        <v>456</v>
      </c>
      <c r="E140" s="3" t="s">
        <v>163</v>
      </c>
      <c r="F140" s="3" t="s">
        <v>162</v>
      </c>
      <c r="G140" s="15" t="s">
        <v>163</v>
      </c>
      <c r="H140" s="4">
        <v>2.0</v>
      </c>
      <c r="I140" s="4">
        <v>1.0</v>
      </c>
      <c r="J140" s="3"/>
      <c r="K140" s="3" t="s">
        <v>457</v>
      </c>
      <c r="L140" s="3" t="s">
        <v>457</v>
      </c>
      <c r="M140" s="3" t="s">
        <v>22</v>
      </c>
      <c r="N140" s="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14</v>
      </c>
      <c r="B141" s="3" t="s">
        <v>458</v>
      </c>
      <c r="C141" s="3" t="s">
        <v>459</v>
      </c>
      <c r="D141" s="6" t="s">
        <v>460</v>
      </c>
      <c r="E141" s="3" t="s">
        <v>461</v>
      </c>
      <c r="F141" s="6" t="s">
        <v>36</v>
      </c>
      <c r="G141" s="3" t="s">
        <v>462</v>
      </c>
      <c r="H141" s="4" t="s">
        <v>36</v>
      </c>
      <c r="I141" s="4">
        <v>1.0</v>
      </c>
      <c r="J141" s="3"/>
      <c r="K141" s="3" t="s">
        <v>463</v>
      </c>
      <c r="L141" s="3" t="s">
        <v>464</v>
      </c>
      <c r="M141" s="3" t="s">
        <v>22</v>
      </c>
      <c r="N141" s="5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14</v>
      </c>
      <c r="B142" s="3" t="s">
        <v>458</v>
      </c>
      <c r="C142" s="3" t="s">
        <v>459</v>
      </c>
      <c r="D142" s="6" t="s">
        <v>460</v>
      </c>
      <c r="E142" s="3" t="s">
        <v>461</v>
      </c>
      <c r="F142" s="6" t="s">
        <v>465</v>
      </c>
      <c r="G142" s="3" t="s">
        <v>466</v>
      </c>
      <c r="H142" s="4">
        <v>1.0</v>
      </c>
      <c r="I142" s="4">
        <v>2.0</v>
      </c>
      <c r="J142" s="3" t="s">
        <v>467</v>
      </c>
      <c r="K142" s="3" t="s">
        <v>463</v>
      </c>
      <c r="L142" s="3" t="s">
        <v>464</v>
      </c>
      <c r="M142" s="3" t="s">
        <v>22</v>
      </c>
      <c r="N142" s="5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14</v>
      </c>
      <c r="B143" s="3" t="s">
        <v>458</v>
      </c>
      <c r="C143" s="3" t="s">
        <v>459</v>
      </c>
      <c r="D143" s="6" t="s">
        <v>460</v>
      </c>
      <c r="E143" s="3" t="s">
        <v>461</v>
      </c>
      <c r="F143" s="6" t="s">
        <v>98</v>
      </c>
      <c r="G143" s="3" t="s">
        <v>98</v>
      </c>
      <c r="H143" s="4">
        <v>2.0</v>
      </c>
      <c r="I143" s="4">
        <v>3.0</v>
      </c>
      <c r="J143" s="3"/>
      <c r="K143" s="3" t="s">
        <v>463</v>
      </c>
      <c r="L143" s="3" t="s">
        <v>464</v>
      </c>
      <c r="M143" s="3" t="s">
        <v>22</v>
      </c>
      <c r="N143" s="5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14</v>
      </c>
      <c r="B144" s="3" t="s">
        <v>468</v>
      </c>
      <c r="C144" s="3" t="s">
        <v>469</v>
      </c>
      <c r="D144" s="3" t="s">
        <v>470</v>
      </c>
      <c r="E144" s="3" t="s">
        <v>469</v>
      </c>
      <c r="F144" s="3" t="s">
        <v>471</v>
      </c>
      <c r="G144" s="15" t="s">
        <v>36</v>
      </c>
      <c r="H144" s="4">
        <v>1.0</v>
      </c>
      <c r="I144" s="4" t="s">
        <v>36</v>
      </c>
      <c r="J144" s="5"/>
      <c r="K144" s="3" t="s">
        <v>472</v>
      </c>
      <c r="L144" s="3" t="s">
        <v>473</v>
      </c>
      <c r="M144" s="3" t="s">
        <v>22</v>
      </c>
      <c r="N144" s="5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14</v>
      </c>
      <c r="B145" s="3" t="s">
        <v>468</v>
      </c>
      <c r="C145" s="3" t="s">
        <v>469</v>
      </c>
      <c r="D145" s="3" t="s">
        <v>470</v>
      </c>
      <c r="E145" s="3" t="s">
        <v>469</v>
      </c>
      <c r="F145" s="3" t="s">
        <v>469</v>
      </c>
      <c r="G145" s="3" t="s">
        <v>469</v>
      </c>
      <c r="H145" s="4">
        <v>2.0</v>
      </c>
      <c r="I145" s="4">
        <v>1.0</v>
      </c>
      <c r="J145" s="5"/>
      <c r="K145" s="3" t="s">
        <v>472</v>
      </c>
      <c r="L145" s="3" t="s">
        <v>473</v>
      </c>
      <c r="M145" s="3" t="s">
        <v>22</v>
      </c>
      <c r="N145" s="5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14</v>
      </c>
      <c r="B146" s="3" t="s">
        <v>474</v>
      </c>
      <c r="C146" s="3" t="s">
        <v>475</v>
      </c>
      <c r="D146" s="3" t="s">
        <v>476</v>
      </c>
      <c r="E146" s="3" t="s">
        <v>477</v>
      </c>
      <c r="F146" s="3" t="s">
        <v>128</v>
      </c>
      <c r="G146" s="3" t="s">
        <v>29</v>
      </c>
      <c r="H146" s="4">
        <v>1.0</v>
      </c>
      <c r="I146" s="4">
        <v>1.0</v>
      </c>
      <c r="J146" s="3" t="s">
        <v>467</v>
      </c>
      <c r="K146" s="3" t="s">
        <v>478</v>
      </c>
      <c r="L146" s="3" t="s">
        <v>479</v>
      </c>
      <c r="M146" s="3" t="s">
        <v>22</v>
      </c>
      <c r="N146" s="5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14</v>
      </c>
      <c r="B147" s="3" t="s">
        <v>474</v>
      </c>
      <c r="C147" s="3" t="s">
        <v>475</v>
      </c>
      <c r="D147" s="3" t="s">
        <v>476</v>
      </c>
      <c r="E147" s="3" t="s">
        <v>477</v>
      </c>
      <c r="F147" s="3" t="s">
        <v>36</v>
      </c>
      <c r="G147" s="3" t="s">
        <v>480</v>
      </c>
      <c r="H147" s="4" t="s">
        <v>36</v>
      </c>
      <c r="I147" s="4">
        <v>2.0</v>
      </c>
      <c r="J147" s="3"/>
      <c r="K147" s="3" t="s">
        <v>478</v>
      </c>
      <c r="L147" s="3" t="s">
        <v>479</v>
      </c>
      <c r="M147" s="3" t="s">
        <v>22</v>
      </c>
      <c r="N147" s="5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14</v>
      </c>
      <c r="B148" s="3" t="s">
        <v>474</v>
      </c>
      <c r="C148" s="3" t="s">
        <v>475</v>
      </c>
      <c r="D148" s="3" t="s">
        <v>476</v>
      </c>
      <c r="E148" s="3" t="s">
        <v>477</v>
      </c>
      <c r="F148" s="3" t="s">
        <v>481</v>
      </c>
      <c r="G148" s="3" t="s">
        <v>482</v>
      </c>
      <c r="H148" s="4">
        <v>2.0</v>
      </c>
      <c r="I148" s="4">
        <v>3.0</v>
      </c>
      <c r="J148" s="5"/>
      <c r="K148" s="3" t="s">
        <v>478</v>
      </c>
      <c r="L148" s="3" t="s">
        <v>479</v>
      </c>
      <c r="M148" s="3" t="s">
        <v>22</v>
      </c>
      <c r="N148" s="5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14</v>
      </c>
      <c r="B149" s="3" t="s">
        <v>483</v>
      </c>
      <c r="C149" s="3" t="s">
        <v>484</v>
      </c>
      <c r="D149" s="3" t="s">
        <v>485</v>
      </c>
      <c r="E149" s="3" t="s">
        <v>486</v>
      </c>
      <c r="F149" s="3" t="s">
        <v>173</v>
      </c>
      <c r="G149" s="3" t="s">
        <v>219</v>
      </c>
      <c r="H149" s="4">
        <v>1.0</v>
      </c>
      <c r="I149" s="4">
        <v>1.0</v>
      </c>
      <c r="J149" s="5"/>
      <c r="K149" s="3" t="s">
        <v>487</v>
      </c>
      <c r="L149" s="3" t="s">
        <v>488</v>
      </c>
      <c r="M149" s="3" t="s">
        <v>22</v>
      </c>
      <c r="N149" s="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14</v>
      </c>
      <c r="B150" s="3" t="s">
        <v>483</v>
      </c>
      <c r="C150" s="3" t="s">
        <v>484</v>
      </c>
      <c r="D150" s="3" t="s">
        <v>485</v>
      </c>
      <c r="E150" s="3" t="s">
        <v>486</v>
      </c>
      <c r="F150" s="3" t="s">
        <v>362</v>
      </c>
      <c r="G150" s="3" t="s">
        <v>362</v>
      </c>
      <c r="H150" s="4">
        <v>2.0</v>
      </c>
      <c r="I150" s="4">
        <v>2.0</v>
      </c>
      <c r="J150" s="5"/>
      <c r="K150" s="3" t="s">
        <v>487</v>
      </c>
      <c r="L150" s="3" t="s">
        <v>488</v>
      </c>
      <c r="M150" s="3" t="s">
        <v>22</v>
      </c>
      <c r="N150" s="5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14</v>
      </c>
      <c r="B151" s="3" t="s">
        <v>489</v>
      </c>
      <c r="C151" s="3" t="s">
        <v>490</v>
      </c>
      <c r="D151" s="3" t="s">
        <v>491</v>
      </c>
      <c r="E151" s="3" t="s">
        <v>492</v>
      </c>
      <c r="F151" s="3" t="s">
        <v>29</v>
      </c>
      <c r="G151" s="3" t="s">
        <v>36</v>
      </c>
      <c r="H151" s="4">
        <v>1.0</v>
      </c>
      <c r="I151" s="4" t="s">
        <v>36</v>
      </c>
      <c r="J151" s="3"/>
      <c r="K151" s="3" t="s">
        <v>493</v>
      </c>
      <c r="L151" s="3" t="s">
        <v>494</v>
      </c>
      <c r="M151" s="3" t="s">
        <v>22</v>
      </c>
      <c r="N151" s="5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14</v>
      </c>
      <c r="B152" s="3" t="s">
        <v>489</v>
      </c>
      <c r="C152" s="3" t="s">
        <v>490</v>
      </c>
      <c r="D152" s="3" t="s">
        <v>491</v>
      </c>
      <c r="E152" s="3" t="s">
        <v>492</v>
      </c>
      <c r="F152" s="3" t="s">
        <v>290</v>
      </c>
      <c r="G152" s="3" t="s">
        <v>495</v>
      </c>
      <c r="H152" s="4">
        <v>2.0</v>
      </c>
      <c r="I152" s="4">
        <v>1.0</v>
      </c>
      <c r="J152" s="3" t="s">
        <v>467</v>
      </c>
      <c r="K152" s="3" t="s">
        <v>493</v>
      </c>
      <c r="L152" s="3" t="s">
        <v>494</v>
      </c>
      <c r="M152" s="3" t="s">
        <v>22</v>
      </c>
      <c r="N152" s="5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14</v>
      </c>
      <c r="B153" s="3" t="s">
        <v>489</v>
      </c>
      <c r="C153" s="3" t="s">
        <v>490</v>
      </c>
      <c r="D153" s="3" t="s">
        <v>491</v>
      </c>
      <c r="E153" s="3" t="s">
        <v>492</v>
      </c>
      <c r="F153" s="3" t="s">
        <v>36</v>
      </c>
      <c r="G153" s="3" t="s">
        <v>496</v>
      </c>
      <c r="H153" s="4" t="s">
        <v>36</v>
      </c>
      <c r="I153" s="4">
        <v>2.0</v>
      </c>
      <c r="J153" s="3"/>
      <c r="K153" s="3" t="s">
        <v>493</v>
      </c>
      <c r="L153" s="3" t="s">
        <v>494</v>
      </c>
      <c r="M153" s="3" t="s">
        <v>22</v>
      </c>
      <c r="N153" s="5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14</v>
      </c>
      <c r="B154" s="3" t="s">
        <v>489</v>
      </c>
      <c r="C154" s="3" t="s">
        <v>490</v>
      </c>
      <c r="D154" s="3" t="s">
        <v>491</v>
      </c>
      <c r="E154" s="3" t="s">
        <v>492</v>
      </c>
      <c r="F154" s="17" t="s">
        <v>36</v>
      </c>
      <c r="G154" s="3" t="s">
        <v>24</v>
      </c>
      <c r="H154" s="4" t="s">
        <v>36</v>
      </c>
      <c r="I154" s="4">
        <v>3.0</v>
      </c>
      <c r="J154" s="5"/>
      <c r="K154" s="3" t="s">
        <v>493</v>
      </c>
      <c r="L154" s="3" t="s">
        <v>494</v>
      </c>
      <c r="M154" s="3" t="s">
        <v>22</v>
      </c>
      <c r="N154" s="5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14</v>
      </c>
      <c r="B155" s="3" t="s">
        <v>497</v>
      </c>
      <c r="C155" s="3" t="s">
        <v>498</v>
      </c>
      <c r="D155" s="3" t="s">
        <v>499</v>
      </c>
      <c r="E155" s="3" t="s">
        <v>500</v>
      </c>
      <c r="F155" s="3" t="s">
        <v>469</v>
      </c>
      <c r="G155" s="3" t="s">
        <v>317</v>
      </c>
      <c r="H155" s="4">
        <v>1.0</v>
      </c>
      <c r="I155" s="4">
        <v>1.0</v>
      </c>
      <c r="J155" s="5"/>
      <c r="K155" s="3" t="s">
        <v>501</v>
      </c>
      <c r="L155" s="3" t="s">
        <v>502</v>
      </c>
      <c r="M155" s="3" t="s">
        <v>22</v>
      </c>
      <c r="N155" s="5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14</v>
      </c>
      <c r="B156" s="3" t="s">
        <v>497</v>
      </c>
      <c r="C156" s="3" t="s">
        <v>498</v>
      </c>
      <c r="D156" s="3" t="s">
        <v>499</v>
      </c>
      <c r="E156" s="3" t="s">
        <v>500</v>
      </c>
      <c r="F156" s="3" t="s">
        <v>197</v>
      </c>
      <c r="G156" s="3" t="s">
        <v>503</v>
      </c>
      <c r="H156" s="4">
        <v>2.0</v>
      </c>
      <c r="I156" s="4">
        <v>2.0</v>
      </c>
      <c r="J156" s="5"/>
      <c r="K156" s="3" t="s">
        <v>501</v>
      </c>
      <c r="L156" s="3" t="s">
        <v>502</v>
      </c>
      <c r="M156" s="3" t="s">
        <v>22</v>
      </c>
      <c r="N156" s="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14</v>
      </c>
      <c r="B157" s="3" t="s">
        <v>504</v>
      </c>
      <c r="C157" s="3" t="s">
        <v>505</v>
      </c>
      <c r="D157" s="3" t="s">
        <v>506</v>
      </c>
      <c r="E157" s="3" t="s">
        <v>507</v>
      </c>
      <c r="F157" s="3" t="s">
        <v>508</v>
      </c>
      <c r="G157" s="3" t="s">
        <v>509</v>
      </c>
      <c r="H157" s="4">
        <v>1.0</v>
      </c>
      <c r="I157" s="4">
        <v>1.0</v>
      </c>
      <c r="J157" s="5"/>
      <c r="K157" s="3" t="s">
        <v>510</v>
      </c>
      <c r="L157" s="3" t="s">
        <v>511</v>
      </c>
      <c r="M157" s="3" t="s">
        <v>22</v>
      </c>
      <c r="N157" s="5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14</v>
      </c>
      <c r="B158" s="3" t="s">
        <v>504</v>
      </c>
      <c r="C158" s="3" t="s">
        <v>505</v>
      </c>
      <c r="D158" s="3" t="s">
        <v>506</v>
      </c>
      <c r="E158" s="3" t="s">
        <v>507</v>
      </c>
      <c r="F158" s="3" t="s">
        <v>362</v>
      </c>
      <c r="G158" s="3" t="s">
        <v>362</v>
      </c>
      <c r="H158" s="4">
        <v>2.0</v>
      </c>
      <c r="I158" s="4">
        <v>2.0</v>
      </c>
      <c r="J158" s="5"/>
      <c r="K158" s="3" t="s">
        <v>510</v>
      </c>
      <c r="L158" s="3" t="s">
        <v>511</v>
      </c>
      <c r="M158" s="3" t="s">
        <v>22</v>
      </c>
      <c r="N158" s="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14</v>
      </c>
      <c r="B159" s="3" t="s">
        <v>512</v>
      </c>
      <c r="C159" s="3" t="s">
        <v>513</v>
      </c>
      <c r="D159" s="3" t="s">
        <v>514</v>
      </c>
      <c r="E159" s="3" t="s">
        <v>515</v>
      </c>
      <c r="F159" s="3" t="s">
        <v>437</v>
      </c>
      <c r="G159" s="3" t="s">
        <v>516</v>
      </c>
      <c r="H159" s="4">
        <v>1.0</v>
      </c>
      <c r="I159" s="4">
        <v>1.0</v>
      </c>
      <c r="J159" s="3" t="s">
        <v>72</v>
      </c>
      <c r="K159" s="3" t="s">
        <v>517</v>
      </c>
      <c r="L159" s="3" t="s">
        <v>518</v>
      </c>
      <c r="M159" s="3" t="s">
        <v>22</v>
      </c>
      <c r="N159" s="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14</v>
      </c>
      <c r="B160" s="3" t="s">
        <v>512</v>
      </c>
      <c r="C160" s="3" t="s">
        <v>513</v>
      </c>
      <c r="D160" s="3" t="s">
        <v>514</v>
      </c>
      <c r="E160" s="3" t="s">
        <v>515</v>
      </c>
      <c r="F160" s="3" t="s">
        <v>245</v>
      </c>
      <c r="G160" s="3" t="s">
        <v>36</v>
      </c>
      <c r="H160" s="4">
        <v>2.0</v>
      </c>
      <c r="I160" s="4" t="s">
        <v>36</v>
      </c>
      <c r="J160" s="3"/>
      <c r="K160" s="3" t="s">
        <v>517</v>
      </c>
      <c r="L160" s="3" t="s">
        <v>518</v>
      </c>
      <c r="M160" s="3" t="s">
        <v>22</v>
      </c>
      <c r="N160" s="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14</v>
      </c>
      <c r="B161" s="3" t="s">
        <v>512</v>
      </c>
      <c r="C161" s="3" t="s">
        <v>513</v>
      </c>
      <c r="D161" s="3" t="s">
        <v>514</v>
      </c>
      <c r="E161" s="3" t="s">
        <v>515</v>
      </c>
      <c r="F161" s="3" t="s">
        <v>162</v>
      </c>
      <c r="G161" s="3" t="s">
        <v>163</v>
      </c>
      <c r="H161" s="4">
        <v>3.0</v>
      </c>
      <c r="I161" s="4">
        <v>2.0</v>
      </c>
      <c r="J161" s="3"/>
      <c r="K161" s="3" t="s">
        <v>517</v>
      </c>
      <c r="L161" s="3" t="s">
        <v>518</v>
      </c>
      <c r="M161" s="3" t="s">
        <v>22</v>
      </c>
      <c r="N161" s="5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14</v>
      </c>
      <c r="B162" s="3" t="s">
        <v>519</v>
      </c>
      <c r="C162" s="3" t="s">
        <v>520</v>
      </c>
      <c r="D162" s="3" t="s">
        <v>521</v>
      </c>
      <c r="E162" s="3" t="s">
        <v>522</v>
      </c>
      <c r="F162" s="3" t="s">
        <v>287</v>
      </c>
      <c r="G162" s="3" t="s">
        <v>65</v>
      </c>
      <c r="H162" s="4">
        <v>1.0</v>
      </c>
      <c r="I162" s="4">
        <v>1.0</v>
      </c>
      <c r="J162" s="5"/>
      <c r="K162" s="3" t="s">
        <v>523</v>
      </c>
      <c r="L162" s="3" t="s">
        <v>524</v>
      </c>
      <c r="M162" s="3" t="s">
        <v>22</v>
      </c>
      <c r="N162" s="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14</v>
      </c>
      <c r="B163" s="3" t="s">
        <v>519</v>
      </c>
      <c r="C163" s="3" t="s">
        <v>520</v>
      </c>
      <c r="D163" s="3" t="s">
        <v>521</v>
      </c>
      <c r="E163" s="3" t="s">
        <v>522</v>
      </c>
      <c r="F163" s="3" t="s">
        <v>525</v>
      </c>
      <c r="G163" s="3" t="s">
        <v>526</v>
      </c>
      <c r="H163" s="4">
        <v>2.0</v>
      </c>
      <c r="I163" s="4">
        <v>2.0</v>
      </c>
      <c r="J163" s="5"/>
      <c r="K163" s="3" t="s">
        <v>523</v>
      </c>
      <c r="L163" s="3" t="s">
        <v>524</v>
      </c>
      <c r="M163" s="3" t="s">
        <v>22</v>
      </c>
      <c r="N163" s="5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14</v>
      </c>
      <c r="B164" s="3" t="s">
        <v>519</v>
      </c>
      <c r="C164" s="3" t="s">
        <v>520</v>
      </c>
      <c r="D164" s="3" t="s">
        <v>521</v>
      </c>
      <c r="E164" s="3" t="s">
        <v>522</v>
      </c>
      <c r="F164" s="3" t="s">
        <v>527</v>
      </c>
      <c r="G164" s="3" t="s">
        <v>36</v>
      </c>
      <c r="H164" s="4">
        <v>3.0</v>
      </c>
      <c r="I164" s="4" t="s">
        <v>36</v>
      </c>
      <c r="J164" s="5"/>
      <c r="K164" s="3" t="s">
        <v>523</v>
      </c>
      <c r="L164" s="3" t="s">
        <v>524</v>
      </c>
      <c r="M164" s="3" t="s">
        <v>22</v>
      </c>
      <c r="N164" s="5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14</v>
      </c>
      <c r="B165" s="3" t="s">
        <v>528</v>
      </c>
      <c r="C165" s="3" t="s">
        <v>529</v>
      </c>
      <c r="D165" s="3" t="s">
        <v>530</v>
      </c>
      <c r="E165" s="3" t="s">
        <v>531</v>
      </c>
      <c r="F165" s="3" t="s">
        <v>181</v>
      </c>
      <c r="G165" s="3" t="s">
        <v>181</v>
      </c>
      <c r="H165" s="4">
        <v>1.0</v>
      </c>
      <c r="I165" s="4">
        <v>1.0</v>
      </c>
      <c r="J165" s="5"/>
      <c r="K165" s="3" t="s">
        <v>532</v>
      </c>
      <c r="L165" s="3" t="s">
        <v>533</v>
      </c>
      <c r="M165" s="3" t="s">
        <v>22</v>
      </c>
      <c r="N165" s="5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14</v>
      </c>
      <c r="B166" s="3" t="s">
        <v>528</v>
      </c>
      <c r="C166" s="3" t="s">
        <v>529</v>
      </c>
      <c r="D166" s="3" t="s">
        <v>530</v>
      </c>
      <c r="E166" s="3" t="s">
        <v>531</v>
      </c>
      <c r="F166" s="3" t="s">
        <v>534</v>
      </c>
      <c r="G166" s="3" t="s">
        <v>535</v>
      </c>
      <c r="H166" s="4">
        <v>2.0</v>
      </c>
      <c r="I166" s="4">
        <v>2.0</v>
      </c>
      <c r="J166" s="5"/>
      <c r="K166" s="3" t="s">
        <v>532</v>
      </c>
      <c r="L166" s="3" t="s">
        <v>533</v>
      </c>
      <c r="M166" s="3" t="s">
        <v>22</v>
      </c>
      <c r="N166" s="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14</v>
      </c>
      <c r="B167" s="3" t="s">
        <v>536</v>
      </c>
      <c r="C167" s="15" t="s">
        <v>537</v>
      </c>
      <c r="D167" s="3" t="s">
        <v>538</v>
      </c>
      <c r="E167" s="15" t="s">
        <v>539</v>
      </c>
      <c r="F167" s="3" t="s">
        <v>268</v>
      </c>
      <c r="G167" s="15" t="s">
        <v>269</v>
      </c>
      <c r="H167" s="4">
        <v>1.0</v>
      </c>
      <c r="I167" s="4">
        <v>1.0</v>
      </c>
      <c r="J167" s="3"/>
      <c r="K167" s="15" t="s">
        <v>540</v>
      </c>
      <c r="L167" s="3" t="s">
        <v>541</v>
      </c>
      <c r="M167" s="3" t="s">
        <v>22</v>
      </c>
      <c r="N167" s="5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14</v>
      </c>
      <c r="B168" s="3" t="s">
        <v>536</v>
      </c>
      <c r="C168" s="15" t="s">
        <v>537</v>
      </c>
      <c r="D168" s="3" t="s">
        <v>538</v>
      </c>
      <c r="E168" s="15" t="s">
        <v>539</v>
      </c>
      <c r="F168" s="15" t="s">
        <v>254</v>
      </c>
      <c r="G168" s="15" t="s">
        <v>254</v>
      </c>
      <c r="H168" s="4">
        <v>2.0</v>
      </c>
      <c r="I168" s="4">
        <v>2.0</v>
      </c>
      <c r="J168" s="3"/>
      <c r="K168" s="15" t="s">
        <v>540</v>
      </c>
      <c r="L168" s="3" t="s">
        <v>541</v>
      </c>
      <c r="M168" s="3" t="s">
        <v>22</v>
      </c>
      <c r="N168" s="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14</v>
      </c>
      <c r="B169" s="3" t="s">
        <v>542</v>
      </c>
      <c r="C169" s="3" t="s">
        <v>543</v>
      </c>
      <c r="D169" s="3" t="s">
        <v>544</v>
      </c>
      <c r="E169" s="3" t="s">
        <v>545</v>
      </c>
      <c r="F169" s="3" t="s">
        <v>128</v>
      </c>
      <c r="G169" s="3" t="s">
        <v>546</v>
      </c>
      <c r="H169" s="4">
        <v>1.0</v>
      </c>
      <c r="I169" s="4">
        <v>1.0</v>
      </c>
      <c r="J169" s="3"/>
      <c r="K169" s="3" t="s">
        <v>547</v>
      </c>
      <c r="L169" s="3" t="s">
        <v>548</v>
      </c>
      <c r="M169" s="3" t="s">
        <v>22</v>
      </c>
      <c r="N169" s="5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14</v>
      </c>
      <c r="B170" s="3" t="s">
        <v>542</v>
      </c>
      <c r="C170" s="3" t="s">
        <v>543</v>
      </c>
      <c r="D170" s="3" t="s">
        <v>544</v>
      </c>
      <c r="E170" s="3" t="s">
        <v>545</v>
      </c>
      <c r="F170" s="3" t="s">
        <v>549</v>
      </c>
      <c r="G170" s="3" t="s">
        <v>36</v>
      </c>
      <c r="H170" s="4">
        <v>2.0</v>
      </c>
      <c r="I170" s="4" t="s">
        <v>36</v>
      </c>
      <c r="J170" s="3"/>
      <c r="K170" s="3" t="s">
        <v>547</v>
      </c>
      <c r="L170" s="3" t="s">
        <v>548</v>
      </c>
      <c r="M170" s="3" t="s">
        <v>22</v>
      </c>
      <c r="N170" s="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14</v>
      </c>
      <c r="B171" s="3" t="s">
        <v>542</v>
      </c>
      <c r="C171" s="3" t="s">
        <v>543</v>
      </c>
      <c r="D171" s="3" t="s">
        <v>544</v>
      </c>
      <c r="E171" s="3" t="s">
        <v>545</v>
      </c>
      <c r="F171" s="3" t="s">
        <v>75</v>
      </c>
      <c r="G171" s="3" t="s">
        <v>75</v>
      </c>
      <c r="H171" s="4">
        <v>3.0</v>
      </c>
      <c r="I171" s="4">
        <v>2.0</v>
      </c>
      <c r="J171" s="5"/>
      <c r="K171" s="3" t="s">
        <v>547</v>
      </c>
      <c r="L171" s="3" t="s">
        <v>548</v>
      </c>
      <c r="M171" s="3" t="s">
        <v>22</v>
      </c>
      <c r="N171" s="5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14</v>
      </c>
      <c r="B172" s="3" t="s">
        <v>335</v>
      </c>
      <c r="C172" s="3" t="s">
        <v>550</v>
      </c>
      <c r="D172" s="3" t="s">
        <v>335</v>
      </c>
      <c r="E172" s="3" t="s">
        <v>551</v>
      </c>
      <c r="F172" s="3" t="s">
        <v>335</v>
      </c>
      <c r="G172" s="3" t="s">
        <v>219</v>
      </c>
      <c r="H172" s="4">
        <v>1.0</v>
      </c>
      <c r="I172" s="4">
        <v>1.0</v>
      </c>
      <c r="J172" s="3"/>
      <c r="K172" s="3" t="s">
        <v>552</v>
      </c>
      <c r="L172" s="3" t="s">
        <v>553</v>
      </c>
      <c r="M172" s="3" t="s">
        <v>22</v>
      </c>
      <c r="N172" s="5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14</v>
      </c>
      <c r="B173" s="3" t="s">
        <v>335</v>
      </c>
      <c r="C173" s="3" t="s">
        <v>550</v>
      </c>
      <c r="D173" s="3" t="s">
        <v>335</v>
      </c>
      <c r="E173" s="3" t="s">
        <v>551</v>
      </c>
      <c r="F173" s="3" t="s">
        <v>36</v>
      </c>
      <c r="G173" s="3" t="s">
        <v>24</v>
      </c>
      <c r="H173" s="4" t="s">
        <v>36</v>
      </c>
      <c r="I173" s="4">
        <v>2.0</v>
      </c>
      <c r="J173" s="3"/>
      <c r="K173" s="3" t="s">
        <v>552</v>
      </c>
      <c r="L173" s="3" t="s">
        <v>553</v>
      </c>
      <c r="M173" s="3" t="s">
        <v>22</v>
      </c>
      <c r="N173" s="5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14</v>
      </c>
      <c r="B174" s="3" t="s">
        <v>554</v>
      </c>
      <c r="C174" s="3" t="s">
        <v>555</v>
      </c>
      <c r="D174" s="3" t="s">
        <v>556</v>
      </c>
      <c r="E174" s="3" t="s">
        <v>557</v>
      </c>
      <c r="F174" s="3"/>
      <c r="G174" s="3"/>
      <c r="H174" s="4"/>
      <c r="I174" s="4"/>
      <c r="J174" s="5"/>
      <c r="K174" s="3" t="s">
        <v>558</v>
      </c>
      <c r="L174" s="3" t="s">
        <v>559</v>
      </c>
      <c r="M174" s="3" t="s">
        <v>22</v>
      </c>
      <c r="N174" s="3" t="s">
        <v>560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14</v>
      </c>
      <c r="B175" s="3" t="s">
        <v>561</v>
      </c>
      <c r="C175" s="3" t="s">
        <v>562</v>
      </c>
      <c r="D175" s="3" t="s">
        <v>563</v>
      </c>
      <c r="E175" s="3" t="s">
        <v>562</v>
      </c>
      <c r="F175" s="3" t="s">
        <v>466</v>
      </c>
      <c r="G175" s="3" t="s">
        <v>466</v>
      </c>
      <c r="H175" s="4">
        <v>1.0</v>
      </c>
      <c r="I175" s="4">
        <v>1.0</v>
      </c>
      <c r="J175" s="5"/>
      <c r="K175" s="3" t="s">
        <v>564</v>
      </c>
      <c r="L175" s="3" t="s">
        <v>565</v>
      </c>
      <c r="M175" s="3" t="s">
        <v>22</v>
      </c>
      <c r="N175" s="5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14</v>
      </c>
      <c r="B176" s="3" t="s">
        <v>561</v>
      </c>
      <c r="C176" s="3" t="s">
        <v>562</v>
      </c>
      <c r="D176" s="3" t="s">
        <v>563</v>
      </c>
      <c r="E176" s="3" t="s">
        <v>562</v>
      </c>
      <c r="F176" s="3" t="s">
        <v>362</v>
      </c>
      <c r="G176" s="3" t="s">
        <v>566</v>
      </c>
      <c r="H176" s="4" t="s">
        <v>36</v>
      </c>
      <c r="I176" s="4">
        <v>2.0</v>
      </c>
      <c r="J176" s="3"/>
      <c r="K176" s="3" t="s">
        <v>564</v>
      </c>
      <c r="L176" s="3" t="s">
        <v>565</v>
      </c>
      <c r="M176" s="3" t="s">
        <v>22</v>
      </c>
      <c r="N176" s="5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14</v>
      </c>
      <c r="B177" s="3" t="s">
        <v>567</v>
      </c>
      <c r="C177" s="3" t="s">
        <v>568</v>
      </c>
      <c r="D177" s="3" t="s">
        <v>569</v>
      </c>
      <c r="E177" s="3" t="s">
        <v>570</v>
      </c>
      <c r="F177" s="3" t="s">
        <v>128</v>
      </c>
      <c r="G177" s="3" t="s">
        <v>36</v>
      </c>
      <c r="H177" s="4">
        <v>1.0</v>
      </c>
      <c r="I177" s="4" t="s">
        <v>36</v>
      </c>
      <c r="J177" s="5"/>
      <c r="K177" s="3" t="s">
        <v>571</v>
      </c>
      <c r="L177" s="3" t="s">
        <v>572</v>
      </c>
      <c r="M177" s="3" t="s">
        <v>22</v>
      </c>
      <c r="N177" s="5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14</v>
      </c>
      <c r="B178" s="3" t="s">
        <v>567</v>
      </c>
      <c r="C178" s="3" t="s">
        <v>568</v>
      </c>
      <c r="D178" s="3" t="s">
        <v>569</v>
      </c>
      <c r="E178" s="3" t="s">
        <v>570</v>
      </c>
      <c r="F178" s="3" t="s">
        <v>573</v>
      </c>
      <c r="G178" s="3" t="s">
        <v>574</v>
      </c>
      <c r="H178" s="4">
        <v>2.0</v>
      </c>
      <c r="I178" s="4">
        <v>1.0</v>
      </c>
      <c r="J178" s="5"/>
      <c r="K178" s="3" t="s">
        <v>571</v>
      </c>
      <c r="L178" s="3" t="s">
        <v>572</v>
      </c>
      <c r="M178" s="3" t="s">
        <v>22</v>
      </c>
      <c r="N178" s="5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14</v>
      </c>
      <c r="B179" s="3" t="s">
        <v>567</v>
      </c>
      <c r="C179" s="3" t="s">
        <v>568</v>
      </c>
      <c r="D179" s="3" t="s">
        <v>569</v>
      </c>
      <c r="E179" s="3" t="s">
        <v>570</v>
      </c>
      <c r="F179" s="3" t="s">
        <v>471</v>
      </c>
      <c r="G179" s="3" t="s">
        <v>219</v>
      </c>
      <c r="H179" s="4">
        <v>3.0</v>
      </c>
      <c r="I179" s="4">
        <v>2.0</v>
      </c>
      <c r="J179" s="5"/>
      <c r="K179" s="3" t="s">
        <v>571</v>
      </c>
      <c r="L179" s="3" t="s">
        <v>572</v>
      </c>
      <c r="M179" s="3" t="s">
        <v>22</v>
      </c>
      <c r="N179" s="5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14</v>
      </c>
      <c r="B180" s="3" t="s">
        <v>567</v>
      </c>
      <c r="C180" s="3" t="s">
        <v>568</v>
      </c>
      <c r="D180" s="3" t="s">
        <v>569</v>
      </c>
      <c r="E180" s="3" t="s">
        <v>570</v>
      </c>
      <c r="F180" s="3" t="s">
        <v>575</v>
      </c>
      <c r="G180" s="3" t="s">
        <v>576</v>
      </c>
      <c r="H180" s="4">
        <v>4.0</v>
      </c>
      <c r="I180" s="4">
        <v>3.0</v>
      </c>
      <c r="J180" s="5"/>
      <c r="K180" s="3" t="s">
        <v>571</v>
      </c>
      <c r="L180" s="3" t="s">
        <v>572</v>
      </c>
      <c r="M180" s="3" t="s">
        <v>22</v>
      </c>
      <c r="N180" s="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14</v>
      </c>
      <c r="B181" s="3" t="s">
        <v>577</v>
      </c>
      <c r="C181" s="3" t="s">
        <v>578</v>
      </c>
      <c r="D181" s="3" t="s">
        <v>579</v>
      </c>
      <c r="E181" s="3" t="s">
        <v>580</v>
      </c>
      <c r="F181" s="3" t="s">
        <v>131</v>
      </c>
      <c r="G181" s="3" t="s">
        <v>131</v>
      </c>
      <c r="H181" s="4">
        <v>1.0</v>
      </c>
      <c r="I181" s="4">
        <v>1.0</v>
      </c>
      <c r="J181" s="5"/>
      <c r="K181" s="3" t="s">
        <v>581</v>
      </c>
      <c r="L181" s="3" t="s">
        <v>582</v>
      </c>
      <c r="M181" s="3" t="s">
        <v>22</v>
      </c>
      <c r="N181" s="5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14</v>
      </c>
      <c r="B182" s="3" t="s">
        <v>577</v>
      </c>
      <c r="C182" s="3" t="s">
        <v>578</v>
      </c>
      <c r="D182" s="3" t="s">
        <v>579</v>
      </c>
      <c r="E182" s="3" t="s">
        <v>580</v>
      </c>
      <c r="F182" s="3" t="s">
        <v>62</v>
      </c>
      <c r="G182" s="3" t="s">
        <v>583</v>
      </c>
      <c r="H182" s="4">
        <v>2.0</v>
      </c>
      <c r="I182" s="4">
        <v>2.0</v>
      </c>
      <c r="J182" s="5"/>
      <c r="K182" s="3" t="s">
        <v>581</v>
      </c>
      <c r="L182" s="3" t="s">
        <v>582</v>
      </c>
      <c r="M182" s="3" t="s">
        <v>22</v>
      </c>
      <c r="N182" s="5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14</v>
      </c>
      <c r="B183" s="3" t="s">
        <v>584</v>
      </c>
      <c r="C183" s="3" t="s">
        <v>585</v>
      </c>
      <c r="D183" s="3" t="s">
        <v>586</v>
      </c>
      <c r="E183" s="3" t="s">
        <v>587</v>
      </c>
      <c r="F183" s="3" t="s">
        <v>108</v>
      </c>
      <c r="G183" s="3" t="s">
        <v>175</v>
      </c>
      <c r="H183" s="4">
        <v>1.0</v>
      </c>
      <c r="I183" s="4">
        <v>1.0</v>
      </c>
      <c r="J183" s="3" t="s">
        <v>467</v>
      </c>
      <c r="K183" s="3" t="s">
        <v>588</v>
      </c>
      <c r="L183" s="3" t="s">
        <v>589</v>
      </c>
      <c r="M183" s="3" t="s">
        <v>22</v>
      </c>
      <c r="N183" s="5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14</v>
      </c>
      <c r="B184" s="3" t="s">
        <v>584</v>
      </c>
      <c r="C184" s="3" t="s">
        <v>585</v>
      </c>
      <c r="D184" s="3" t="s">
        <v>586</v>
      </c>
      <c r="E184" s="3" t="s">
        <v>587</v>
      </c>
      <c r="F184" s="3" t="s">
        <v>251</v>
      </c>
      <c r="G184" s="3" t="s">
        <v>590</v>
      </c>
      <c r="H184" s="4">
        <v>2.0</v>
      </c>
      <c r="I184" s="4">
        <v>2.0</v>
      </c>
      <c r="J184" s="3"/>
      <c r="K184" s="3" t="s">
        <v>588</v>
      </c>
      <c r="L184" s="3" t="s">
        <v>589</v>
      </c>
      <c r="M184" s="3" t="s">
        <v>22</v>
      </c>
      <c r="N184" s="5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14</v>
      </c>
      <c r="B185" s="3" t="s">
        <v>584</v>
      </c>
      <c r="C185" s="3" t="s">
        <v>585</v>
      </c>
      <c r="D185" s="3" t="s">
        <v>586</v>
      </c>
      <c r="E185" s="3" t="s">
        <v>587</v>
      </c>
      <c r="F185" s="3" t="s">
        <v>36</v>
      </c>
      <c r="G185" s="3" t="s">
        <v>591</v>
      </c>
      <c r="H185" s="4" t="s">
        <v>36</v>
      </c>
      <c r="I185" s="4">
        <v>3.0</v>
      </c>
      <c r="J185" s="5"/>
      <c r="K185" s="3" t="s">
        <v>588</v>
      </c>
      <c r="L185" s="3" t="s">
        <v>589</v>
      </c>
      <c r="M185" s="3" t="s">
        <v>22</v>
      </c>
      <c r="N185" s="5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14</v>
      </c>
      <c r="B186" s="3" t="s">
        <v>592</v>
      </c>
      <c r="C186" s="3" t="s">
        <v>593</v>
      </c>
      <c r="D186" s="3" t="s">
        <v>594</v>
      </c>
      <c r="E186" s="3" t="s">
        <v>595</v>
      </c>
      <c r="F186" s="3" t="s">
        <v>596</v>
      </c>
      <c r="G186" s="3" t="s">
        <v>596</v>
      </c>
      <c r="H186" s="4">
        <v>1.0</v>
      </c>
      <c r="I186" s="4">
        <v>1.0</v>
      </c>
      <c r="J186" s="5"/>
      <c r="K186" s="3" t="s">
        <v>597</v>
      </c>
      <c r="L186" s="3" t="s">
        <v>598</v>
      </c>
      <c r="M186" s="3" t="s">
        <v>22</v>
      </c>
      <c r="N186" s="5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14</v>
      </c>
      <c r="B187" s="3" t="s">
        <v>592</v>
      </c>
      <c r="C187" s="3" t="s">
        <v>593</v>
      </c>
      <c r="D187" s="3" t="s">
        <v>594</v>
      </c>
      <c r="E187" s="3" t="s">
        <v>595</v>
      </c>
      <c r="F187" s="3" t="s">
        <v>599</v>
      </c>
      <c r="G187" s="3" t="s">
        <v>583</v>
      </c>
      <c r="H187" s="4">
        <v>2.0</v>
      </c>
      <c r="I187" s="4">
        <v>2.0</v>
      </c>
      <c r="J187" s="5"/>
      <c r="K187" s="3" t="s">
        <v>597</v>
      </c>
      <c r="L187" s="3" t="s">
        <v>598</v>
      </c>
      <c r="M187" s="3" t="s">
        <v>22</v>
      </c>
      <c r="N187" s="5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14</v>
      </c>
      <c r="B188" s="3" t="s">
        <v>600</v>
      </c>
      <c r="C188" s="3" t="s">
        <v>601</v>
      </c>
      <c r="D188" s="3" t="s">
        <v>602</v>
      </c>
      <c r="E188" s="3" t="s">
        <v>603</v>
      </c>
      <c r="F188" s="3" t="s">
        <v>157</v>
      </c>
      <c r="G188" s="3" t="s">
        <v>158</v>
      </c>
      <c r="H188" s="4">
        <v>1.0</v>
      </c>
      <c r="I188" s="4">
        <v>1.0</v>
      </c>
      <c r="J188" s="5"/>
      <c r="K188" s="3" t="s">
        <v>604</v>
      </c>
      <c r="L188" s="3" t="s">
        <v>605</v>
      </c>
      <c r="M188" s="3" t="s">
        <v>22</v>
      </c>
      <c r="N188" s="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14</v>
      </c>
      <c r="B189" s="3" t="s">
        <v>600</v>
      </c>
      <c r="C189" s="3" t="s">
        <v>601</v>
      </c>
      <c r="D189" s="3" t="s">
        <v>602</v>
      </c>
      <c r="E189" s="3" t="s">
        <v>603</v>
      </c>
      <c r="F189" s="3" t="s">
        <v>131</v>
      </c>
      <c r="G189" s="3" t="s">
        <v>131</v>
      </c>
      <c r="H189" s="4">
        <v>2.0</v>
      </c>
      <c r="I189" s="4">
        <v>2.0</v>
      </c>
      <c r="J189" s="5"/>
      <c r="K189" s="3" t="s">
        <v>604</v>
      </c>
      <c r="L189" s="3" t="s">
        <v>605</v>
      </c>
      <c r="M189" s="3" t="s">
        <v>22</v>
      </c>
      <c r="N189" s="5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14</v>
      </c>
      <c r="B190" s="3" t="s">
        <v>600</v>
      </c>
      <c r="C190" s="3" t="s">
        <v>601</v>
      </c>
      <c r="D190" s="3" t="s">
        <v>602</v>
      </c>
      <c r="E190" s="3" t="s">
        <v>603</v>
      </c>
      <c r="F190" s="3" t="s">
        <v>425</v>
      </c>
      <c r="G190" s="3" t="s">
        <v>425</v>
      </c>
      <c r="H190" s="4">
        <v>3.0</v>
      </c>
      <c r="I190" s="4">
        <v>3.0</v>
      </c>
      <c r="J190" s="5"/>
      <c r="K190" s="3" t="s">
        <v>604</v>
      </c>
      <c r="L190" s="3" t="s">
        <v>605</v>
      </c>
      <c r="M190" s="3" t="s">
        <v>22</v>
      </c>
      <c r="N190" s="5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14</v>
      </c>
      <c r="B191" s="3" t="s">
        <v>606</v>
      </c>
      <c r="C191" s="3" t="s">
        <v>607</v>
      </c>
      <c r="D191" s="3" t="s">
        <v>608</v>
      </c>
      <c r="E191" s="3" t="s">
        <v>609</v>
      </c>
      <c r="F191" s="3" t="s">
        <v>610</v>
      </c>
      <c r="G191" s="3" t="s">
        <v>611</v>
      </c>
      <c r="H191" s="4">
        <v>1.0</v>
      </c>
      <c r="I191" s="4">
        <v>1.0</v>
      </c>
      <c r="J191" s="5"/>
      <c r="K191" s="3" t="s">
        <v>612</v>
      </c>
      <c r="L191" s="3" t="s">
        <v>613</v>
      </c>
      <c r="M191" s="3" t="s">
        <v>22</v>
      </c>
      <c r="N191" s="5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14</v>
      </c>
      <c r="B192" s="3" t="s">
        <v>606</v>
      </c>
      <c r="C192" s="3" t="s">
        <v>607</v>
      </c>
      <c r="D192" s="3" t="s">
        <v>608</v>
      </c>
      <c r="E192" s="3" t="s">
        <v>609</v>
      </c>
      <c r="F192" s="3" t="s">
        <v>614</v>
      </c>
      <c r="G192" s="3" t="s">
        <v>615</v>
      </c>
      <c r="H192" s="4">
        <v>2.0</v>
      </c>
      <c r="I192" s="4">
        <v>2.0</v>
      </c>
      <c r="J192" s="5"/>
      <c r="K192" s="3" t="s">
        <v>612</v>
      </c>
      <c r="L192" s="3" t="s">
        <v>613</v>
      </c>
      <c r="M192" s="3" t="s">
        <v>22</v>
      </c>
      <c r="N192" s="5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14</v>
      </c>
      <c r="B193" s="3" t="s">
        <v>606</v>
      </c>
      <c r="C193" s="3" t="s">
        <v>607</v>
      </c>
      <c r="D193" s="3" t="s">
        <v>608</v>
      </c>
      <c r="E193" s="3" t="s">
        <v>609</v>
      </c>
      <c r="F193" s="3" t="s">
        <v>98</v>
      </c>
      <c r="G193" s="3" t="s">
        <v>98</v>
      </c>
      <c r="H193" s="4">
        <v>3.0</v>
      </c>
      <c r="I193" s="4">
        <v>3.0</v>
      </c>
      <c r="J193" s="5"/>
      <c r="K193" s="3" t="s">
        <v>612</v>
      </c>
      <c r="L193" s="3" t="s">
        <v>613</v>
      </c>
      <c r="M193" s="3" t="s">
        <v>22</v>
      </c>
      <c r="N193" s="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14</v>
      </c>
      <c r="B194" s="3" t="s">
        <v>616</v>
      </c>
      <c r="C194" s="3" t="s">
        <v>617</v>
      </c>
      <c r="D194" s="3" t="s">
        <v>618</v>
      </c>
      <c r="E194" s="3" t="s">
        <v>619</v>
      </c>
      <c r="F194" s="3" t="s">
        <v>620</v>
      </c>
      <c r="G194" s="3" t="s">
        <v>190</v>
      </c>
      <c r="H194" s="4">
        <v>1.0</v>
      </c>
      <c r="I194" s="4">
        <v>1.0</v>
      </c>
      <c r="J194" s="3" t="s">
        <v>467</v>
      </c>
      <c r="K194" s="3" t="s">
        <v>621</v>
      </c>
      <c r="L194" s="3" t="s">
        <v>622</v>
      </c>
      <c r="M194" s="3" t="s">
        <v>22</v>
      </c>
      <c r="N194" s="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14</v>
      </c>
      <c r="B195" s="3" t="s">
        <v>616</v>
      </c>
      <c r="C195" s="3" t="s">
        <v>617</v>
      </c>
      <c r="D195" s="3" t="s">
        <v>618</v>
      </c>
      <c r="E195" s="3" t="s">
        <v>619</v>
      </c>
      <c r="F195" s="3" t="s">
        <v>36</v>
      </c>
      <c r="G195" s="3" t="s">
        <v>623</v>
      </c>
      <c r="H195" s="4">
        <v>2.0</v>
      </c>
      <c r="I195" s="4">
        <v>2.0</v>
      </c>
      <c r="J195" s="3"/>
      <c r="K195" s="3" t="s">
        <v>621</v>
      </c>
      <c r="L195" s="3" t="s">
        <v>622</v>
      </c>
      <c r="M195" s="3" t="s">
        <v>22</v>
      </c>
      <c r="N195" s="5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14</v>
      </c>
      <c r="B196" s="3" t="s">
        <v>616</v>
      </c>
      <c r="C196" s="3" t="s">
        <v>617</v>
      </c>
      <c r="D196" s="3" t="s">
        <v>618</v>
      </c>
      <c r="E196" s="3" t="s">
        <v>619</v>
      </c>
      <c r="F196" s="3" t="s">
        <v>624</v>
      </c>
      <c r="G196" s="3" t="s">
        <v>75</v>
      </c>
      <c r="H196" s="4">
        <v>3.0</v>
      </c>
      <c r="I196" s="4">
        <v>3.0</v>
      </c>
      <c r="J196" s="5"/>
      <c r="K196" s="3" t="s">
        <v>621</v>
      </c>
      <c r="L196" s="3" t="s">
        <v>622</v>
      </c>
      <c r="M196" s="3" t="s">
        <v>22</v>
      </c>
      <c r="N196" s="5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14</v>
      </c>
      <c r="B197" s="3" t="s">
        <v>625</v>
      </c>
      <c r="C197" s="3" t="s">
        <v>626</v>
      </c>
      <c r="D197" s="3" t="s">
        <v>627</v>
      </c>
      <c r="E197" s="3" t="s">
        <v>628</v>
      </c>
      <c r="F197" s="3" t="s">
        <v>629</v>
      </c>
      <c r="G197" s="3" t="s">
        <v>630</v>
      </c>
      <c r="H197" s="4">
        <v>1.0</v>
      </c>
      <c r="I197" s="4">
        <v>1.0</v>
      </c>
      <c r="J197" s="5"/>
      <c r="K197" s="3" t="s">
        <v>631</v>
      </c>
      <c r="L197" s="3" t="s">
        <v>632</v>
      </c>
      <c r="M197" s="3" t="s">
        <v>22</v>
      </c>
      <c r="N197" s="5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14</v>
      </c>
      <c r="B198" s="3" t="s">
        <v>625</v>
      </c>
      <c r="C198" s="3" t="s">
        <v>626</v>
      </c>
      <c r="D198" s="3" t="s">
        <v>627</v>
      </c>
      <c r="E198" s="3" t="s">
        <v>628</v>
      </c>
      <c r="F198" s="3" t="s">
        <v>402</v>
      </c>
      <c r="G198" s="3" t="s">
        <v>402</v>
      </c>
      <c r="H198" s="4">
        <v>2.0</v>
      </c>
      <c r="I198" s="4">
        <v>2.0</v>
      </c>
      <c r="J198" s="5"/>
      <c r="K198" s="3" t="s">
        <v>631</v>
      </c>
      <c r="L198" s="3" t="s">
        <v>632</v>
      </c>
      <c r="M198" s="3" t="s">
        <v>22</v>
      </c>
      <c r="N198" s="5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14</v>
      </c>
      <c r="B199" s="3" t="s">
        <v>633</v>
      </c>
      <c r="C199" s="3" t="s">
        <v>634</v>
      </c>
      <c r="D199" s="3" t="s">
        <v>635</v>
      </c>
      <c r="E199" s="3" t="s">
        <v>636</v>
      </c>
      <c r="F199" s="3"/>
      <c r="G199" s="3"/>
      <c r="H199" s="4"/>
      <c r="I199" s="4"/>
      <c r="J199" s="5"/>
      <c r="K199" s="3" t="s">
        <v>637</v>
      </c>
      <c r="L199" s="3" t="s">
        <v>638</v>
      </c>
      <c r="M199" s="3" t="s">
        <v>22</v>
      </c>
      <c r="N199" s="3" t="s">
        <v>560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14</v>
      </c>
      <c r="B200" s="3" t="s">
        <v>639</v>
      </c>
      <c r="C200" s="3" t="s">
        <v>640</v>
      </c>
      <c r="D200" s="6" t="s">
        <v>641</v>
      </c>
      <c r="E200" s="3" t="s">
        <v>642</v>
      </c>
      <c r="F200" s="6" t="s">
        <v>643</v>
      </c>
      <c r="G200" s="3" t="s">
        <v>644</v>
      </c>
      <c r="H200" s="4">
        <v>1.0</v>
      </c>
      <c r="I200" s="4">
        <v>1.0</v>
      </c>
      <c r="J200" s="5"/>
      <c r="K200" s="3" t="s">
        <v>645</v>
      </c>
      <c r="L200" s="3" t="s">
        <v>646</v>
      </c>
      <c r="M200" s="3" t="s">
        <v>22</v>
      </c>
      <c r="N200" s="5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14</v>
      </c>
      <c r="B201" s="3" t="s">
        <v>639</v>
      </c>
      <c r="C201" s="3" t="s">
        <v>640</v>
      </c>
      <c r="D201" s="6" t="s">
        <v>641</v>
      </c>
      <c r="E201" s="3" t="s">
        <v>642</v>
      </c>
      <c r="F201" s="6" t="s">
        <v>419</v>
      </c>
      <c r="G201" s="3" t="s">
        <v>425</v>
      </c>
      <c r="H201" s="4">
        <v>2.0</v>
      </c>
      <c r="I201" s="4">
        <v>2.0</v>
      </c>
      <c r="J201" s="5"/>
      <c r="K201" s="3" t="s">
        <v>645</v>
      </c>
      <c r="L201" s="3" t="s">
        <v>646</v>
      </c>
      <c r="M201" s="3" t="s">
        <v>22</v>
      </c>
      <c r="N201" s="5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14</v>
      </c>
      <c r="B202" s="3" t="s">
        <v>647</v>
      </c>
      <c r="C202" s="3" t="s">
        <v>648</v>
      </c>
      <c r="D202" s="6" t="s">
        <v>649</v>
      </c>
      <c r="E202" s="3" t="s">
        <v>650</v>
      </c>
      <c r="F202" s="6"/>
      <c r="G202" s="3"/>
      <c r="H202" s="4"/>
      <c r="I202" s="4"/>
      <c r="J202" s="3"/>
      <c r="K202" s="3" t="s">
        <v>651</v>
      </c>
      <c r="L202" s="3" t="s">
        <v>652</v>
      </c>
      <c r="M202" s="3" t="s">
        <v>22</v>
      </c>
      <c r="N202" s="5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14</v>
      </c>
      <c r="B203" s="3" t="s">
        <v>647</v>
      </c>
      <c r="C203" s="3" t="s">
        <v>648</v>
      </c>
      <c r="D203" s="6" t="s">
        <v>649</v>
      </c>
      <c r="E203" s="3" t="s">
        <v>650</v>
      </c>
      <c r="F203" s="6" t="s">
        <v>653</v>
      </c>
      <c r="G203" s="3" t="s">
        <v>238</v>
      </c>
      <c r="H203" s="4">
        <v>2.0</v>
      </c>
      <c r="I203" s="4">
        <v>2.0</v>
      </c>
      <c r="J203" s="5"/>
      <c r="K203" s="3" t="s">
        <v>651</v>
      </c>
      <c r="L203" s="3" t="s">
        <v>652</v>
      </c>
      <c r="M203" s="3" t="s">
        <v>22</v>
      </c>
      <c r="N203" s="5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14</v>
      </c>
      <c r="B204" s="3" t="s">
        <v>647</v>
      </c>
      <c r="C204" s="3" t="s">
        <v>648</v>
      </c>
      <c r="D204" s="6" t="s">
        <v>649</v>
      </c>
      <c r="E204" s="3" t="s">
        <v>650</v>
      </c>
      <c r="F204" s="6" t="s">
        <v>36</v>
      </c>
      <c r="G204" s="3" t="s">
        <v>654</v>
      </c>
      <c r="H204" s="4">
        <v>3.0</v>
      </c>
      <c r="I204" s="4">
        <v>3.0</v>
      </c>
      <c r="J204" s="3"/>
      <c r="K204" s="3" t="s">
        <v>651</v>
      </c>
      <c r="L204" s="3" t="s">
        <v>652</v>
      </c>
      <c r="M204" s="3" t="s">
        <v>22</v>
      </c>
      <c r="N204" s="5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14</v>
      </c>
      <c r="B205" s="3" t="s">
        <v>647</v>
      </c>
      <c r="C205" s="3" t="s">
        <v>648</v>
      </c>
      <c r="D205" s="6" t="s">
        <v>649</v>
      </c>
      <c r="E205" s="3" t="s">
        <v>650</v>
      </c>
      <c r="F205" s="6" t="s">
        <v>190</v>
      </c>
      <c r="G205" s="3" t="s">
        <v>190</v>
      </c>
      <c r="H205" s="4">
        <v>4.0</v>
      </c>
      <c r="I205" s="4">
        <v>4.0</v>
      </c>
      <c r="J205" s="5"/>
      <c r="K205" s="3" t="s">
        <v>651</v>
      </c>
      <c r="L205" s="3" t="s">
        <v>652</v>
      </c>
      <c r="M205" s="3" t="s">
        <v>22</v>
      </c>
      <c r="N205" s="5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14</v>
      </c>
      <c r="B206" s="3" t="s">
        <v>655</v>
      </c>
      <c r="C206" s="3" t="s">
        <v>656</v>
      </c>
      <c r="D206" s="3" t="s">
        <v>657</v>
      </c>
      <c r="E206" s="3" t="s">
        <v>658</v>
      </c>
      <c r="F206" s="3" t="s">
        <v>30</v>
      </c>
      <c r="G206" s="3" t="s">
        <v>49</v>
      </c>
      <c r="H206" s="4">
        <v>1.0</v>
      </c>
      <c r="I206" s="4">
        <v>1.0</v>
      </c>
      <c r="J206" s="5"/>
      <c r="K206" s="3" t="s">
        <v>659</v>
      </c>
      <c r="L206" s="3" t="s">
        <v>660</v>
      </c>
      <c r="M206" s="3" t="s">
        <v>22</v>
      </c>
      <c r="N206" s="5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14</v>
      </c>
      <c r="B207" s="3" t="s">
        <v>655</v>
      </c>
      <c r="C207" s="3" t="s">
        <v>656</v>
      </c>
      <c r="D207" s="3" t="s">
        <v>657</v>
      </c>
      <c r="E207" s="3" t="s">
        <v>658</v>
      </c>
      <c r="F207" s="3" t="s">
        <v>661</v>
      </c>
      <c r="G207" s="3" t="s">
        <v>662</v>
      </c>
      <c r="H207" s="4">
        <v>2.0</v>
      </c>
      <c r="I207" s="4">
        <v>2.0</v>
      </c>
      <c r="J207" s="5"/>
      <c r="K207" s="3" t="s">
        <v>659</v>
      </c>
      <c r="L207" s="3" t="s">
        <v>660</v>
      </c>
      <c r="M207" s="3" t="s">
        <v>22</v>
      </c>
      <c r="N207" s="5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14</v>
      </c>
      <c r="B208" s="3" t="s">
        <v>663</v>
      </c>
      <c r="C208" s="3" t="s">
        <v>664</v>
      </c>
      <c r="D208" s="3" t="s">
        <v>663</v>
      </c>
      <c r="E208" s="3" t="s">
        <v>665</v>
      </c>
      <c r="F208" s="3" t="s">
        <v>663</v>
      </c>
      <c r="G208" s="3" t="s">
        <v>663</v>
      </c>
      <c r="H208" s="4">
        <v>1.0</v>
      </c>
      <c r="I208" s="4">
        <v>1.0</v>
      </c>
      <c r="J208" s="3"/>
      <c r="K208" s="3" t="s">
        <v>666</v>
      </c>
      <c r="L208" s="3" t="s">
        <v>667</v>
      </c>
      <c r="M208" s="3" t="s">
        <v>22</v>
      </c>
      <c r="N208" s="5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14</v>
      </c>
      <c r="B209" s="3" t="s">
        <v>663</v>
      </c>
      <c r="C209" s="3" t="s">
        <v>664</v>
      </c>
      <c r="D209" s="3" t="s">
        <v>663</v>
      </c>
      <c r="E209" s="3" t="s">
        <v>665</v>
      </c>
      <c r="F209" s="3" t="s">
        <v>36</v>
      </c>
      <c r="G209" s="3" t="s">
        <v>668</v>
      </c>
      <c r="H209" s="4" t="s">
        <v>36</v>
      </c>
      <c r="I209" s="4">
        <v>2.0</v>
      </c>
      <c r="J209" s="3"/>
      <c r="K209" s="3" t="s">
        <v>666</v>
      </c>
      <c r="L209" s="3" t="s">
        <v>667</v>
      </c>
      <c r="M209" s="3" t="s">
        <v>22</v>
      </c>
      <c r="N209" s="5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14</v>
      </c>
      <c r="B210" s="3" t="s">
        <v>669</v>
      </c>
      <c r="C210" s="3" t="s">
        <v>670</v>
      </c>
      <c r="D210" s="3" t="s">
        <v>671</v>
      </c>
      <c r="E210" s="3" t="s">
        <v>672</v>
      </c>
      <c r="F210" s="3" t="s">
        <v>131</v>
      </c>
      <c r="G210" s="3" t="s">
        <v>673</v>
      </c>
      <c r="H210" s="4">
        <v>1.0</v>
      </c>
      <c r="I210" s="4">
        <v>1.0</v>
      </c>
      <c r="J210" s="5"/>
      <c r="K210" s="3" t="s">
        <v>674</v>
      </c>
      <c r="L210" s="3" t="s">
        <v>675</v>
      </c>
      <c r="M210" s="3" t="s">
        <v>22</v>
      </c>
      <c r="N210" s="5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14</v>
      </c>
      <c r="B211" s="3" t="s">
        <v>669</v>
      </c>
      <c r="C211" s="3" t="s">
        <v>670</v>
      </c>
      <c r="D211" s="3" t="s">
        <v>671</v>
      </c>
      <c r="E211" s="3" t="s">
        <v>672</v>
      </c>
      <c r="F211" s="3" t="s">
        <v>197</v>
      </c>
      <c r="G211" s="3" t="s">
        <v>36</v>
      </c>
      <c r="H211" s="4">
        <v>2.0</v>
      </c>
      <c r="I211" s="4" t="s">
        <v>36</v>
      </c>
      <c r="J211" s="5"/>
      <c r="K211" s="3" t="s">
        <v>674</v>
      </c>
      <c r="L211" s="3" t="s">
        <v>675</v>
      </c>
      <c r="M211" s="3" t="s">
        <v>22</v>
      </c>
      <c r="N211" s="5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14</v>
      </c>
      <c r="B212" s="3" t="s">
        <v>669</v>
      </c>
      <c r="C212" s="3" t="s">
        <v>670</v>
      </c>
      <c r="D212" s="3" t="s">
        <v>671</v>
      </c>
      <c r="E212" s="3" t="s">
        <v>672</v>
      </c>
      <c r="F212" s="3" t="s">
        <v>158</v>
      </c>
      <c r="G212" s="3" t="s">
        <v>158</v>
      </c>
      <c r="H212" s="4">
        <v>3.0</v>
      </c>
      <c r="I212" s="4">
        <v>2.0</v>
      </c>
      <c r="J212" s="5"/>
      <c r="K212" s="3" t="s">
        <v>674</v>
      </c>
      <c r="L212" s="3" t="s">
        <v>675</v>
      </c>
      <c r="M212" s="3" t="s">
        <v>22</v>
      </c>
      <c r="N212" s="5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14</v>
      </c>
      <c r="B213" s="3" t="s">
        <v>676</v>
      </c>
      <c r="C213" s="3" t="s">
        <v>677</v>
      </c>
      <c r="D213" s="3" t="s">
        <v>678</v>
      </c>
      <c r="E213" s="3" t="s">
        <v>679</v>
      </c>
      <c r="F213" s="3" t="s">
        <v>174</v>
      </c>
      <c r="G213" s="3" t="s">
        <v>425</v>
      </c>
      <c r="H213" s="4">
        <v>1.0</v>
      </c>
      <c r="I213" s="4">
        <v>1.0</v>
      </c>
      <c r="J213" s="5"/>
      <c r="K213" s="3" t="s">
        <v>680</v>
      </c>
      <c r="L213" s="3" t="s">
        <v>681</v>
      </c>
      <c r="M213" s="3" t="s">
        <v>22</v>
      </c>
      <c r="N213" s="5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14</v>
      </c>
      <c r="B214" s="3" t="s">
        <v>676</v>
      </c>
      <c r="C214" s="3" t="s">
        <v>677</v>
      </c>
      <c r="D214" s="3" t="s">
        <v>678</v>
      </c>
      <c r="E214" s="3" t="s">
        <v>679</v>
      </c>
      <c r="F214" s="3" t="s">
        <v>326</v>
      </c>
      <c r="G214" s="3" t="s">
        <v>115</v>
      </c>
      <c r="H214" s="4">
        <v>2.0</v>
      </c>
      <c r="I214" s="4">
        <v>2.0</v>
      </c>
      <c r="J214" s="5"/>
      <c r="K214" s="3" t="s">
        <v>680</v>
      </c>
      <c r="L214" s="3" t="s">
        <v>681</v>
      </c>
      <c r="M214" s="3" t="s">
        <v>22</v>
      </c>
      <c r="N214" s="5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14</v>
      </c>
      <c r="B215" s="3" t="s">
        <v>676</v>
      </c>
      <c r="C215" s="3" t="s">
        <v>677</v>
      </c>
      <c r="D215" s="3" t="s">
        <v>678</v>
      </c>
      <c r="E215" s="3" t="s">
        <v>679</v>
      </c>
      <c r="F215" s="3" t="s">
        <v>213</v>
      </c>
      <c r="G215" s="3" t="s">
        <v>682</v>
      </c>
      <c r="H215" s="4">
        <v>3.0</v>
      </c>
      <c r="I215" s="4">
        <v>3.0</v>
      </c>
      <c r="J215" s="5"/>
      <c r="K215" s="3" t="s">
        <v>680</v>
      </c>
      <c r="L215" s="3" t="s">
        <v>681</v>
      </c>
      <c r="M215" s="3" t="s">
        <v>22</v>
      </c>
      <c r="N215" s="5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14</v>
      </c>
      <c r="B216" s="3" t="s">
        <v>683</v>
      </c>
      <c r="C216" s="3" t="s">
        <v>684</v>
      </c>
      <c r="D216" s="3" t="s">
        <v>685</v>
      </c>
      <c r="E216" s="3" t="s">
        <v>686</v>
      </c>
      <c r="F216" s="3" t="s">
        <v>128</v>
      </c>
      <c r="G216" s="3" t="s">
        <v>591</v>
      </c>
      <c r="H216" s="4">
        <v>1.0</v>
      </c>
      <c r="I216" s="4">
        <v>1.0</v>
      </c>
      <c r="J216" s="5"/>
      <c r="K216" s="3" t="s">
        <v>687</v>
      </c>
      <c r="L216" s="3" t="s">
        <v>688</v>
      </c>
      <c r="M216" s="3" t="s">
        <v>22</v>
      </c>
      <c r="N216" s="5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14</v>
      </c>
      <c r="B217" s="3" t="s">
        <v>683</v>
      </c>
      <c r="C217" s="3" t="s">
        <v>684</v>
      </c>
      <c r="D217" s="3" t="s">
        <v>685</v>
      </c>
      <c r="E217" s="3" t="s">
        <v>686</v>
      </c>
      <c r="F217" s="3" t="s">
        <v>689</v>
      </c>
      <c r="G217" s="3" t="s">
        <v>690</v>
      </c>
      <c r="H217" s="4">
        <v>2.0</v>
      </c>
      <c r="I217" s="4">
        <v>2.0</v>
      </c>
      <c r="J217" s="5"/>
      <c r="K217" s="3" t="s">
        <v>687</v>
      </c>
      <c r="L217" s="3" t="s">
        <v>688</v>
      </c>
      <c r="M217" s="3" t="s">
        <v>22</v>
      </c>
      <c r="N217" s="5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14</v>
      </c>
      <c r="B218" s="3" t="s">
        <v>691</v>
      </c>
      <c r="C218" s="3" t="s">
        <v>692</v>
      </c>
      <c r="D218" s="3" t="s">
        <v>693</v>
      </c>
      <c r="E218" s="3" t="s">
        <v>694</v>
      </c>
      <c r="F218" s="3" t="s">
        <v>157</v>
      </c>
      <c r="G218" s="3" t="s">
        <v>695</v>
      </c>
      <c r="H218" s="4">
        <v>1.0</v>
      </c>
      <c r="I218" s="4">
        <v>1.0</v>
      </c>
      <c r="J218" s="3"/>
      <c r="K218" s="3" t="s">
        <v>696</v>
      </c>
      <c r="L218" s="3" t="s">
        <v>697</v>
      </c>
      <c r="M218" s="3" t="s">
        <v>22</v>
      </c>
      <c r="N218" s="5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14</v>
      </c>
      <c r="B219" s="3" t="s">
        <v>691</v>
      </c>
      <c r="C219" s="3" t="s">
        <v>692</v>
      </c>
      <c r="D219" s="3" t="s">
        <v>693</v>
      </c>
      <c r="E219" s="3" t="s">
        <v>694</v>
      </c>
      <c r="F219" s="3" t="s">
        <v>172</v>
      </c>
      <c r="G219" s="3" t="s">
        <v>172</v>
      </c>
      <c r="H219" s="4">
        <v>2.0</v>
      </c>
      <c r="I219" s="4">
        <v>2.0</v>
      </c>
      <c r="J219" s="5"/>
      <c r="K219" s="3" t="s">
        <v>696</v>
      </c>
      <c r="L219" s="3" t="s">
        <v>697</v>
      </c>
      <c r="M219" s="3" t="s">
        <v>22</v>
      </c>
      <c r="N219" s="5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14</v>
      </c>
      <c r="B220" s="3" t="s">
        <v>691</v>
      </c>
      <c r="C220" s="3" t="s">
        <v>692</v>
      </c>
      <c r="D220" s="3" t="s">
        <v>693</v>
      </c>
      <c r="E220" s="3" t="s">
        <v>694</v>
      </c>
      <c r="F220" s="3" t="s">
        <v>181</v>
      </c>
      <c r="G220" s="3" t="s">
        <v>428</v>
      </c>
      <c r="H220" s="4">
        <v>3.0</v>
      </c>
      <c r="I220" s="4">
        <v>3.0</v>
      </c>
      <c r="J220" s="3"/>
      <c r="K220" s="3" t="s">
        <v>696</v>
      </c>
      <c r="L220" s="3" t="s">
        <v>697</v>
      </c>
      <c r="M220" s="3" t="s">
        <v>22</v>
      </c>
      <c r="N220" s="5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14</v>
      </c>
      <c r="B221" s="3" t="s">
        <v>698</v>
      </c>
      <c r="C221" s="3" t="s">
        <v>699</v>
      </c>
      <c r="D221" s="3" t="s">
        <v>700</v>
      </c>
      <c r="E221" s="3" t="s">
        <v>701</v>
      </c>
      <c r="F221" s="3" t="s">
        <v>702</v>
      </c>
      <c r="G221" s="3" t="s">
        <v>703</v>
      </c>
      <c r="H221" s="4">
        <v>1.0</v>
      </c>
      <c r="I221" s="4">
        <v>1.0</v>
      </c>
      <c r="J221" s="3"/>
      <c r="K221" s="3" t="s">
        <v>704</v>
      </c>
      <c r="L221" s="3" t="s">
        <v>705</v>
      </c>
      <c r="M221" s="3" t="s">
        <v>22</v>
      </c>
      <c r="N221" s="5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14</v>
      </c>
      <c r="B222" s="3" t="s">
        <v>698</v>
      </c>
      <c r="C222" s="3" t="s">
        <v>699</v>
      </c>
      <c r="D222" s="3" t="s">
        <v>700</v>
      </c>
      <c r="E222" s="3" t="s">
        <v>701</v>
      </c>
      <c r="F222" s="3" t="s">
        <v>706</v>
      </c>
      <c r="G222" s="3" t="s">
        <v>707</v>
      </c>
      <c r="H222" s="4">
        <v>2.0</v>
      </c>
      <c r="I222" s="4">
        <v>2.0</v>
      </c>
      <c r="J222" s="3"/>
      <c r="K222" s="3" t="s">
        <v>704</v>
      </c>
      <c r="L222" s="3" t="s">
        <v>705</v>
      </c>
      <c r="M222" s="3" t="s">
        <v>22</v>
      </c>
      <c r="N222" s="5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14</v>
      </c>
      <c r="B223" s="3" t="s">
        <v>708</v>
      </c>
      <c r="C223" s="3" t="s">
        <v>709</v>
      </c>
      <c r="D223" s="3" t="s">
        <v>710</v>
      </c>
      <c r="E223" s="3" t="s">
        <v>711</v>
      </c>
      <c r="F223" s="3" t="s">
        <v>233</v>
      </c>
      <c r="G223" s="3" t="s">
        <v>712</v>
      </c>
      <c r="H223" s="4">
        <v>1.0</v>
      </c>
      <c r="I223" s="4">
        <v>1.0</v>
      </c>
      <c r="J223" s="5"/>
      <c r="K223" s="3" t="s">
        <v>713</v>
      </c>
      <c r="L223" s="3" t="s">
        <v>714</v>
      </c>
      <c r="M223" s="3" t="s">
        <v>22</v>
      </c>
      <c r="N223" s="5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14</v>
      </c>
      <c r="B224" s="3" t="s">
        <v>708</v>
      </c>
      <c r="C224" s="3" t="s">
        <v>709</v>
      </c>
      <c r="D224" s="3" t="s">
        <v>710</v>
      </c>
      <c r="E224" s="3" t="s">
        <v>711</v>
      </c>
      <c r="F224" s="3" t="s">
        <v>715</v>
      </c>
      <c r="G224" s="3" t="s">
        <v>715</v>
      </c>
      <c r="H224" s="4">
        <v>2.0</v>
      </c>
      <c r="I224" s="4">
        <v>2.0</v>
      </c>
      <c r="J224" s="5"/>
      <c r="K224" s="3" t="s">
        <v>713</v>
      </c>
      <c r="L224" s="3" t="s">
        <v>714</v>
      </c>
      <c r="M224" s="3" t="s">
        <v>22</v>
      </c>
      <c r="N224" s="5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14</v>
      </c>
      <c r="B225" s="3" t="s">
        <v>708</v>
      </c>
      <c r="C225" s="3" t="s">
        <v>709</v>
      </c>
      <c r="D225" s="3" t="s">
        <v>710</v>
      </c>
      <c r="E225" s="3" t="s">
        <v>711</v>
      </c>
      <c r="F225" s="3" t="s">
        <v>402</v>
      </c>
      <c r="G225" s="3" t="s">
        <v>402</v>
      </c>
      <c r="H225" s="4">
        <v>3.0</v>
      </c>
      <c r="I225" s="4">
        <v>3.0</v>
      </c>
      <c r="J225" s="5"/>
      <c r="K225" s="3" t="s">
        <v>713</v>
      </c>
      <c r="L225" s="3" t="s">
        <v>714</v>
      </c>
      <c r="M225" s="3" t="s">
        <v>22</v>
      </c>
      <c r="N225" s="5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14</v>
      </c>
      <c r="B226" s="3" t="s">
        <v>716</v>
      </c>
      <c r="C226" s="3" t="s">
        <v>717</v>
      </c>
      <c r="D226" s="3" t="s">
        <v>718</v>
      </c>
      <c r="E226" s="3" t="s">
        <v>719</v>
      </c>
      <c r="F226" s="3" t="s">
        <v>720</v>
      </c>
      <c r="G226" s="3" t="s">
        <v>721</v>
      </c>
      <c r="H226" s="4">
        <v>1.0</v>
      </c>
      <c r="I226" s="4">
        <v>1.0</v>
      </c>
      <c r="J226" s="5"/>
      <c r="K226" s="3" t="s">
        <v>722</v>
      </c>
      <c r="L226" s="3" t="s">
        <v>723</v>
      </c>
      <c r="M226" s="3" t="s">
        <v>22</v>
      </c>
      <c r="N226" s="5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14</v>
      </c>
      <c r="B227" s="3" t="s">
        <v>716</v>
      </c>
      <c r="C227" s="3" t="s">
        <v>717</v>
      </c>
      <c r="D227" s="3" t="s">
        <v>718</v>
      </c>
      <c r="E227" s="3" t="s">
        <v>719</v>
      </c>
      <c r="F227" s="3" t="s">
        <v>724</v>
      </c>
      <c r="G227" s="3" t="s">
        <v>724</v>
      </c>
      <c r="H227" s="4">
        <v>2.0</v>
      </c>
      <c r="I227" s="4">
        <v>2.0</v>
      </c>
      <c r="J227" s="5"/>
      <c r="K227" s="3" t="s">
        <v>722</v>
      </c>
      <c r="L227" s="3" t="s">
        <v>723</v>
      </c>
      <c r="M227" s="3" t="s">
        <v>22</v>
      </c>
      <c r="N227" s="5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14</v>
      </c>
      <c r="B228" s="3" t="s">
        <v>725</v>
      </c>
      <c r="C228" s="3" t="s">
        <v>726</v>
      </c>
      <c r="D228" s="3" t="s">
        <v>727</v>
      </c>
      <c r="E228" s="3" t="s">
        <v>728</v>
      </c>
      <c r="F228" s="3" t="s">
        <v>615</v>
      </c>
      <c r="G228" s="3" t="s">
        <v>615</v>
      </c>
      <c r="H228" s="4">
        <v>1.0</v>
      </c>
      <c r="I228" s="4">
        <v>1.0</v>
      </c>
      <c r="J228" s="5"/>
      <c r="K228" s="3" t="s">
        <v>729</v>
      </c>
      <c r="L228" s="3" t="s">
        <v>730</v>
      </c>
      <c r="M228" s="3" t="s">
        <v>22</v>
      </c>
      <c r="N228" s="5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14</v>
      </c>
      <c r="B229" s="3" t="s">
        <v>725</v>
      </c>
      <c r="C229" s="3" t="s">
        <v>726</v>
      </c>
      <c r="D229" s="3" t="s">
        <v>727</v>
      </c>
      <c r="E229" s="3" t="s">
        <v>728</v>
      </c>
      <c r="F229" s="3" t="s">
        <v>731</v>
      </c>
      <c r="G229" s="3" t="s">
        <v>334</v>
      </c>
      <c r="H229" s="4">
        <v>2.0</v>
      </c>
      <c r="I229" s="4">
        <v>2.0</v>
      </c>
      <c r="J229" s="5"/>
      <c r="K229" s="3" t="s">
        <v>729</v>
      </c>
      <c r="L229" s="3" t="s">
        <v>730</v>
      </c>
      <c r="M229" s="3" t="s">
        <v>22</v>
      </c>
      <c r="N229" s="5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14</v>
      </c>
      <c r="B230" s="3" t="s">
        <v>732</v>
      </c>
      <c r="C230" s="3" t="s">
        <v>733</v>
      </c>
      <c r="D230" s="3" t="s">
        <v>734</v>
      </c>
      <c r="E230" s="3" t="s">
        <v>735</v>
      </c>
      <c r="F230" s="3" t="s">
        <v>261</v>
      </c>
      <c r="G230" s="3" t="s">
        <v>736</v>
      </c>
      <c r="H230" s="4">
        <v>1.0</v>
      </c>
      <c r="I230" s="4">
        <v>1.0</v>
      </c>
      <c r="J230" s="3" t="s">
        <v>80</v>
      </c>
      <c r="K230" s="3" t="s">
        <v>737</v>
      </c>
      <c r="L230" s="3" t="s">
        <v>738</v>
      </c>
      <c r="M230" s="3" t="s">
        <v>22</v>
      </c>
      <c r="N230" s="5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14</v>
      </c>
      <c r="B231" s="3" t="s">
        <v>732</v>
      </c>
      <c r="C231" s="3" t="s">
        <v>733</v>
      </c>
      <c r="D231" s="3" t="s">
        <v>734</v>
      </c>
      <c r="E231" s="3" t="s">
        <v>735</v>
      </c>
      <c r="F231" s="3" t="s">
        <v>36</v>
      </c>
      <c r="G231" s="3" t="s">
        <v>546</v>
      </c>
      <c r="H231" s="4" t="s">
        <v>36</v>
      </c>
      <c r="I231" s="4">
        <v>2.0</v>
      </c>
      <c r="J231" s="3"/>
      <c r="K231" s="3" t="s">
        <v>737</v>
      </c>
      <c r="L231" s="3" t="s">
        <v>738</v>
      </c>
      <c r="M231" s="3" t="s">
        <v>22</v>
      </c>
      <c r="N231" s="5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14</v>
      </c>
      <c r="B232" s="3" t="s">
        <v>732</v>
      </c>
      <c r="C232" s="3" t="s">
        <v>733</v>
      </c>
      <c r="D232" s="3" t="s">
        <v>734</v>
      </c>
      <c r="E232" s="3" t="s">
        <v>735</v>
      </c>
      <c r="F232" s="3" t="s">
        <v>575</v>
      </c>
      <c r="G232" s="3" t="s">
        <v>739</v>
      </c>
      <c r="H232" s="4">
        <v>2.0</v>
      </c>
      <c r="I232" s="4">
        <v>3.0</v>
      </c>
      <c r="J232" s="5"/>
      <c r="K232" s="3" t="s">
        <v>737</v>
      </c>
      <c r="L232" s="3" t="s">
        <v>738</v>
      </c>
      <c r="M232" s="3" t="s">
        <v>22</v>
      </c>
      <c r="N232" s="5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14</v>
      </c>
      <c r="B233" s="3" t="s">
        <v>740</v>
      </c>
      <c r="C233" s="3" t="s">
        <v>741</v>
      </c>
      <c r="D233" s="6" t="s">
        <v>742</v>
      </c>
      <c r="E233" s="3" t="s">
        <v>743</v>
      </c>
      <c r="F233" s="6" t="s">
        <v>744</v>
      </c>
      <c r="G233" s="3" t="s">
        <v>745</v>
      </c>
      <c r="H233" s="4">
        <v>1.0</v>
      </c>
      <c r="I233" s="4">
        <v>1.0</v>
      </c>
      <c r="J233" s="3" t="s">
        <v>80</v>
      </c>
      <c r="K233" s="3" t="s">
        <v>746</v>
      </c>
      <c r="L233" s="3" t="s">
        <v>747</v>
      </c>
      <c r="M233" s="3" t="s">
        <v>22</v>
      </c>
      <c r="N233" s="5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14</v>
      </c>
      <c r="B234" s="3" t="s">
        <v>740</v>
      </c>
      <c r="C234" s="3" t="s">
        <v>741</v>
      </c>
      <c r="D234" s="6" t="s">
        <v>742</v>
      </c>
      <c r="E234" s="3" t="s">
        <v>743</v>
      </c>
      <c r="F234" s="6" t="s">
        <v>36</v>
      </c>
      <c r="G234" s="3" t="s">
        <v>353</v>
      </c>
      <c r="H234" s="4" t="s">
        <v>36</v>
      </c>
      <c r="I234" s="4">
        <v>2.0</v>
      </c>
      <c r="J234" s="3"/>
      <c r="K234" s="3" t="s">
        <v>746</v>
      </c>
      <c r="L234" s="3" t="s">
        <v>747</v>
      </c>
      <c r="M234" s="3" t="s">
        <v>22</v>
      </c>
      <c r="N234" s="5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14</v>
      </c>
      <c r="B235" s="3" t="s">
        <v>740</v>
      </c>
      <c r="C235" s="3" t="s">
        <v>741</v>
      </c>
      <c r="D235" s="6" t="s">
        <v>742</v>
      </c>
      <c r="E235" s="3" t="s">
        <v>743</v>
      </c>
      <c r="F235" s="6" t="s">
        <v>748</v>
      </c>
      <c r="G235" s="3" t="s">
        <v>75</v>
      </c>
      <c r="H235" s="4">
        <v>2.0</v>
      </c>
      <c r="I235" s="4">
        <v>3.0</v>
      </c>
      <c r="J235" s="5"/>
      <c r="K235" s="3" t="s">
        <v>746</v>
      </c>
      <c r="L235" s="3" t="s">
        <v>747</v>
      </c>
      <c r="M235" s="3" t="s">
        <v>22</v>
      </c>
      <c r="N235" s="5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14</v>
      </c>
      <c r="B236" s="3" t="s">
        <v>749</v>
      </c>
      <c r="C236" s="3" t="s">
        <v>750</v>
      </c>
      <c r="D236" s="3" t="s">
        <v>751</v>
      </c>
      <c r="E236" s="3" t="s">
        <v>752</v>
      </c>
      <c r="F236" s="3" t="s">
        <v>335</v>
      </c>
      <c r="G236" s="3" t="s">
        <v>753</v>
      </c>
      <c r="H236" s="4">
        <v>1.0</v>
      </c>
      <c r="I236" s="4">
        <v>1.0</v>
      </c>
      <c r="J236" s="3" t="s">
        <v>80</v>
      </c>
      <c r="K236" s="3" t="s">
        <v>754</v>
      </c>
      <c r="L236" s="3" t="s">
        <v>755</v>
      </c>
      <c r="M236" s="3" t="s">
        <v>22</v>
      </c>
      <c r="N236" s="5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14</v>
      </c>
      <c r="B237" s="3" t="s">
        <v>749</v>
      </c>
      <c r="C237" s="3" t="s">
        <v>750</v>
      </c>
      <c r="D237" s="3" t="s">
        <v>751</v>
      </c>
      <c r="E237" s="3" t="s">
        <v>752</v>
      </c>
      <c r="F237" s="3" t="s">
        <v>36</v>
      </c>
      <c r="G237" s="3" t="s">
        <v>756</v>
      </c>
      <c r="H237" s="4" t="s">
        <v>36</v>
      </c>
      <c r="I237" s="4">
        <v>2.0</v>
      </c>
      <c r="J237" s="3"/>
      <c r="K237" s="3" t="s">
        <v>754</v>
      </c>
      <c r="L237" s="3" t="s">
        <v>755</v>
      </c>
      <c r="M237" s="3" t="s">
        <v>22</v>
      </c>
      <c r="N237" s="5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14</v>
      </c>
      <c r="B238" s="3" t="s">
        <v>749</v>
      </c>
      <c r="C238" s="3" t="s">
        <v>750</v>
      </c>
      <c r="D238" s="3" t="s">
        <v>751</v>
      </c>
      <c r="E238" s="3" t="s">
        <v>752</v>
      </c>
      <c r="F238" s="3" t="s">
        <v>757</v>
      </c>
      <c r="G238" s="3" t="s">
        <v>758</v>
      </c>
      <c r="H238" s="4">
        <v>2.0</v>
      </c>
      <c r="I238" s="4">
        <v>3.0</v>
      </c>
      <c r="J238" s="5"/>
      <c r="K238" s="3" t="s">
        <v>754</v>
      </c>
      <c r="L238" s="3" t="s">
        <v>755</v>
      </c>
      <c r="M238" s="3" t="s">
        <v>22</v>
      </c>
      <c r="N238" s="5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14</v>
      </c>
      <c r="B239" s="3" t="s">
        <v>759</v>
      </c>
      <c r="C239" s="3" t="s">
        <v>760</v>
      </c>
      <c r="D239" s="6" t="s">
        <v>761</v>
      </c>
      <c r="E239" s="3" t="s">
        <v>762</v>
      </c>
      <c r="F239" s="6" t="s">
        <v>763</v>
      </c>
      <c r="G239" s="3" t="s">
        <v>764</v>
      </c>
      <c r="H239" s="4">
        <v>1.0</v>
      </c>
      <c r="I239" s="4">
        <v>1.0</v>
      </c>
      <c r="J239" s="5"/>
      <c r="K239" s="3" t="s">
        <v>765</v>
      </c>
      <c r="L239" s="3" t="s">
        <v>766</v>
      </c>
      <c r="M239" s="3" t="s">
        <v>22</v>
      </c>
      <c r="N239" s="5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14</v>
      </c>
      <c r="B240" s="3" t="s">
        <v>759</v>
      </c>
      <c r="C240" s="3" t="s">
        <v>760</v>
      </c>
      <c r="D240" s="6" t="s">
        <v>761</v>
      </c>
      <c r="E240" s="3" t="s">
        <v>762</v>
      </c>
      <c r="F240" s="6" t="s">
        <v>425</v>
      </c>
      <c r="G240" s="3" t="s">
        <v>425</v>
      </c>
      <c r="H240" s="4">
        <v>2.0</v>
      </c>
      <c r="I240" s="4">
        <v>2.0</v>
      </c>
      <c r="J240" s="5"/>
      <c r="K240" s="3" t="s">
        <v>765</v>
      </c>
      <c r="L240" s="3" t="s">
        <v>766</v>
      </c>
      <c r="M240" s="3" t="s">
        <v>22</v>
      </c>
      <c r="N240" s="5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14</v>
      </c>
      <c r="B241" s="3" t="s">
        <v>420</v>
      </c>
      <c r="C241" s="3" t="s">
        <v>309</v>
      </c>
      <c r="D241" s="3" t="s">
        <v>420</v>
      </c>
      <c r="E241" s="3" t="s">
        <v>309</v>
      </c>
      <c r="F241" s="3" t="s">
        <v>420</v>
      </c>
      <c r="G241" s="3" t="s">
        <v>309</v>
      </c>
      <c r="H241" s="4">
        <v>1.0</v>
      </c>
      <c r="I241" s="4">
        <v>1.0</v>
      </c>
      <c r="J241" s="5"/>
      <c r="K241" s="3" t="s">
        <v>767</v>
      </c>
      <c r="L241" s="3" t="s">
        <v>768</v>
      </c>
      <c r="M241" s="3" t="s">
        <v>22</v>
      </c>
      <c r="N241" s="5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14</v>
      </c>
      <c r="B242" s="3" t="s">
        <v>769</v>
      </c>
      <c r="C242" s="3" t="s">
        <v>770</v>
      </c>
      <c r="D242" s="3" t="s">
        <v>771</v>
      </c>
      <c r="E242" s="3" t="s">
        <v>772</v>
      </c>
      <c r="F242" s="17" t="s">
        <v>36</v>
      </c>
      <c r="G242" s="3" t="s">
        <v>49</v>
      </c>
      <c r="H242" s="17" t="s">
        <v>36</v>
      </c>
      <c r="I242" s="4">
        <v>1.0</v>
      </c>
      <c r="J242" s="3"/>
      <c r="K242" s="3" t="s">
        <v>773</v>
      </c>
      <c r="L242" s="3" t="s">
        <v>774</v>
      </c>
      <c r="M242" s="3" t="s">
        <v>22</v>
      </c>
      <c r="N242" s="5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14</v>
      </c>
      <c r="B243" s="3" t="s">
        <v>769</v>
      </c>
      <c r="C243" s="3" t="s">
        <v>770</v>
      </c>
      <c r="D243" s="3" t="s">
        <v>771</v>
      </c>
      <c r="E243" s="3" t="s">
        <v>772</v>
      </c>
      <c r="F243" s="3" t="s">
        <v>157</v>
      </c>
      <c r="G243" s="3" t="s">
        <v>158</v>
      </c>
      <c r="H243" s="4">
        <v>1.0</v>
      </c>
      <c r="I243" s="4">
        <v>2.0</v>
      </c>
      <c r="J243" s="5"/>
      <c r="K243" s="3" t="s">
        <v>773</v>
      </c>
      <c r="L243" s="3" t="s">
        <v>774</v>
      </c>
      <c r="M243" s="3" t="s">
        <v>22</v>
      </c>
      <c r="N243" s="5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14</v>
      </c>
      <c r="B244" s="3" t="s">
        <v>769</v>
      </c>
      <c r="C244" s="3" t="s">
        <v>770</v>
      </c>
      <c r="D244" s="3" t="s">
        <v>771</v>
      </c>
      <c r="E244" s="3" t="s">
        <v>772</v>
      </c>
      <c r="F244" s="3" t="s">
        <v>720</v>
      </c>
      <c r="G244" s="3" t="s">
        <v>775</v>
      </c>
      <c r="H244" s="4">
        <v>2.0</v>
      </c>
      <c r="I244" s="4">
        <v>3.0</v>
      </c>
      <c r="J244" s="3"/>
      <c r="K244" s="3" t="s">
        <v>773</v>
      </c>
      <c r="L244" s="3" t="s">
        <v>774</v>
      </c>
      <c r="M244" s="3" t="s">
        <v>22</v>
      </c>
      <c r="N244" s="5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14</v>
      </c>
      <c r="B245" s="3" t="s">
        <v>769</v>
      </c>
      <c r="C245" s="3" t="s">
        <v>770</v>
      </c>
      <c r="D245" s="3" t="s">
        <v>771</v>
      </c>
      <c r="E245" s="3" t="s">
        <v>772</v>
      </c>
      <c r="F245" s="3" t="s">
        <v>245</v>
      </c>
      <c r="G245" s="3" t="s">
        <v>245</v>
      </c>
      <c r="H245" s="4">
        <v>3.0</v>
      </c>
      <c r="I245" s="4">
        <v>4.0</v>
      </c>
      <c r="J245" s="5"/>
      <c r="K245" s="3" t="s">
        <v>773</v>
      </c>
      <c r="L245" s="3" t="s">
        <v>774</v>
      </c>
      <c r="M245" s="3" t="s">
        <v>22</v>
      </c>
      <c r="N245" s="5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14</v>
      </c>
      <c r="B246" s="3" t="s">
        <v>776</v>
      </c>
      <c r="C246" s="3" t="s">
        <v>777</v>
      </c>
      <c r="D246" s="6" t="s">
        <v>778</v>
      </c>
      <c r="E246" s="3" t="s">
        <v>779</v>
      </c>
      <c r="F246" s="6" t="s">
        <v>780</v>
      </c>
      <c r="G246" s="3" t="s">
        <v>781</v>
      </c>
      <c r="H246" s="4">
        <v>1.0</v>
      </c>
      <c r="I246" s="4">
        <v>1.0</v>
      </c>
      <c r="J246" s="5"/>
      <c r="K246" s="3" t="s">
        <v>782</v>
      </c>
      <c r="L246" s="3" t="s">
        <v>783</v>
      </c>
      <c r="M246" s="3" t="s">
        <v>22</v>
      </c>
      <c r="N246" s="5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14</v>
      </c>
      <c r="B247" s="3" t="s">
        <v>776</v>
      </c>
      <c r="C247" s="3" t="s">
        <v>777</v>
      </c>
      <c r="D247" s="6" t="s">
        <v>778</v>
      </c>
      <c r="E247" s="3" t="s">
        <v>779</v>
      </c>
      <c r="F247" s="6" t="s">
        <v>784</v>
      </c>
      <c r="G247" s="3" t="s">
        <v>784</v>
      </c>
      <c r="H247" s="4">
        <v>2.0</v>
      </c>
      <c r="I247" s="4">
        <v>2.0</v>
      </c>
      <c r="J247" s="5"/>
      <c r="K247" s="3" t="s">
        <v>782</v>
      </c>
      <c r="L247" s="3" t="s">
        <v>783</v>
      </c>
      <c r="M247" s="3" t="s">
        <v>22</v>
      </c>
      <c r="N247" s="5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14</v>
      </c>
      <c r="B248" s="3" t="s">
        <v>785</v>
      </c>
      <c r="C248" s="3" t="s">
        <v>786</v>
      </c>
      <c r="D248" s="3" t="s">
        <v>787</v>
      </c>
      <c r="E248" s="3" t="s">
        <v>788</v>
      </c>
      <c r="F248" s="3" t="s">
        <v>789</v>
      </c>
      <c r="G248" s="3" t="s">
        <v>790</v>
      </c>
      <c r="H248" s="4">
        <v>1.0</v>
      </c>
      <c r="I248" s="4">
        <v>1.0</v>
      </c>
      <c r="J248" s="5"/>
      <c r="K248" s="3" t="s">
        <v>791</v>
      </c>
      <c r="L248" s="3" t="s">
        <v>792</v>
      </c>
      <c r="M248" s="3" t="s">
        <v>22</v>
      </c>
      <c r="N248" s="5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14</v>
      </c>
      <c r="B249" s="3" t="s">
        <v>785</v>
      </c>
      <c r="C249" s="3" t="s">
        <v>786</v>
      </c>
      <c r="D249" s="3" t="s">
        <v>787</v>
      </c>
      <c r="E249" s="3" t="s">
        <v>788</v>
      </c>
      <c r="F249" s="3" t="s">
        <v>296</v>
      </c>
      <c r="G249" s="3" t="s">
        <v>296</v>
      </c>
      <c r="H249" s="4">
        <v>2.0</v>
      </c>
      <c r="I249" s="4">
        <v>2.0</v>
      </c>
      <c r="J249" s="5"/>
      <c r="K249" s="3" t="s">
        <v>791</v>
      </c>
      <c r="L249" s="3" t="s">
        <v>792</v>
      </c>
      <c r="M249" s="3" t="s">
        <v>22</v>
      </c>
      <c r="N249" s="5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14</v>
      </c>
      <c r="B250" s="3" t="s">
        <v>793</v>
      </c>
      <c r="C250" s="3" t="s">
        <v>794</v>
      </c>
      <c r="D250" s="3" t="s">
        <v>795</v>
      </c>
      <c r="E250" s="3" t="s">
        <v>796</v>
      </c>
      <c r="F250" s="3" t="s">
        <v>797</v>
      </c>
      <c r="G250" s="3" t="s">
        <v>798</v>
      </c>
      <c r="H250" s="4">
        <v>1.0</v>
      </c>
      <c r="I250" s="4">
        <v>1.0</v>
      </c>
      <c r="J250" s="5"/>
      <c r="K250" s="3" t="s">
        <v>799</v>
      </c>
      <c r="L250" s="3" t="s">
        <v>800</v>
      </c>
      <c r="M250" s="3" t="s">
        <v>22</v>
      </c>
      <c r="N250" s="5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14</v>
      </c>
      <c r="B251" s="3" t="s">
        <v>793</v>
      </c>
      <c r="C251" s="3" t="s">
        <v>794</v>
      </c>
      <c r="D251" s="3" t="s">
        <v>795</v>
      </c>
      <c r="E251" s="3" t="s">
        <v>796</v>
      </c>
      <c r="F251" s="3" t="s">
        <v>801</v>
      </c>
      <c r="G251" s="3" t="s">
        <v>334</v>
      </c>
      <c r="H251" s="4">
        <v>2.0</v>
      </c>
      <c r="I251" s="4">
        <v>2.0</v>
      </c>
      <c r="J251" s="5"/>
      <c r="K251" s="3" t="s">
        <v>799</v>
      </c>
      <c r="L251" s="3" t="s">
        <v>800</v>
      </c>
      <c r="M251" s="3" t="s">
        <v>22</v>
      </c>
      <c r="N251" s="5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14</v>
      </c>
      <c r="B252" s="3" t="s">
        <v>802</v>
      </c>
      <c r="C252" s="3" t="s">
        <v>803</v>
      </c>
      <c r="D252" s="3" t="s">
        <v>804</v>
      </c>
      <c r="E252" s="3" t="s">
        <v>805</v>
      </c>
      <c r="F252" s="3" t="s">
        <v>806</v>
      </c>
      <c r="G252" s="3" t="s">
        <v>745</v>
      </c>
      <c r="H252" s="4">
        <v>1.0</v>
      </c>
      <c r="I252" s="4">
        <v>1.0</v>
      </c>
      <c r="J252" s="3" t="s">
        <v>80</v>
      </c>
      <c r="K252" s="3" t="s">
        <v>807</v>
      </c>
      <c r="L252" s="3" t="s">
        <v>808</v>
      </c>
      <c r="M252" s="3" t="s">
        <v>22</v>
      </c>
      <c r="N252" s="5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14</v>
      </c>
      <c r="B253" s="3" t="s">
        <v>802</v>
      </c>
      <c r="C253" s="3" t="s">
        <v>803</v>
      </c>
      <c r="D253" s="3" t="s">
        <v>804</v>
      </c>
      <c r="E253" s="3" t="s">
        <v>805</v>
      </c>
      <c r="F253" s="3" t="s">
        <v>809</v>
      </c>
      <c r="G253" s="3" t="s">
        <v>810</v>
      </c>
      <c r="H253" s="4">
        <v>2.0</v>
      </c>
      <c r="I253" s="4">
        <v>2.0</v>
      </c>
      <c r="J253" s="3"/>
      <c r="K253" s="3" t="s">
        <v>807</v>
      </c>
      <c r="L253" s="3" t="s">
        <v>808</v>
      </c>
      <c r="M253" s="3" t="s">
        <v>22</v>
      </c>
      <c r="N253" s="5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14</v>
      </c>
      <c r="B254" s="3" t="s">
        <v>802</v>
      </c>
      <c r="C254" s="3" t="s">
        <v>803</v>
      </c>
      <c r="D254" s="3" t="s">
        <v>804</v>
      </c>
      <c r="E254" s="3" t="s">
        <v>805</v>
      </c>
      <c r="F254" s="3" t="s">
        <v>36</v>
      </c>
      <c r="G254" s="3" t="s">
        <v>24</v>
      </c>
      <c r="H254" s="4" t="s">
        <v>36</v>
      </c>
      <c r="I254" s="4">
        <v>3.0</v>
      </c>
      <c r="J254" s="5"/>
      <c r="K254" s="3" t="s">
        <v>807</v>
      </c>
      <c r="L254" s="3" t="s">
        <v>808</v>
      </c>
      <c r="M254" s="3" t="s">
        <v>22</v>
      </c>
      <c r="N254" s="5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14</v>
      </c>
      <c r="B255" s="3" t="s">
        <v>811</v>
      </c>
      <c r="C255" s="3" t="s">
        <v>812</v>
      </c>
      <c r="D255" s="3" t="s">
        <v>813</v>
      </c>
      <c r="E255" s="3" t="s">
        <v>814</v>
      </c>
      <c r="F255" s="3" t="s">
        <v>815</v>
      </c>
      <c r="G255" s="3" t="s">
        <v>49</v>
      </c>
      <c r="H255" s="4">
        <v>1.0</v>
      </c>
      <c r="I255" s="4">
        <v>1.0</v>
      </c>
      <c r="J255" s="5"/>
      <c r="K255" s="3" t="s">
        <v>816</v>
      </c>
      <c r="L255" s="3" t="s">
        <v>817</v>
      </c>
      <c r="M255" s="3" t="s">
        <v>22</v>
      </c>
      <c r="N255" s="5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14</v>
      </c>
      <c r="B256" s="3" t="s">
        <v>811</v>
      </c>
      <c r="C256" s="3" t="s">
        <v>812</v>
      </c>
      <c r="D256" s="3" t="s">
        <v>813</v>
      </c>
      <c r="E256" s="3" t="s">
        <v>814</v>
      </c>
      <c r="F256" s="3" t="s">
        <v>245</v>
      </c>
      <c r="G256" s="3" t="s">
        <v>818</v>
      </c>
      <c r="H256" s="4">
        <v>2.0</v>
      </c>
      <c r="I256" s="4">
        <v>2.0</v>
      </c>
      <c r="J256" s="5"/>
      <c r="K256" s="3" t="s">
        <v>816</v>
      </c>
      <c r="L256" s="3" t="s">
        <v>817</v>
      </c>
      <c r="M256" s="3" t="s">
        <v>22</v>
      </c>
      <c r="N256" s="5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14</v>
      </c>
      <c r="B257" s="3" t="s">
        <v>819</v>
      </c>
      <c r="C257" s="3" t="s">
        <v>820</v>
      </c>
      <c r="D257" s="3" t="s">
        <v>821</v>
      </c>
      <c r="E257" s="3" t="s">
        <v>822</v>
      </c>
      <c r="F257" s="3" t="s">
        <v>108</v>
      </c>
      <c r="G257" s="3" t="s">
        <v>175</v>
      </c>
      <c r="H257" s="4">
        <v>1.0</v>
      </c>
      <c r="I257" s="4">
        <v>1.0</v>
      </c>
      <c r="J257" s="3" t="s">
        <v>80</v>
      </c>
      <c r="K257" s="3" t="s">
        <v>823</v>
      </c>
      <c r="L257" s="3" t="s">
        <v>824</v>
      </c>
      <c r="M257" s="3" t="s">
        <v>22</v>
      </c>
      <c r="N257" s="5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14</v>
      </c>
      <c r="B258" s="3" t="s">
        <v>819</v>
      </c>
      <c r="C258" s="3" t="s">
        <v>820</v>
      </c>
      <c r="D258" s="3" t="s">
        <v>821</v>
      </c>
      <c r="E258" s="3" t="s">
        <v>822</v>
      </c>
      <c r="F258" s="3" t="s">
        <v>326</v>
      </c>
      <c r="G258" s="3" t="s">
        <v>825</v>
      </c>
      <c r="H258" s="4">
        <v>2.0</v>
      </c>
      <c r="I258" s="4">
        <v>2.0</v>
      </c>
      <c r="J258" s="3"/>
      <c r="K258" s="3" t="s">
        <v>823</v>
      </c>
      <c r="L258" s="3" t="s">
        <v>824</v>
      </c>
      <c r="M258" s="3" t="s">
        <v>22</v>
      </c>
      <c r="N258" s="5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14</v>
      </c>
      <c r="B259" s="3" t="s">
        <v>819</v>
      </c>
      <c r="C259" s="3" t="s">
        <v>820</v>
      </c>
      <c r="D259" s="3" t="s">
        <v>821</v>
      </c>
      <c r="E259" s="3" t="s">
        <v>822</v>
      </c>
      <c r="F259" s="3" t="s">
        <v>36</v>
      </c>
      <c r="G259" s="3" t="s">
        <v>826</v>
      </c>
      <c r="H259" s="4" t="s">
        <v>36</v>
      </c>
      <c r="I259" s="4">
        <v>3.0</v>
      </c>
      <c r="J259" s="3"/>
      <c r="K259" s="3" t="s">
        <v>823</v>
      </c>
      <c r="L259" s="3" t="s">
        <v>824</v>
      </c>
      <c r="M259" s="3" t="s">
        <v>22</v>
      </c>
      <c r="N259" s="5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14</v>
      </c>
      <c r="B260" s="3" t="s">
        <v>819</v>
      </c>
      <c r="C260" s="3" t="s">
        <v>820</v>
      </c>
      <c r="D260" s="3" t="s">
        <v>821</v>
      </c>
      <c r="E260" s="3" t="s">
        <v>822</v>
      </c>
      <c r="F260" s="3" t="s">
        <v>36</v>
      </c>
      <c r="G260" s="3" t="s">
        <v>495</v>
      </c>
      <c r="H260" s="4" t="s">
        <v>36</v>
      </c>
      <c r="I260" s="4">
        <v>4.0</v>
      </c>
      <c r="J260" s="5"/>
      <c r="K260" s="3" t="s">
        <v>823</v>
      </c>
      <c r="L260" s="3" t="s">
        <v>824</v>
      </c>
      <c r="M260" s="3" t="s">
        <v>22</v>
      </c>
      <c r="N260" s="5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14</v>
      </c>
      <c r="B261" s="3" t="s">
        <v>827</v>
      </c>
      <c r="C261" s="3" t="s">
        <v>828</v>
      </c>
      <c r="D261" s="3" t="s">
        <v>829</v>
      </c>
      <c r="E261" s="3" t="s">
        <v>830</v>
      </c>
      <c r="F261" s="3"/>
      <c r="G261" s="3"/>
      <c r="H261" s="4"/>
      <c r="I261" s="4"/>
      <c r="J261" s="3"/>
      <c r="K261" s="3" t="s">
        <v>831</v>
      </c>
      <c r="L261" s="3" t="s">
        <v>832</v>
      </c>
      <c r="M261" s="3" t="s">
        <v>22</v>
      </c>
      <c r="N261" s="3" t="s">
        <v>560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14</v>
      </c>
      <c r="B262" s="3" t="s">
        <v>833</v>
      </c>
      <c r="C262" s="3" t="s">
        <v>834</v>
      </c>
      <c r="D262" s="3" t="s">
        <v>835</v>
      </c>
      <c r="E262" s="3" t="s">
        <v>836</v>
      </c>
      <c r="F262" s="3" t="s">
        <v>128</v>
      </c>
      <c r="G262" s="3" t="s">
        <v>49</v>
      </c>
      <c r="H262" s="4">
        <v>1.0</v>
      </c>
      <c r="I262" s="4">
        <v>1.0</v>
      </c>
      <c r="J262" s="5"/>
      <c r="K262" s="3" t="s">
        <v>837</v>
      </c>
      <c r="L262" s="3" t="s">
        <v>838</v>
      </c>
      <c r="M262" s="3" t="s">
        <v>22</v>
      </c>
      <c r="N262" s="5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14</v>
      </c>
      <c r="B263" s="3" t="s">
        <v>833</v>
      </c>
      <c r="C263" s="3" t="s">
        <v>834</v>
      </c>
      <c r="D263" s="3" t="s">
        <v>835</v>
      </c>
      <c r="E263" s="3" t="s">
        <v>836</v>
      </c>
      <c r="F263" s="3" t="s">
        <v>839</v>
      </c>
      <c r="G263" s="3" t="s">
        <v>839</v>
      </c>
      <c r="H263" s="4">
        <v>2.0</v>
      </c>
      <c r="I263" s="4">
        <v>2.0</v>
      </c>
      <c r="J263" s="5"/>
      <c r="K263" s="3" t="s">
        <v>837</v>
      </c>
      <c r="L263" s="3" t="s">
        <v>838</v>
      </c>
      <c r="M263" s="3" t="s">
        <v>22</v>
      </c>
      <c r="N263" s="5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14</v>
      </c>
      <c r="B264" s="3" t="s">
        <v>833</v>
      </c>
      <c r="C264" s="3" t="s">
        <v>834</v>
      </c>
      <c r="D264" s="3" t="s">
        <v>835</v>
      </c>
      <c r="E264" s="3" t="s">
        <v>836</v>
      </c>
      <c r="F264" s="3" t="s">
        <v>840</v>
      </c>
      <c r="G264" s="3" t="s">
        <v>482</v>
      </c>
      <c r="H264" s="4">
        <v>3.0</v>
      </c>
      <c r="I264" s="4">
        <v>3.0</v>
      </c>
      <c r="J264" s="5"/>
      <c r="K264" s="3" t="s">
        <v>837</v>
      </c>
      <c r="L264" s="3" t="s">
        <v>838</v>
      </c>
      <c r="M264" s="3" t="s">
        <v>22</v>
      </c>
      <c r="N264" s="5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14</v>
      </c>
      <c r="B265" s="3" t="s">
        <v>841</v>
      </c>
      <c r="C265" s="3" t="s">
        <v>842</v>
      </c>
      <c r="D265" s="3" t="s">
        <v>843</v>
      </c>
      <c r="E265" s="3" t="s">
        <v>844</v>
      </c>
      <c r="F265" s="3" t="s">
        <v>845</v>
      </c>
      <c r="G265" s="3" t="s">
        <v>36</v>
      </c>
      <c r="H265" s="4">
        <v>1.0</v>
      </c>
      <c r="I265" s="4" t="s">
        <v>36</v>
      </c>
      <c r="J265" s="5"/>
      <c r="K265" s="3" t="s">
        <v>846</v>
      </c>
      <c r="L265" s="3" t="s">
        <v>847</v>
      </c>
      <c r="M265" s="3" t="s">
        <v>22</v>
      </c>
      <c r="N265" s="5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14</v>
      </c>
      <c r="B266" s="3" t="s">
        <v>841</v>
      </c>
      <c r="C266" s="3" t="s">
        <v>842</v>
      </c>
      <c r="D266" s="3" t="s">
        <v>843</v>
      </c>
      <c r="E266" s="3" t="s">
        <v>844</v>
      </c>
      <c r="F266" s="3" t="s">
        <v>848</v>
      </c>
      <c r="G266" s="3" t="s">
        <v>849</v>
      </c>
      <c r="H266" s="4">
        <v>2.0</v>
      </c>
      <c r="I266" s="4">
        <v>1.0</v>
      </c>
      <c r="J266" s="5"/>
      <c r="K266" s="3" t="s">
        <v>846</v>
      </c>
      <c r="L266" s="3" t="s">
        <v>847</v>
      </c>
      <c r="M266" s="3" t="s">
        <v>22</v>
      </c>
      <c r="N266" s="5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14</v>
      </c>
      <c r="B267" s="3" t="s">
        <v>841</v>
      </c>
      <c r="C267" s="3" t="s">
        <v>842</v>
      </c>
      <c r="D267" s="3" t="s">
        <v>843</v>
      </c>
      <c r="E267" s="3" t="s">
        <v>844</v>
      </c>
      <c r="F267" s="3" t="s">
        <v>175</v>
      </c>
      <c r="G267" s="3" t="s">
        <v>175</v>
      </c>
      <c r="H267" s="4">
        <v>3.0</v>
      </c>
      <c r="I267" s="4">
        <v>2.0</v>
      </c>
      <c r="J267" s="5"/>
      <c r="K267" s="3" t="s">
        <v>846</v>
      </c>
      <c r="L267" s="3" t="s">
        <v>847</v>
      </c>
      <c r="M267" s="3" t="s">
        <v>22</v>
      </c>
      <c r="N267" s="5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14</v>
      </c>
      <c r="B268" s="3" t="s">
        <v>850</v>
      </c>
      <c r="C268" s="3" t="s">
        <v>851</v>
      </c>
      <c r="D268" s="3" t="s">
        <v>852</v>
      </c>
      <c r="E268" s="3" t="s">
        <v>853</v>
      </c>
      <c r="F268" s="3"/>
      <c r="G268" s="3"/>
      <c r="H268" s="4"/>
      <c r="I268" s="4"/>
      <c r="J268" s="3"/>
      <c r="K268" s="3" t="s">
        <v>854</v>
      </c>
      <c r="L268" s="3" t="s">
        <v>855</v>
      </c>
      <c r="M268" s="3" t="s">
        <v>22</v>
      </c>
      <c r="N268" s="3" t="s">
        <v>560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14</v>
      </c>
      <c r="B269" s="3" t="s">
        <v>856</v>
      </c>
      <c r="C269" s="3" t="s">
        <v>857</v>
      </c>
      <c r="D269" s="3" t="s">
        <v>858</v>
      </c>
      <c r="E269" s="3" t="s">
        <v>859</v>
      </c>
      <c r="F269" s="3" t="s">
        <v>784</v>
      </c>
      <c r="G269" s="3" t="s">
        <v>784</v>
      </c>
      <c r="H269" s="4">
        <v>1.0</v>
      </c>
      <c r="I269" s="4">
        <v>1.0</v>
      </c>
      <c r="J269" s="3"/>
      <c r="K269" s="3" t="s">
        <v>860</v>
      </c>
      <c r="L269" s="3" t="s">
        <v>861</v>
      </c>
      <c r="M269" s="3" t="s">
        <v>22</v>
      </c>
      <c r="N269" s="5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14</v>
      </c>
      <c r="B270" s="3" t="s">
        <v>856</v>
      </c>
      <c r="C270" s="3" t="s">
        <v>857</v>
      </c>
      <c r="D270" s="3" t="s">
        <v>858</v>
      </c>
      <c r="E270" s="3" t="s">
        <v>859</v>
      </c>
      <c r="F270" s="3" t="s">
        <v>70</v>
      </c>
      <c r="G270" s="3" t="s">
        <v>62</v>
      </c>
      <c r="H270" s="4">
        <v>2.0</v>
      </c>
      <c r="I270" s="4">
        <v>2.0</v>
      </c>
      <c r="J270" s="3"/>
      <c r="K270" s="3" t="s">
        <v>860</v>
      </c>
      <c r="L270" s="3" t="s">
        <v>861</v>
      </c>
      <c r="M270" s="3" t="s">
        <v>22</v>
      </c>
      <c r="N270" s="5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14</v>
      </c>
      <c r="B271" s="3" t="s">
        <v>856</v>
      </c>
      <c r="C271" s="3" t="s">
        <v>857</v>
      </c>
      <c r="D271" s="3" t="s">
        <v>858</v>
      </c>
      <c r="E271" s="3" t="s">
        <v>859</v>
      </c>
      <c r="F271" s="3" t="s">
        <v>36</v>
      </c>
      <c r="G271" s="3" t="s">
        <v>862</v>
      </c>
      <c r="H271" s="4" t="s">
        <v>36</v>
      </c>
      <c r="I271" s="4">
        <v>3.0</v>
      </c>
      <c r="J271" s="3"/>
      <c r="K271" s="3" t="s">
        <v>860</v>
      </c>
      <c r="L271" s="3" t="s">
        <v>861</v>
      </c>
      <c r="M271" s="3" t="s">
        <v>22</v>
      </c>
      <c r="N271" s="5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14</v>
      </c>
      <c r="B272" s="3" t="s">
        <v>863</v>
      </c>
      <c r="C272" s="3" t="s">
        <v>864</v>
      </c>
      <c r="D272" s="3" t="s">
        <v>865</v>
      </c>
      <c r="E272" s="3" t="s">
        <v>866</v>
      </c>
      <c r="F272" s="3" t="s">
        <v>317</v>
      </c>
      <c r="G272" s="3" t="s">
        <v>867</v>
      </c>
      <c r="H272" s="4">
        <v>1.0</v>
      </c>
      <c r="I272" s="4">
        <v>1.0</v>
      </c>
      <c r="J272" s="3"/>
      <c r="K272" s="3" t="s">
        <v>868</v>
      </c>
      <c r="L272" s="3" t="s">
        <v>869</v>
      </c>
      <c r="M272" s="3" t="s">
        <v>22</v>
      </c>
      <c r="N272" s="5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14</v>
      </c>
      <c r="B273" s="3" t="s">
        <v>863</v>
      </c>
      <c r="C273" s="3" t="s">
        <v>864</v>
      </c>
      <c r="D273" s="3" t="s">
        <v>865</v>
      </c>
      <c r="E273" s="3" t="s">
        <v>866</v>
      </c>
      <c r="F273" s="3" t="s">
        <v>848</v>
      </c>
      <c r="G273" s="3" t="s">
        <v>870</v>
      </c>
      <c r="H273" s="4">
        <v>2.0</v>
      </c>
      <c r="I273" s="4">
        <v>2.0</v>
      </c>
      <c r="J273" s="3"/>
      <c r="K273" s="3" t="s">
        <v>868</v>
      </c>
      <c r="L273" s="3" t="s">
        <v>869</v>
      </c>
      <c r="M273" s="3" t="s">
        <v>22</v>
      </c>
      <c r="N273" s="5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14</v>
      </c>
      <c r="B274" s="3" t="s">
        <v>871</v>
      </c>
      <c r="C274" s="3" t="s">
        <v>872</v>
      </c>
      <c r="D274" s="3" t="s">
        <v>873</v>
      </c>
      <c r="E274" s="3" t="s">
        <v>874</v>
      </c>
      <c r="F274" s="3" t="s">
        <v>875</v>
      </c>
      <c r="G274" s="3" t="s">
        <v>222</v>
      </c>
      <c r="H274" s="4">
        <v>1.0</v>
      </c>
      <c r="I274" s="4">
        <v>1.0</v>
      </c>
      <c r="J274" s="3"/>
      <c r="K274" s="3" t="s">
        <v>876</v>
      </c>
      <c r="L274" s="3" t="s">
        <v>877</v>
      </c>
      <c r="M274" s="3" t="s">
        <v>22</v>
      </c>
      <c r="N274" s="5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14</v>
      </c>
      <c r="B275" s="3" t="s">
        <v>871</v>
      </c>
      <c r="C275" s="3" t="s">
        <v>872</v>
      </c>
      <c r="D275" s="3" t="s">
        <v>873</v>
      </c>
      <c r="E275" s="3" t="s">
        <v>874</v>
      </c>
      <c r="F275" s="3" t="s">
        <v>30</v>
      </c>
      <c r="G275" s="3" t="s">
        <v>49</v>
      </c>
      <c r="H275" s="4">
        <v>2.0</v>
      </c>
      <c r="I275" s="4">
        <v>2.0</v>
      </c>
      <c r="J275" s="3"/>
      <c r="K275" s="3" t="s">
        <v>876</v>
      </c>
      <c r="L275" s="3" t="s">
        <v>877</v>
      </c>
      <c r="M275" s="3" t="s">
        <v>22</v>
      </c>
      <c r="N275" s="5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14</v>
      </c>
      <c r="B276" s="3" t="s">
        <v>871</v>
      </c>
      <c r="C276" s="3" t="s">
        <v>872</v>
      </c>
      <c r="D276" s="3" t="s">
        <v>873</v>
      </c>
      <c r="E276" s="3" t="s">
        <v>874</v>
      </c>
      <c r="F276" s="3" t="s">
        <v>878</v>
      </c>
      <c r="G276" s="3" t="s">
        <v>879</v>
      </c>
      <c r="H276" s="4">
        <v>3.0</v>
      </c>
      <c r="I276" s="4">
        <v>3.0</v>
      </c>
      <c r="J276" s="3"/>
      <c r="K276" s="3" t="s">
        <v>876</v>
      </c>
      <c r="L276" s="3" t="s">
        <v>877</v>
      </c>
      <c r="M276" s="3" t="s">
        <v>22</v>
      </c>
      <c r="N276" s="5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14</v>
      </c>
      <c r="B277" s="3" t="s">
        <v>880</v>
      </c>
      <c r="C277" s="3" t="s">
        <v>881</v>
      </c>
      <c r="D277" s="3" t="s">
        <v>882</v>
      </c>
      <c r="E277" s="3" t="s">
        <v>883</v>
      </c>
      <c r="F277" s="3"/>
      <c r="G277" s="3"/>
      <c r="H277" s="4"/>
      <c r="I277" s="4"/>
      <c r="J277" s="3"/>
      <c r="K277" s="3" t="s">
        <v>884</v>
      </c>
      <c r="L277" s="3" t="s">
        <v>885</v>
      </c>
      <c r="M277" s="3" t="s">
        <v>22</v>
      </c>
      <c r="N277" s="3" t="s">
        <v>560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14</v>
      </c>
      <c r="B278" s="3" t="s">
        <v>886</v>
      </c>
      <c r="C278" s="3" t="s">
        <v>887</v>
      </c>
      <c r="D278" s="3" t="s">
        <v>888</v>
      </c>
      <c r="E278" s="3" t="s">
        <v>889</v>
      </c>
      <c r="F278" s="3" t="s">
        <v>349</v>
      </c>
      <c r="G278" s="3" t="s">
        <v>890</v>
      </c>
      <c r="H278" s="4">
        <v>1.0</v>
      </c>
      <c r="I278" s="4">
        <v>1.0</v>
      </c>
      <c r="J278" s="3" t="s">
        <v>80</v>
      </c>
      <c r="K278" s="3" t="s">
        <v>891</v>
      </c>
      <c r="L278" s="3" t="s">
        <v>892</v>
      </c>
      <c r="M278" s="3" t="s">
        <v>22</v>
      </c>
      <c r="N278" s="5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14</v>
      </c>
      <c r="B279" s="3" t="s">
        <v>886</v>
      </c>
      <c r="C279" s="3" t="s">
        <v>887</v>
      </c>
      <c r="D279" s="3" t="s">
        <v>888</v>
      </c>
      <c r="E279" s="3" t="s">
        <v>889</v>
      </c>
      <c r="F279" s="3" t="s">
        <v>214</v>
      </c>
      <c r="G279" s="3" t="s">
        <v>214</v>
      </c>
      <c r="H279" s="4">
        <v>2.0</v>
      </c>
      <c r="I279" s="4">
        <v>2.0</v>
      </c>
      <c r="J279" s="3"/>
      <c r="K279" s="3" t="s">
        <v>891</v>
      </c>
      <c r="L279" s="3" t="s">
        <v>892</v>
      </c>
      <c r="M279" s="3" t="s">
        <v>22</v>
      </c>
      <c r="N279" s="5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14</v>
      </c>
      <c r="B280" s="3" t="s">
        <v>886</v>
      </c>
      <c r="C280" s="3" t="s">
        <v>887</v>
      </c>
      <c r="D280" s="3" t="s">
        <v>888</v>
      </c>
      <c r="E280" s="3" t="s">
        <v>889</v>
      </c>
      <c r="F280" s="3" t="s">
        <v>190</v>
      </c>
      <c r="G280" s="3" t="s">
        <v>190</v>
      </c>
      <c r="H280" s="4">
        <v>3.0</v>
      </c>
      <c r="I280" s="4">
        <v>4.0</v>
      </c>
      <c r="J280" s="3"/>
      <c r="K280" s="3" t="s">
        <v>891</v>
      </c>
      <c r="L280" s="3" t="s">
        <v>892</v>
      </c>
      <c r="M280" s="3" t="s">
        <v>22</v>
      </c>
      <c r="N280" s="5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14</v>
      </c>
      <c r="B281" s="3" t="s">
        <v>878</v>
      </c>
      <c r="C281" s="3" t="s">
        <v>879</v>
      </c>
      <c r="D281" s="3" t="s">
        <v>878</v>
      </c>
      <c r="E281" s="3" t="s">
        <v>879</v>
      </c>
      <c r="F281" s="3" t="s">
        <v>878</v>
      </c>
      <c r="G281" s="3" t="s">
        <v>879</v>
      </c>
      <c r="H281" s="4">
        <v>1.0</v>
      </c>
      <c r="I281" s="4">
        <v>1.0</v>
      </c>
      <c r="J281" s="3"/>
      <c r="K281" s="3" t="s">
        <v>893</v>
      </c>
      <c r="L281" s="3" t="s">
        <v>894</v>
      </c>
      <c r="M281" s="3" t="s">
        <v>22</v>
      </c>
      <c r="N281" s="5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14</v>
      </c>
      <c r="B282" s="3" t="s">
        <v>895</v>
      </c>
      <c r="C282" s="3" t="s">
        <v>896</v>
      </c>
      <c r="D282" s="3" t="s">
        <v>897</v>
      </c>
      <c r="E282" s="3" t="s">
        <v>898</v>
      </c>
      <c r="F282" s="3" t="s">
        <v>899</v>
      </c>
      <c r="G282" s="3" t="s">
        <v>899</v>
      </c>
      <c r="H282" s="4">
        <v>1.0</v>
      </c>
      <c r="I282" s="4">
        <v>1.0</v>
      </c>
      <c r="J282" s="3"/>
      <c r="K282" s="3" t="s">
        <v>900</v>
      </c>
      <c r="L282" s="3" t="s">
        <v>901</v>
      </c>
      <c r="M282" s="3" t="s">
        <v>22</v>
      </c>
      <c r="N282" s="5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14</v>
      </c>
      <c r="B283" s="3" t="s">
        <v>895</v>
      </c>
      <c r="C283" s="3" t="s">
        <v>896</v>
      </c>
      <c r="D283" s="3" t="s">
        <v>897</v>
      </c>
      <c r="E283" s="3" t="s">
        <v>898</v>
      </c>
      <c r="F283" s="3" t="s">
        <v>349</v>
      </c>
      <c r="G283" s="3" t="s">
        <v>902</v>
      </c>
      <c r="H283" s="4">
        <v>2.0</v>
      </c>
      <c r="I283" s="4">
        <v>2.0</v>
      </c>
      <c r="J283" s="3"/>
      <c r="K283" s="3" t="s">
        <v>900</v>
      </c>
      <c r="L283" s="3" t="s">
        <v>901</v>
      </c>
      <c r="M283" s="3" t="s">
        <v>22</v>
      </c>
      <c r="N283" s="5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14</v>
      </c>
      <c r="B284" s="3" t="s">
        <v>903</v>
      </c>
      <c r="C284" s="3" t="s">
        <v>904</v>
      </c>
      <c r="D284" s="3" t="s">
        <v>905</v>
      </c>
      <c r="E284" s="3" t="s">
        <v>906</v>
      </c>
      <c r="F284" s="3" t="s">
        <v>907</v>
      </c>
      <c r="G284" s="3" t="s">
        <v>908</v>
      </c>
      <c r="H284" s="4">
        <v>1.0</v>
      </c>
      <c r="I284" s="4">
        <v>1.0</v>
      </c>
      <c r="J284" s="3" t="s">
        <v>80</v>
      </c>
      <c r="K284" s="3" t="s">
        <v>909</v>
      </c>
      <c r="L284" s="3" t="s">
        <v>910</v>
      </c>
      <c r="M284" s="3" t="s">
        <v>22</v>
      </c>
      <c r="N284" s="5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14</v>
      </c>
      <c r="B285" s="3" t="s">
        <v>903</v>
      </c>
      <c r="C285" s="3" t="s">
        <v>904</v>
      </c>
      <c r="D285" s="3" t="s">
        <v>905</v>
      </c>
      <c r="E285" s="3" t="s">
        <v>906</v>
      </c>
      <c r="F285" s="3" t="s">
        <v>36</v>
      </c>
      <c r="G285" s="3" t="s">
        <v>83</v>
      </c>
      <c r="H285" s="4">
        <v>2.0</v>
      </c>
      <c r="I285" s="4">
        <v>2.0</v>
      </c>
      <c r="J285" s="3"/>
      <c r="K285" s="3" t="s">
        <v>909</v>
      </c>
      <c r="L285" s="3" t="s">
        <v>910</v>
      </c>
      <c r="M285" s="3" t="s">
        <v>22</v>
      </c>
      <c r="N285" s="5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14</v>
      </c>
      <c r="B286" s="3" t="s">
        <v>903</v>
      </c>
      <c r="C286" s="3" t="s">
        <v>904</v>
      </c>
      <c r="D286" s="3" t="s">
        <v>905</v>
      </c>
      <c r="E286" s="3" t="s">
        <v>906</v>
      </c>
      <c r="F286" s="3" t="s">
        <v>116</v>
      </c>
      <c r="G286" s="3" t="s">
        <v>116</v>
      </c>
      <c r="H286" s="4">
        <v>3.0</v>
      </c>
      <c r="I286" s="4">
        <v>3.0</v>
      </c>
      <c r="J286" s="3"/>
      <c r="K286" s="3" t="s">
        <v>909</v>
      </c>
      <c r="L286" s="3" t="s">
        <v>910</v>
      </c>
      <c r="M286" s="3" t="s">
        <v>22</v>
      </c>
      <c r="N286" s="5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14</v>
      </c>
      <c r="B287" s="3" t="s">
        <v>911</v>
      </c>
      <c r="C287" s="3" t="s">
        <v>912</v>
      </c>
      <c r="D287" s="3" t="s">
        <v>913</v>
      </c>
      <c r="E287" s="3" t="s">
        <v>914</v>
      </c>
      <c r="F287" s="3" t="s">
        <v>915</v>
      </c>
      <c r="G287" s="3" t="s">
        <v>222</v>
      </c>
      <c r="H287" s="4">
        <v>1.0</v>
      </c>
      <c r="I287" s="4">
        <v>1.0</v>
      </c>
      <c r="J287" s="3"/>
      <c r="K287" s="3" t="s">
        <v>916</v>
      </c>
      <c r="L287" s="3" t="s">
        <v>917</v>
      </c>
      <c r="M287" s="3" t="s">
        <v>22</v>
      </c>
      <c r="N287" s="5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14</v>
      </c>
      <c r="B288" s="3" t="s">
        <v>911</v>
      </c>
      <c r="C288" s="3" t="s">
        <v>912</v>
      </c>
      <c r="D288" s="3" t="s">
        <v>913</v>
      </c>
      <c r="E288" s="3" t="s">
        <v>914</v>
      </c>
      <c r="F288" s="3" t="s">
        <v>575</v>
      </c>
      <c r="G288" s="3" t="s">
        <v>918</v>
      </c>
      <c r="H288" s="4">
        <v>2.0</v>
      </c>
      <c r="I288" s="4">
        <v>2.0</v>
      </c>
      <c r="J288" s="3"/>
      <c r="K288" s="3" t="s">
        <v>916</v>
      </c>
      <c r="L288" s="3" t="s">
        <v>917</v>
      </c>
      <c r="M288" s="3" t="s">
        <v>22</v>
      </c>
      <c r="N288" s="5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14</v>
      </c>
      <c r="B289" s="3" t="s">
        <v>911</v>
      </c>
      <c r="C289" s="3" t="s">
        <v>912</v>
      </c>
      <c r="D289" s="3" t="s">
        <v>913</v>
      </c>
      <c r="E289" s="3" t="s">
        <v>914</v>
      </c>
      <c r="F289" s="3" t="s">
        <v>784</v>
      </c>
      <c r="G289" s="3" t="s">
        <v>784</v>
      </c>
      <c r="H289" s="4">
        <v>3.0</v>
      </c>
      <c r="I289" s="4">
        <v>3.0</v>
      </c>
      <c r="J289" s="3"/>
      <c r="K289" s="3" t="s">
        <v>916</v>
      </c>
      <c r="L289" s="3" t="s">
        <v>917</v>
      </c>
      <c r="M289" s="3" t="s">
        <v>22</v>
      </c>
      <c r="N289" s="5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14</v>
      </c>
      <c r="B290" s="3" t="s">
        <v>919</v>
      </c>
      <c r="C290" s="3" t="s">
        <v>920</v>
      </c>
      <c r="D290" s="3" t="s">
        <v>921</v>
      </c>
      <c r="E290" s="3" t="s">
        <v>922</v>
      </c>
      <c r="F290" s="3"/>
      <c r="G290" s="3"/>
      <c r="H290" s="4"/>
      <c r="I290" s="4"/>
      <c r="J290" s="3"/>
      <c r="K290" s="3" t="s">
        <v>923</v>
      </c>
      <c r="L290" s="3" t="s">
        <v>924</v>
      </c>
      <c r="M290" s="3" t="s">
        <v>22</v>
      </c>
      <c r="N290" s="3" t="s">
        <v>560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14</v>
      </c>
      <c r="B291" s="3" t="s">
        <v>925</v>
      </c>
      <c r="C291" s="3" t="s">
        <v>926</v>
      </c>
      <c r="D291" s="3" t="s">
        <v>927</v>
      </c>
      <c r="E291" s="3" t="s">
        <v>928</v>
      </c>
      <c r="F291" s="3"/>
      <c r="G291" s="3"/>
      <c r="H291" s="4"/>
      <c r="I291" s="4"/>
      <c r="J291" s="3"/>
      <c r="K291" s="3" t="s">
        <v>929</v>
      </c>
      <c r="L291" s="3" t="s">
        <v>930</v>
      </c>
      <c r="M291" s="3" t="s">
        <v>22</v>
      </c>
      <c r="N291" s="3" t="s">
        <v>560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14</v>
      </c>
      <c r="B292" s="3" t="s">
        <v>931</v>
      </c>
      <c r="C292" s="3" t="s">
        <v>932</v>
      </c>
      <c r="D292" s="3" t="s">
        <v>933</v>
      </c>
      <c r="E292" s="3" t="s">
        <v>934</v>
      </c>
      <c r="F292" s="3" t="s">
        <v>935</v>
      </c>
      <c r="G292" s="3" t="s">
        <v>935</v>
      </c>
      <c r="H292" s="4">
        <v>1.0</v>
      </c>
      <c r="I292" s="4">
        <v>1.0</v>
      </c>
      <c r="J292" s="3"/>
      <c r="K292" s="3" t="s">
        <v>936</v>
      </c>
      <c r="L292" s="3" t="s">
        <v>937</v>
      </c>
      <c r="M292" s="3" t="s">
        <v>22</v>
      </c>
      <c r="N292" s="5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14</v>
      </c>
      <c r="B293" s="3" t="s">
        <v>931</v>
      </c>
      <c r="C293" s="3" t="s">
        <v>932</v>
      </c>
      <c r="D293" s="3" t="s">
        <v>933</v>
      </c>
      <c r="E293" s="3" t="s">
        <v>934</v>
      </c>
      <c r="F293" s="3" t="s">
        <v>254</v>
      </c>
      <c r="G293" s="3" t="s">
        <v>938</v>
      </c>
      <c r="H293" s="4">
        <v>2.0</v>
      </c>
      <c r="I293" s="4">
        <v>2.0</v>
      </c>
      <c r="J293" s="3"/>
      <c r="K293" s="3" t="s">
        <v>936</v>
      </c>
      <c r="L293" s="3" t="s">
        <v>937</v>
      </c>
      <c r="M293" s="3" t="s">
        <v>22</v>
      </c>
      <c r="N293" s="5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14</v>
      </c>
      <c r="B294" s="3" t="s">
        <v>939</v>
      </c>
      <c r="C294" s="3" t="s">
        <v>940</v>
      </c>
      <c r="D294" s="3" t="s">
        <v>941</v>
      </c>
      <c r="E294" s="3" t="s">
        <v>942</v>
      </c>
      <c r="F294" s="3" t="s">
        <v>943</v>
      </c>
      <c r="G294" s="3" t="s">
        <v>944</v>
      </c>
      <c r="H294" s="4">
        <v>1.0</v>
      </c>
      <c r="I294" s="4">
        <v>1.0</v>
      </c>
      <c r="J294" s="3" t="s">
        <v>80</v>
      </c>
      <c r="K294" s="3" t="s">
        <v>945</v>
      </c>
      <c r="L294" s="3" t="s">
        <v>946</v>
      </c>
      <c r="M294" s="3" t="s">
        <v>22</v>
      </c>
      <c r="N294" s="5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14</v>
      </c>
      <c r="B295" s="3" t="s">
        <v>939</v>
      </c>
      <c r="C295" s="3" t="s">
        <v>940</v>
      </c>
      <c r="D295" s="3" t="s">
        <v>941</v>
      </c>
      <c r="E295" s="3" t="s">
        <v>942</v>
      </c>
      <c r="F295" s="3" t="s">
        <v>947</v>
      </c>
      <c r="G295" s="3" t="s">
        <v>948</v>
      </c>
      <c r="H295" s="4">
        <v>2.0</v>
      </c>
      <c r="I295" s="4">
        <v>2.0</v>
      </c>
      <c r="J295" s="3"/>
      <c r="K295" s="3" t="s">
        <v>945</v>
      </c>
      <c r="L295" s="3" t="s">
        <v>946</v>
      </c>
      <c r="M295" s="3" t="s">
        <v>22</v>
      </c>
      <c r="N295" s="5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14</v>
      </c>
      <c r="B296" s="3" t="s">
        <v>939</v>
      </c>
      <c r="C296" s="3" t="s">
        <v>940</v>
      </c>
      <c r="D296" s="3" t="s">
        <v>941</v>
      </c>
      <c r="E296" s="3" t="s">
        <v>942</v>
      </c>
      <c r="F296" s="3" t="s">
        <v>190</v>
      </c>
      <c r="G296" s="3" t="s">
        <v>190</v>
      </c>
      <c r="H296" s="4">
        <v>3.0</v>
      </c>
      <c r="I296" s="4">
        <v>3.0</v>
      </c>
      <c r="J296" s="3"/>
      <c r="K296" s="3" t="s">
        <v>945</v>
      </c>
      <c r="L296" s="3" t="s">
        <v>946</v>
      </c>
      <c r="M296" s="3" t="s">
        <v>22</v>
      </c>
      <c r="N296" s="5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14</v>
      </c>
      <c r="B297" s="3" t="s">
        <v>949</v>
      </c>
      <c r="C297" s="3" t="s">
        <v>950</v>
      </c>
      <c r="D297" s="6" t="s">
        <v>951</v>
      </c>
      <c r="E297" s="3" t="s">
        <v>952</v>
      </c>
      <c r="F297" s="6" t="s">
        <v>451</v>
      </c>
      <c r="G297" s="3" t="s">
        <v>953</v>
      </c>
      <c r="H297" s="4">
        <v>1.0</v>
      </c>
      <c r="I297" s="4">
        <v>1.0</v>
      </c>
      <c r="J297" s="3" t="s">
        <v>80</v>
      </c>
      <c r="K297" s="3" t="s">
        <v>954</v>
      </c>
      <c r="L297" s="3" t="s">
        <v>955</v>
      </c>
      <c r="M297" s="3" t="s">
        <v>22</v>
      </c>
      <c r="N297" s="5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14</v>
      </c>
      <c r="B298" s="3" t="s">
        <v>949</v>
      </c>
      <c r="C298" s="3" t="s">
        <v>950</v>
      </c>
      <c r="D298" s="6" t="s">
        <v>951</v>
      </c>
      <c r="E298" s="3" t="s">
        <v>952</v>
      </c>
      <c r="F298" s="6" t="s">
        <v>197</v>
      </c>
      <c r="G298" s="3" t="s">
        <v>116</v>
      </c>
      <c r="H298" s="4">
        <v>2.0</v>
      </c>
      <c r="I298" s="4">
        <v>2.0</v>
      </c>
      <c r="J298" s="3"/>
      <c r="K298" s="3" t="s">
        <v>954</v>
      </c>
      <c r="L298" s="3" t="s">
        <v>955</v>
      </c>
      <c r="M298" s="3" t="s">
        <v>22</v>
      </c>
      <c r="N298" s="5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14</v>
      </c>
      <c r="B299" s="3" t="s">
        <v>949</v>
      </c>
      <c r="C299" s="3" t="s">
        <v>950</v>
      </c>
      <c r="D299" s="6" t="s">
        <v>951</v>
      </c>
      <c r="E299" s="3" t="s">
        <v>952</v>
      </c>
      <c r="F299" s="6" t="s">
        <v>956</v>
      </c>
      <c r="G299" s="3" t="s">
        <v>61</v>
      </c>
      <c r="H299" s="4">
        <v>3.0</v>
      </c>
      <c r="I299" s="4">
        <v>3.0</v>
      </c>
      <c r="J299" s="3"/>
      <c r="K299" s="3" t="s">
        <v>954</v>
      </c>
      <c r="L299" s="3" t="s">
        <v>955</v>
      </c>
      <c r="M299" s="3" t="s">
        <v>22</v>
      </c>
      <c r="N299" s="5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14</v>
      </c>
      <c r="B300" s="3" t="s">
        <v>949</v>
      </c>
      <c r="C300" s="3" t="s">
        <v>950</v>
      </c>
      <c r="D300" s="6" t="s">
        <v>951</v>
      </c>
      <c r="E300" s="3" t="s">
        <v>952</v>
      </c>
      <c r="F300" s="6" t="s">
        <v>36</v>
      </c>
      <c r="G300" s="3" t="s">
        <v>344</v>
      </c>
      <c r="H300" s="4" t="s">
        <v>36</v>
      </c>
      <c r="I300" s="4">
        <v>4.0</v>
      </c>
      <c r="J300" s="3"/>
      <c r="K300" s="3" t="s">
        <v>954</v>
      </c>
      <c r="L300" s="3" t="s">
        <v>955</v>
      </c>
      <c r="M300" s="3" t="s">
        <v>22</v>
      </c>
      <c r="N300" s="5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14</v>
      </c>
      <c r="B301" s="3" t="s">
        <v>949</v>
      </c>
      <c r="C301" s="3" t="s">
        <v>950</v>
      </c>
      <c r="D301" s="6" t="s">
        <v>951</v>
      </c>
      <c r="E301" s="3" t="s">
        <v>952</v>
      </c>
      <c r="F301" s="6" t="s">
        <v>190</v>
      </c>
      <c r="G301" s="3" t="s">
        <v>190</v>
      </c>
      <c r="H301" s="4">
        <v>4.0</v>
      </c>
      <c r="I301" s="4">
        <v>5.0</v>
      </c>
      <c r="J301" s="3"/>
      <c r="K301" s="3" t="s">
        <v>954</v>
      </c>
      <c r="L301" s="3" t="s">
        <v>955</v>
      </c>
      <c r="M301" s="3" t="s">
        <v>22</v>
      </c>
      <c r="N301" s="5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14</v>
      </c>
      <c r="B302" s="3" t="s">
        <v>957</v>
      </c>
      <c r="C302" s="3" t="s">
        <v>958</v>
      </c>
      <c r="D302" s="3" t="s">
        <v>959</v>
      </c>
      <c r="E302" s="3" t="s">
        <v>960</v>
      </c>
      <c r="F302" s="3" t="s">
        <v>961</v>
      </c>
      <c r="G302" s="3" t="s">
        <v>961</v>
      </c>
      <c r="H302" s="4">
        <v>1.0</v>
      </c>
      <c r="I302" s="4">
        <v>1.0</v>
      </c>
      <c r="J302" s="3"/>
      <c r="K302" s="3" t="s">
        <v>962</v>
      </c>
      <c r="L302" s="3" t="s">
        <v>963</v>
      </c>
      <c r="M302" s="3" t="s">
        <v>22</v>
      </c>
      <c r="N302" s="5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14</v>
      </c>
      <c r="B303" s="3" t="s">
        <v>957</v>
      </c>
      <c r="C303" s="3" t="s">
        <v>958</v>
      </c>
      <c r="D303" s="3" t="s">
        <v>959</v>
      </c>
      <c r="E303" s="3" t="s">
        <v>960</v>
      </c>
      <c r="F303" s="3" t="s">
        <v>114</v>
      </c>
      <c r="G303" s="3" t="s">
        <v>103</v>
      </c>
      <c r="H303" s="4">
        <v>2.0</v>
      </c>
      <c r="I303" s="4">
        <v>2.0</v>
      </c>
      <c r="J303" s="3"/>
      <c r="K303" s="3" t="s">
        <v>962</v>
      </c>
      <c r="L303" s="3" t="s">
        <v>963</v>
      </c>
      <c r="M303" s="3" t="s">
        <v>22</v>
      </c>
      <c r="N303" s="5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14</v>
      </c>
      <c r="B304" s="3" t="s">
        <v>964</v>
      </c>
      <c r="C304" s="3" t="s">
        <v>965</v>
      </c>
      <c r="D304" s="3" t="s">
        <v>966</v>
      </c>
      <c r="E304" s="3" t="s">
        <v>967</v>
      </c>
      <c r="F304" s="3" t="s">
        <v>968</v>
      </c>
      <c r="G304" s="3" t="s">
        <v>969</v>
      </c>
      <c r="H304" s="4">
        <v>1.0</v>
      </c>
      <c r="I304" s="4">
        <v>1.0</v>
      </c>
      <c r="J304" s="3"/>
      <c r="K304" s="3" t="s">
        <v>970</v>
      </c>
      <c r="L304" s="3" t="s">
        <v>971</v>
      </c>
      <c r="M304" s="3" t="s">
        <v>22</v>
      </c>
      <c r="N304" s="5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14</v>
      </c>
      <c r="B305" s="3" t="s">
        <v>964</v>
      </c>
      <c r="C305" s="3" t="s">
        <v>965</v>
      </c>
      <c r="D305" s="3" t="s">
        <v>966</v>
      </c>
      <c r="E305" s="3" t="s">
        <v>967</v>
      </c>
      <c r="F305" s="3" t="s">
        <v>55</v>
      </c>
      <c r="G305" s="3" t="s">
        <v>56</v>
      </c>
      <c r="H305" s="4">
        <v>2.0</v>
      </c>
      <c r="I305" s="4">
        <v>2.0</v>
      </c>
      <c r="J305" s="3"/>
      <c r="K305" s="3" t="s">
        <v>970</v>
      </c>
      <c r="L305" s="3" t="s">
        <v>971</v>
      </c>
      <c r="M305" s="3" t="s">
        <v>22</v>
      </c>
      <c r="N305" s="5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14</v>
      </c>
      <c r="B306" s="3" t="s">
        <v>972</v>
      </c>
      <c r="C306" s="3" t="s">
        <v>973</v>
      </c>
      <c r="D306" s="3" t="s">
        <v>974</v>
      </c>
      <c r="E306" s="3" t="s">
        <v>975</v>
      </c>
      <c r="F306" s="3" t="s">
        <v>976</v>
      </c>
      <c r="G306" s="3" t="s">
        <v>977</v>
      </c>
      <c r="H306" s="4">
        <v>1.0</v>
      </c>
      <c r="I306" s="4">
        <v>1.0</v>
      </c>
      <c r="J306" s="3"/>
      <c r="K306" s="3" t="s">
        <v>978</v>
      </c>
      <c r="L306" s="3" t="s">
        <v>971</v>
      </c>
      <c r="M306" s="3" t="s">
        <v>22</v>
      </c>
      <c r="N306" s="5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14</v>
      </c>
      <c r="B307" s="3" t="s">
        <v>972</v>
      </c>
      <c r="C307" s="3" t="s">
        <v>973</v>
      </c>
      <c r="D307" s="3" t="s">
        <v>974</v>
      </c>
      <c r="E307" s="3" t="s">
        <v>975</v>
      </c>
      <c r="F307" s="3" t="s">
        <v>190</v>
      </c>
      <c r="G307" s="3" t="s">
        <v>190</v>
      </c>
      <c r="H307" s="4">
        <v>2.0</v>
      </c>
      <c r="I307" s="4">
        <v>2.0</v>
      </c>
      <c r="J307" s="3"/>
      <c r="K307" s="3" t="s">
        <v>978</v>
      </c>
      <c r="L307" s="3" t="s">
        <v>971</v>
      </c>
      <c r="M307" s="3" t="s">
        <v>22</v>
      </c>
      <c r="N307" s="5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14</v>
      </c>
      <c r="B308" s="3" t="s">
        <v>979</v>
      </c>
      <c r="C308" s="3" t="s">
        <v>980</v>
      </c>
      <c r="D308" s="3" t="s">
        <v>981</v>
      </c>
      <c r="E308" s="3" t="s">
        <v>982</v>
      </c>
      <c r="F308" s="3" t="s">
        <v>983</v>
      </c>
      <c r="G308" s="3" t="s">
        <v>984</v>
      </c>
      <c r="H308" s="4">
        <v>1.0</v>
      </c>
      <c r="I308" s="4">
        <v>1.0</v>
      </c>
      <c r="J308" s="3"/>
      <c r="K308" s="3" t="s">
        <v>985</v>
      </c>
      <c r="L308" s="3" t="s">
        <v>986</v>
      </c>
      <c r="M308" s="3" t="s">
        <v>22</v>
      </c>
      <c r="N308" s="5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14</v>
      </c>
      <c r="B309" s="3" t="s">
        <v>979</v>
      </c>
      <c r="C309" s="3" t="s">
        <v>980</v>
      </c>
      <c r="D309" s="3" t="s">
        <v>981</v>
      </c>
      <c r="E309" s="3" t="s">
        <v>982</v>
      </c>
      <c r="F309" s="3" t="s">
        <v>848</v>
      </c>
      <c r="G309" s="3" t="s">
        <v>987</v>
      </c>
      <c r="H309" s="4">
        <v>2.0</v>
      </c>
      <c r="I309" s="4">
        <v>2.0</v>
      </c>
      <c r="J309" s="3"/>
      <c r="K309" s="3" t="s">
        <v>985</v>
      </c>
      <c r="L309" s="3" t="s">
        <v>986</v>
      </c>
      <c r="M309" s="3" t="s">
        <v>22</v>
      </c>
      <c r="N309" s="5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14</v>
      </c>
      <c r="B310" s="3" t="s">
        <v>988</v>
      </c>
      <c r="C310" s="3" t="s">
        <v>989</v>
      </c>
      <c r="D310" s="3" t="s">
        <v>990</v>
      </c>
      <c r="E310" s="3" t="s">
        <v>991</v>
      </c>
      <c r="F310" s="3" t="s">
        <v>61</v>
      </c>
      <c r="G310" s="3" t="s">
        <v>992</v>
      </c>
      <c r="H310" s="4">
        <v>1.0</v>
      </c>
      <c r="I310" s="4">
        <v>1.0</v>
      </c>
      <c r="J310" s="3"/>
      <c r="K310" s="3" t="s">
        <v>993</v>
      </c>
      <c r="L310" s="3" t="s">
        <v>994</v>
      </c>
      <c r="M310" s="3" t="s">
        <v>22</v>
      </c>
      <c r="N310" s="5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14</v>
      </c>
      <c r="B311" s="3" t="s">
        <v>988</v>
      </c>
      <c r="C311" s="3" t="s">
        <v>989</v>
      </c>
      <c r="D311" s="3" t="s">
        <v>990</v>
      </c>
      <c r="E311" s="3" t="s">
        <v>991</v>
      </c>
      <c r="F311" s="3" t="s">
        <v>995</v>
      </c>
      <c r="G311" s="3" t="s">
        <v>996</v>
      </c>
      <c r="H311" s="4">
        <v>2.0</v>
      </c>
      <c r="I311" s="4">
        <v>2.0</v>
      </c>
      <c r="J311" s="3"/>
      <c r="K311" s="3" t="s">
        <v>993</v>
      </c>
      <c r="L311" s="3" t="s">
        <v>994</v>
      </c>
      <c r="M311" s="3" t="s">
        <v>22</v>
      </c>
      <c r="N311" s="5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14</v>
      </c>
      <c r="B312" s="3" t="s">
        <v>997</v>
      </c>
      <c r="C312" s="3" t="s">
        <v>998</v>
      </c>
      <c r="D312" s="3" t="s">
        <v>997</v>
      </c>
      <c r="E312" s="3" t="s">
        <v>999</v>
      </c>
      <c r="F312" s="3" t="s">
        <v>997</v>
      </c>
      <c r="G312" s="3" t="s">
        <v>724</v>
      </c>
      <c r="H312" s="4">
        <v>1.0</v>
      </c>
      <c r="I312" s="4">
        <v>1.0</v>
      </c>
      <c r="J312" s="3" t="s">
        <v>80</v>
      </c>
      <c r="K312" s="3" t="s">
        <v>1000</v>
      </c>
      <c r="L312" s="3" t="s">
        <v>1001</v>
      </c>
      <c r="M312" s="3" t="s">
        <v>22</v>
      </c>
      <c r="N312" s="5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14</v>
      </c>
      <c r="B313" s="3" t="s">
        <v>997</v>
      </c>
      <c r="C313" s="3" t="s">
        <v>998</v>
      </c>
      <c r="D313" s="3" t="s">
        <v>997</v>
      </c>
      <c r="E313" s="3" t="s">
        <v>999</v>
      </c>
      <c r="F313" s="3" t="s">
        <v>36</v>
      </c>
      <c r="G313" s="3" t="s">
        <v>1002</v>
      </c>
      <c r="H313" s="4" t="s">
        <v>36</v>
      </c>
      <c r="I313" s="4">
        <v>2.0</v>
      </c>
      <c r="J313" s="3"/>
      <c r="K313" s="3" t="s">
        <v>1000</v>
      </c>
      <c r="L313" s="3" t="s">
        <v>1001</v>
      </c>
      <c r="M313" s="3" t="s">
        <v>22</v>
      </c>
      <c r="N313" s="5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14</v>
      </c>
      <c r="B314" s="3" t="s">
        <v>1003</v>
      </c>
      <c r="C314" s="3" t="s">
        <v>1004</v>
      </c>
      <c r="D314" s="3" t="s">
        <v>1005</v>
      </c>
      <c r="E314" s="3" t="s">
        <v>1006</v>
      </c>
      <c r="F314" s="3" t="s">
        <v>36</v>
      </c>
      <c r="G314" s="3" t="s">
        <v>49</v>
      </c>
      <c r="H314" s="4" t="s">
        <v>36</v>
      </c>
      <c r="I314" s="4">
        <v>1.0</v>
      </c>
      <c r="J314" s="3" t="s">
        <v>80</v>
      </c>
      <c r="K314" s="3" t="s">
        <v>1007</v>
      </c>
      <c r="L314" s="3" t="s">
        <v>1008</v>
      </c>
      <c r="M314" s="3" t="s">
        <v>22</v>
      </c>
      <c r="N314" s="5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14</v>
      </c>
      <c r="B315" s="3" t="s">
        <v>1003</v>
      </c>
      <c r="C315" s="3" t="s">
        <v>1004</v>
      </c>
      <c r="D315" s="3" t="s">
        <v>1005</v>
      </c>
      <c r="E315" s="3" t="s">
        <v>1006</v>
      </c>
      <c r="F315" s="3" t="s">
        <v>61</v>
      </c>
      <c r="G315" s="3" t="s">
        <v>62</v>
      </c>
      <c r="H315" s="4">
        <v>1.0</v>
      </c>
      <c r="I315" s="4">
        <v>2.0</v>
      </c>
      <c r="J315" s="3"/>
      <c r="K315" s="3" t="s">
        <v>1007</v>
      </c>
      <c r="L315" s="3" t="s">
        <v>1008</v>
      </c>
      <c r="M315" s="3" t="s">
        <v>22</v>
      </c>
      <c r="N315" s="5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14</v>
      </c>
      <c r="B316" s="3" t="s">
        <v>1003</v>
      </c>
      <c r="C316" s="3" t="s">
        <v>1004</v>
      </c>
      <c r="D316" s="3" t="s">
        <v>1005</v>
      </c>
      <c r="E316" s="3" t="s">
        <v>1006</v>
      </c>
      <c r="F316" s="3" t="s">
        <v>280</v>
      </c>
      <c r="G316" s="3" t="s">
        <v>1009</v>
      </c>
      <c r="H316" s="4">
        <v>2.0</v>
      </c>
      <c r="I316" s="4">
        <v>3.0</v>
      </c>
      <c r="J316" s="3"/>
      <c r="K316" s="3" t="s">
        <v>1007</v>
      </c>
      <c r="L316" s="3" t="s">
        <v>1008</v>
      </c>
      <c r="M316" s="3" t="s">
        <v>22</v>
      </c>
      <c r="N316" s="5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14</v>
      </c>
      <c r="B317" s="3" t="s">
        <v>1010</v>
      </c>
      <c r="C317" s="3" t="s">
        <v>1011</v>
      </c>
      <c r="D317" s="3" t="s">
        <v>1012</v>
      </c>
      <c r="E317" s="3" t="s">
        <v>1013</v>
      </c>
      <c r="F317" s="17" t="s">
        <v>36</v>
      </c>
      <c r="G317" s="3" t="s">
        <v>49</v>
      </c>
      <c r="H317" s="17" t="s">
        <v>36</v>
      </c>
      <c r="I317" s="4">
        <v>1.0</v>
      </c>
      <c r="J317" s="3"/>
      <c r="K317" s="3" t="s">
        <v>1014</v>
      </c>
      <c r="L317" s="3" t="s">
        <v>1015</v>
      </c>
      <c r="M317" s="3" t="s">
        <v>22</v>
      </c>
      <c r="N317" s="5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14</v>
      </c>
      <c r="B318" s="3" t="s">
        <v>1010</v>
      </c>
      <c r="C318" s="3" t="s">
        <v>1011</v>
      </c>
      <c r="D318" s="3" t="s">
        <v>1012</v>
      </c>
      <c r="E318" s="3" t="s">
        <v>1013</v>
      </c>
      <c r="F318" s="3" t="s">
        <v>1016</v>
      </c>
      <c r="G318" s="3" t="s">
        <v>1017</v>
      </c>
      <c r="H318" s="4">
        <v>1.0</v>
      </c>
      <c r="I318" s="4">
        <v>2.0</v>
      </c>
      <c r="J318" s="3"/>
      <c r="K318" s="3" t="s">
        <v>1014</v>
      </c>
      <c r="L318" s="3" t="s">
        <v>1015</v>
      </c>
      <c r="M318" s="3" t="s">
        <v>22</v>
      </c>
      <c r="N318" s="5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14</v>
      </c>
      <c r="B319" s="3" t="s">
        <v>1010</v>
      </c>
      <c r="C319" s="3" t="s">
        <v>1011</v>
      </c>
      <c r="D319" s="3" t="s">
        <v>1012</v>
      </c>
      <c r="E319" s="3" t="s">
        <v>1013</v>
      </c>
      <c r="F319" s="3" t="s">
        <v>1018</v>
      </c>
      <c r="G319" s="3" t="s">
        <v>387</v>
      </c>
      <c r="H319" s="4">
        <v>2.0</v>
      </c>
      <c r="I319" s="4">
        <v>3.0</v>
      </c>
      <c r="J319" s="3"/>
      <c r="K319" s="3" t="s">
        <v>1014</v>
      </c>
      <c r="L319" s="3" t="s">
        <v>1015</v>
      </c>
      <c r="M319" s="3" t="s">
        <v>22</v>
      </c>
      <c r="N319" s="5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14</v>
      </c>
      <c r="B320" s="3" t="s">
        <v>1010</v>
      </c>
      <c r="C320" s="3" t="s">
        <v>1011</v>
      </c>
      <c r="D320" s="3" t="s">
        <v>1012</v>
      </c>
      <c r="E320" s="3" t="s">
        <v>1013</v>
      </c>
      <c r="F320" s="3" t="s">
        <v>280</v>
      </c>
      <c r="G320" s="3" t="s">
        <v>1009</v>
      </c>
      <c r="H320" s="4">
        <v>3.0</v>
      </c>
      <c r="I320" s="4">
        <v>4.0</v>
      </c>
      <c r="J320" s="3"/>
      <c r="K320" s="3" t="s">
        <v>1014</v>
      </c>
      <c r="L320" s="3" t="s">
        <v>1015</v>
      </c>
      <c r="M320" s="3" t="s">
        <v>22</v>
      </c>
      <c r="N320" s="5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14</v>
      </c>
      <c r="B321" s="3" t="s">
        <v>1019</v>
      </c>
      <c r="C321" s="3" t="s">
        <v>1020</v>
      </c>
      <c r="D321" s="3" t="s">
        <v>1021</v>
      </c>
      <c r="E321" s="3" t="s">
        <v>1022</v>
      </c>
      <c r="F321" s="3"/>
      <c r="G321" s="3"/>
      <c r="H321" s="4"/>
      <c r="I321" s="4"/>
      <c r="J321" s="3"/>
      <c r="K321" s="3" t="s">
        <v>1023</v>
      </c>
      <c r="L321" s="3" t="s">
        <v>1024</v>
      </c>
      <c r="M321" s="3" t="s">
        <v>22</v>
      </c>
      <c r="N321" s="3" t="s">
        <v>560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14</v>
      </c>
      <c r="B322" s="3" t="s">
        <v>1025</v>
      </c>
      <c r="C322" s="3" t="s">
        <v>1026</v>
      </c>
      <c r="D322" s="3" t="s">
        <v>1027</v>
      </c>
      <c r="E322" s="3" t="s">
        <v>1028</v>
      </c>
      <c r="F322" s="3" t="s">
        <v>36</v>
      </c>
      <c r="G322" s="3" t="s">
        <v>49</v>
      </c>
      <c r="H322" s="4" t="s">
        <v>36</v>
      </c>
      <c r="I322" s="4">
        <v>1.0</v>
      </c>
      <c r="J322" s="3"/>
      <c r="K322" s="3" t="s">
        <v>1029</v>
      </c>
      <c r="L322" s="3" t="s">
        <v>1030</v>
      </c>
      <c r="M322" s="3" t="s">
        <v>22</v>
      </c>
      <c r="N322" s="5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14</v>
      </c>
      <c r="B323" s="3" t="s">
        <v>1025</v>
      </c>
      <c r="C323" s="3" t="s">
        <v>1026</v>
      </c>
      <c r="D323" s="3" t="s">
        <v>1027</v>
      </c>
      <c r="E323" s="3" t="s">
        <v>1028</v>
      </c>
      <c r="F323" s="3" t="s">
        <v>61</v>
      </c>
      <c r="G323" s="3" t="s">
        <v>1031</v>
      </c>
      <c r="H323" s="4">
        <v>1.0</v>
      </c>
      <c r="I323" s="4">
        <v>2.0</v>
      </c>
      <c r="J323" s="3"/>
      <c r="K323" s="3" t="s">
        <v>1029</v>
      </c>
      <c r="L323" s="3" t="s">
        <v>1030</v>
      </c>
      <c r="M323" s="3" t="s">
        <v>22</v>
      </c>
      <c r="N323" s="5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14</v>
      </c>
      <c r="B324" s="3" t="s">
        <v>1025</v>
      </c>
      <c r="C324" s="3" t="s">
        <v>1026</v>
      </c>
      <c r="D324" s="3" t="s">
        <v>1027</v>
      </c>
      <c r="E324" s="3" t="s">
        <v>1028</v>
      </c>
      <c r="F324" s="3" t="s">
        <v>1032</v>
      </c>
      <c r="G324" s="3" t="s">
        <v>1033</v>
      </c>
      <c r="H324" s="4">
        <v>2.0</v>
      </c>
      <c r="I324" s="4">
        <v>3.0</v>
      </c>
      <c r="J324" s="3"/>
      <c r="K324" s="3" t="s">
        <v>1029</v>
      </c>
      <c r="L324" s="3" t="s">
        <v>1030</v>
      </c>
      <c r="M324" s="3" t="s">
        <v>22</v>
      </c>
      <c r="N324" s="5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14</v>
      </c>
      <c r="B325" s="3" t="s">
        <v>1034</v>
      </c>
      <c r="C325" s="3" t="s">
        <v>1035</v>
      </c>
      <c r="D325" s="3" t="s">
        <v>1036</v>
      </c>
      <c r="E325" s="3" t="s">
        <v>1037</v>
      </c>
      <c r="F325" s="3" t="s">
        <v>61</v>
      </c>
      <c r="G325" s="3" t="s">
        <v>62</v>
      </c>
      <c r="H325" s="4">
        <v>1.0</v>
      </c>
      <c r="I325" s="4">
        <v>1.0</v>
      </c>
      <c r="J325" s="3"/>
      <c r="K325" s="3" t="s">
        <v>1038</v>
      </c>
      <c r="L325" s="3" t="s">
        <v>1039</v>
      </c>
      <c r="M325" s="3" t="s">
        <v>22</v>
      </c>
      <c r="N325" s="5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14</v>
      </c>
      <c r="B326" s="3" t="s">
        <v>1034</v>
      </c>
      <c r="C326" s="3" t="s">
        <v>1035</v>
      </c>
      <c r="D326" s="3" t="s">
        <v>1036</v>
      </c>
      <c r="E326" s="3" t="s">
        <v>1037</v>
      </c>
      <c r="F326" s="3" t="s">
        <v>1040</v>
      </c>
      <c r="G326" s="3" t="s">
        <v>1041</v>
      </c>
      <c r="H326" s="4">
        <v>2.0</v>
      </c>
      <c r="I326" s="4">
        <v>2.0</v>
      </c>
      <c r="J326" s="3"/>
      <c r="K326" s="3" t="s">
        <v>1038</v>
      </c>
      <c r="L326" s="3" t="s">
        <v>1039</v>
      </c>
      <c r="M326" s="3" t="s">
        <v>22</v>
      </c>
      <c r="N326" s="5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14</v>
      </c>
      <c r="B327" s="3" t="s">
        <v>797</v>
      </c>
      <c r="C327" s="3" t="s">
        <v>798</v>
      </c>
      <c r="D327" s="3" t="s">
        <v>797</v>
      </c>
      <c r="E327" s="3" t="s">
        <v>798</v>
      </c>
      <c r="F327" s="3" t="s">
        <v>797</v>
      </c>
      <c r="G327" s="3" t="s">
        <v>798</v>
      </c>
      <c r="H327" s="4">
        <v>1.0</v>
      </c>
      <c r="I327" s="4">
        <v>1.0</v>
      </c>
      <c r="J327" s="3"/>
      <c r="K327" s="3" t="s">
        <v>1042</v>
      </c>
      <c r="L327" s="3" t="s">
        <v>1043</v>
      </c>
      <c r="M327" s="3" t="s">
        <v>22</v>
      </c>
      <c r="N327" s="5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14</v>
      </c>
      <c r="B328" s="3" t="s">
        <v>1044</v>
      </c>
      <c r="C328" s="3" t="s">
        <v>1045</v>
      </c>
      <c r="D328" s="3" t="s">
        <v>1046</v>
      </c>
      <c r="E328" s="3" t="s">
        <v>1047</v>
      </c>
      <c r="F328" s="3" t="s">
        <v>1048</v>
      </c>
      <c r="G328" s="3" t="s">
        <v>890</v>
      </c>
      <c r="H328" s="4">
        <v>1.0</v>
      </c>
      <c r="I328" s="4">
        <v>1.0</v>
      </c>
      <c r="J328" s="3"/>
      <c r="K328" s="3" t="s">
        <v>1049</v>
      </c>
      <c r="L328" s="3" t="s">
        <v>1050</v>
      </c>
      <c r="M328" s="3" t="s">
        <v>22</v>
      </c>
      <c r="N328" s="5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14</v>
      </c>
      <c r="B329" s="3" t="s">
        <v>1044</v>
      </c>
      <c r="C329" s="3" t="s">
        <v>1045</v>
      </c>
      <c r="D329" s="3" t="s">
        <v>1046</v>
      </c>
      <c r="E329" s="3" t="s">
        <v>1047</v>
      </c>
      <c r="F329" s="3" t="s">
        <v>394</v>
      </c>
      <c r="G329" s="3" t="s">
        <v>1051</v>
      </c>
      <c r="H329" s="4">
        <v>2.0</v>
      </c>
      <c r="I329" s="4">
        <v>2.0</v>
      </c>
      <c r="J329" s="3"/>
      <c r="K329" s="3" t="s">
        <v>1049</v>
      </c>
      <c r="L329" s="3" t="s">
        <v>1050</v>
      </c>
      <c r="M329" s="3" t="s">
        <v>22</v>
      </c>
      <c r="N329" s="5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14</v>
      </c>
      <c r="B330" s="3" t="s">
        <v>1052</v>
      </c>
      <c r="C330" s="3" t="s">
        <v>1053</v>
      </c>
      <c r="D330" s="3" t="s">
        <v>1054</v>
      </c>
      <c r="E330" s="3" t="s">
        <v>1055</v>
      </c>
      <c r="F330" s="3" t="s">
        <v>1056</v>
      </c>
      <c r="G330" s="3" t="s">
        <v>1057</v>
      </c>
      <c r="H330" s="4">
        <v>1.0</v>
      </c>
      <c r="I330" s="4">
        <v>1.0</v>
      </c>
      <c r="J330" s="3"/>
      <c r="K330" s="3" t="s">
        <v>1058</v>
      </c>
      <c r="L330" s="3" t="s">
        <v>1059</v>
      </c>
      <c r="M330" s="3" t="s">
        <v>22</v>
      </c>
      <c r="N330" s="5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14</v>
      </c>
      <c r="B331" s="3" t="s">
        <v>1052</v>
      </c>
      <c r="C331" s="3" t="s">
        <v>1053</v>
      </c>
      <c r="D331" s="3" t="s">
        <v>1054</v>
      </c>
      <c r="E331" s="3" t="s">
        <v>1055</v>
      </c>
      <c r="F331" s="3" t="s">
        <v>1060</v>
      </c>
      <c r="G331" s="3" t="s">
        <v>1061</v>
      </c>
      <c r="H331" s="4">
        <v>2.0</v>
      </c>
      <c r="I331" s="4">
        <v>2.0</v>
      </c>
      <c r="J331" s="3"/>
      <c r="K331" s="3" t="s">
        <v>1058</v>
      </c>
      <c r="L331" s="3" t="s">
        <v>1059</v>
      </c>
      <c r="M331" s="3" t="s">
        <v>22</v>
      </c>
      <c r="N331" s="5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14</v>
      </c>
      <c r="B332" s="3" t="s">
        <v>1062</v>
      </c>
      <c r="C332" s="3" t="s">
        <v>1063</v>
      </c>
      <c r="D332" s="3" t="s">
        <v>1064</v>
      </c>
      <c r="E332" s="3" t="s">
        <v>1063</v>
      </c>
      <c r="F332" s="3" t="s">
        <v>276</v>
      </c>
      <c r="G332" s="3" t="s">
        <v>1065</v>
      </c>
      <c r="H332" s="4">
        <v>1.0</v>
      </c>
      <c r="I332" s="4">
        <v>1.0</v>
      </c>
      <c r="J332" s="3"/>
      <c r="K332" s="3" t="s">
        <v>1066</v>
      </c>
      <c r="L332" s="3" t="s">
        <v>1067</v>
      </c>
      <c r="M332" s="3" t="s">
        <v>22</v>
      </c>
      <c r="N332" s="5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14</v>
      </c>
      <c r="B333" s="3" t="s">
        <v>1062</v>
      </c>
      <c r="C333" s="3" t="s">
        <v>1063</v>
      </c>
      <c r="D333" s="3" t="s">
        <v>1064</v>
      </c>
      <c r="E333" s="3" t="s">
        <v>1063</v>
      </c>
      <c r="F333" s="3" t="s">
        <v>131</v>
      </c>
      <c r="G333" s="3" t="s">
        <v>131</v>
      </c>
      <c r="H333" s="4">
        <v>2.0</v>
      </c>
      <c r="I333" s="4">
        <v>2.0</v>
      </c>
      <c r="J333" s="3"/>
      <c r="K333" s="3" t="s">
        <v>1066</v>
      </c>
      <c r="L333" s="3" t="s">
        <v>1067</v>
      </c>
      <c r="M333" s="3" t="s">
        <v>22</v>
      </c>
      <c r="N333" s="5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14</v>
      </c>
      <c r="B334" s="3" t="s">
        <v>1068</v>
      </c>
      <c r="C334" s="3" t="s">
        <v>1069</v>
      </c>
      <c r="D334" s="3" t="s">
        <v>1070</v>
      </c>
      <c r="E334" s="3" t="s">
        <v>1071</v>
      </c>
      <c r="F334" s="3" t="s">
        <v>744</v>
      </c>
      <c r="G334" s="3" t="s">
        <v>1072</v>
      </c>
      <c r="H334" s="4">
        <v>1.0</v>
      </c>
      <c r="I334" s="4">
        <v>1.0</v>
      </c>
      <c r="J334" s="3"/>
      <c r="K334" s="3" t="s">
        <v>1073</v>
      </c>
      <c r="L334" s="3" t="s">
        <v>1074</v>
      </c>
      <c r="M334" s="3" t="s">
        <v>22</v>
      </c>
      <c r="N334" s="5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14</v>
      </c>
      <c r="B335" s="3" t="s">
        <v>1068</v>
      </c>
      <c r="C335" s="3" t="s">
        <v>1069</v>
      </c>
      <c r="D335" s="3" t="s">
        <v>1070</v>
      </c>
      <c r="E335" s="3" t="s">
        <v>1071</v>
      </c>
      <c r="F335" s="3" t="s">
        <v>1075</v>
      </c>
      <c r="G335" s="3" t="s">
        <v>1076</v>
      </c>
      <c r="H335" s="4">
        <v>2.0</v>
      </c>
      <c r="I335" s="4">
        <v>2.0</v>
      </c>
      <c r="J335" s="3"/>
      <c r="K335" s="3" t="s">
        <v>1073</v>
      </c>
      <c r="L335" s="3" t="s">
        <v>1074</v>
      </c>
      <c r="M335" s="3" t="s">
        <v>22</v>
      </c>
      <c r="N335" s="5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14</v>
      </c>
      <c r="B336" s="3" t="s">
        <v>947</v>
      </c>
      <c r="C336" s="3" t="s">
        <v>1077</v>
      </c>
      <c r="D336" s="3" t="s">
        <v>947</v>
      </c>
      <c r="E336" s="3" t="s">
        <v>1078</v>
      </c>
      <c r="F336" s="3" t="s">
        <v>36</v>
      </c>
      <c r="G336" s="3" t="s">
        <v>49</v>
      </c>
      <c r="H336" s="4" t="s">
        <v>36</v>
      </c>
      <c r="I336" s="4">
        <v>1.0</v>
      </c>
      <c r="J336" s="3" t="s">
        <v>80</v>
      </c>
      <c r="K336" s="3" t="s">
        <v>1079</v>
      </c>
      <c r="L336" s="3" t="s">
        <v>1080</v>
      </c>
      <c r="M336" s="3" t="s">
        <v>22</v>
      </c>
      <c r="N336" s="5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14</v>
      </c>
      <c r="B337" s="3" t="s">
        <v>947</v>
      </c>
      <c r="C337" s="3" t="s">
        <v>1077</v>
      </c>
      <c r="D337" s="3" t="s">
        <v>947</v>
      </c>
      <c r="E337" s="3" t="s">
        <v>1078</v>
      </c>
      <c r="F337" s="3" t="s">
        <v>947</v>
      </c>
      <c r="G337" s="3" t="s">
        <v>1081</v>
      </c>
      <c r="H337" s="4">
        <v>1.0</v>
      </c>
      <c r="I337" s="4">
        <v>2.0</v>
      </c>
      <c r="J337" s="3"/>
      <c r="K337" s="3" t="s">
        <v>1079</v>
      </c>
      <c r="L337" s="3" t="s">
        <v>1080</v>
      </c>
      <c r="M337" s="3" t="s">
        <v>22</v>
      </c>
      <c r="N337" s="5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14</v>
      </c>
      <c r="B338" s="3" t="s">
        <v>1082</v>
      </c>
      <c r="C338" s="3" t="s">
        <v>1083</v>
      </c>
      <c r="D338" s="3" t="s">
        <v>1084</v>
      </c>
      <c r="E338" s="3" t="s">
        <v>1085</v>
      </c>
      <c r="F338" s="3" t="s">
        <v>349</v>
      </c>
      <c r="G338" s="3" t="s">
        <v>1086</v>
      </c>
      <c r="H338" s="4">
        <v>1.0</v>
      </c>
      <c r="I338" s="4">
        <v>1.0</v>
      </c>
      <c r="J338" s="3"/>
      <c r="K338" s="3" t="s">
        <v>1087</v>
      </c>
      <c r="L338" s="3" t="s">
        <v>1088</v>
      </c>
      <c r="M338" s="3" t="s">
        <v>22</v>
      </c>
      <c r="N338" s="5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14</v>
      </c>
      <c r="B339" s="3" t="s">
        <v>1082</v>
      </c>
      <c r="C339" s="3" t="s">
        <v>1083</v>
      </c>
      <c r="D339" s="3" t="s">
        <v>1084</v>
      </c>
      <c r="E339" s="3" t="s">
        <v>1085</v>
      </c>
      <c r="F339" s="3" t="s">
        <v>214</v>
      </c>
      <c r="G339" s="3" t="s">
        <v>1089</v>
      </c>
      <c r="H339" s="4">
        <v>2.0</v>
      </c>
      <c r="I339" s="4">
        <v>2.0</v>
      </c>
      <c r="J339" s="3"/>
      <c r="K339" s="3" t="s">
        <v>1087</v>
      </c>
      <c r="L339" s="3" t="s">
        <v>1088</v>
      </c>
      <c r="M339" s="3" t="s">
        <v>22</v>
      </c>
      <c r="N339" s="5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14</v>
      </c>
      <c r="B340" s="3" t="s">
        <v>1090</v>
      </c>
      <c r="C340" s="3" t="s">
        <v>1091</v>
      </c>
      <c r="D340" s="3" t="s">
        <v>1090</v>
      </c>
      <c r="E340" s="3" t="s">
        <v>1092</v>
      </c>
      <c r="F340" s="3"/>
      <c r="G340" s="3"/>
      <c r="H340" s="4"/>
      <c r="I340" s="4"/>
      <c r="J340" s="3"/>
      <c r="K340" s="3" t="s">
        <v>1093</v>
      </c>
      <c r="L340" s="3" t="s">
        <v>1094</v>
      </c>
      <c r="M340" s="3" t="s">
        <v>22</v>
      </c>
      <c r="N340" s="3" t="s">
        <v>560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14</v>
      </c>
      <c r="B341" s="3" t="s">
        <v>1095</v>
      </c>
      <c r="C341" s="3" t="s">
        <v>1096</v>
      </c>
      <c r="D341" s="3" t="s">
        <v>1097</v>
      </c>
      <c r="E341" s="3" t="s">
        <v>1098</v>
      </c>
      <c r="F341" s="3" t="s">
        <v>599</v>
      </c>
      <c r="G341" s="3" t="s">
        <v>1099</v>
      </c>
      <c r="H341" s="4">
        <v>1.0</v>
      </c>
      <c r="I341" s="4">
        <v>1.0</v>
      </c>
      <c r="J341" s="3"/>
      <c r="K341" s="3" t="s">
        <v>1100</v>
      </c>
      <c r="L341" s="3" t="s">
        <v>1101</v>
      </c>
      <c r="M341" s="3" t="s">
        <v>22</v>
      </c>
      <c r="N341" s="5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14</v>
      </c>
      <c r="B342" s="3" t="s">
        <v>1095</v>
      </c>
      <c r="C342" s="3" t="s">
        <v>1096</v>
      </c>
      <c r="D342" s="3" t="s">
        <v>1097</v>
      </c>
      <c r="E342" s="3" t="s">
        <v>1098</v>
      </c>
      <c r="F342" s="3" t="s">
        <v>995</v>
      </c>
      <c r="G342" s="3" t="s">
        <v>996</v>
      </c>
      <c r="H342" s="4">
        <v>2.0</v>
      </c>
      <c r="I342" s="4">
        <v>2.0</v>
      </c>
      <c r="J342" s="3"/>
      <c r="K342" s="3" t="s">
        <v>1100</v>
      </c>
      <c r="L342" s="3" t="s">
        <v>1101</v>
      </c>
      <c r="M342" s="3" t="s">
        <v>22</v>
      </c>
      <c r="N342" s="5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14</v>
      </c>
      <c r="B343" s="3" t="s">
        <v>1102</v>
      </c>
      <c r="C343" s="3" t="s">
        <v>1103</v>
      </c>
      <c r="D343" s="3" t="s">
        <v>1104</v>
      </c>
      <c r="E343" s="3" t="s">
        <v>1105</v>
      </c>
      <c r="F343" s="3" t="s">
        <v>143</v>
      </c>
      <c r="G343" s="3" t="s">
        <v>1106</v>
      </c>
      <c r="H343" s="4">
        <v>1.0</v>
      </c>
      <c r="I343" s="4">
        <v>1.0</v>
      </c>
      <c r="J343" s="3"/>
      <c r="K343" s="3" t="s">
        <v>1107</v>
      </c>
      <c r="L343" s="3" t="s">
        <v>1108</v>
      </c>
      <c r="M343" s="3" t="s">
        <v>22</v>
      </c>
      <c r="N343" s="5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14</v>
      </c>
      <c r="B344" s="3" t="s">
        <v>1102</v>
      </c>
      <c r="C344" s="3" t="s">
        <v>1103</v>
      </c>
      <c r="D344" s="3" t="s">
        <v>1104</v>
      </c>
      <c r="E344" s="3" t="s">
        <v>1105</v>
      </c>
      <c r="F344" s="3" t="s">
        <v>131</v>
      </c>
      <c r="G344" s="3" t="s">
        <v>132</v>
      </c>
      <c r="H344" s="4">
        <v>2.0</v>
      </c>
      <c r="I344" s="4">
        <v>2.0</v>
      </c>
      <c r="J344" s="3"/>
      <c r="K344" s="3" t="s">
        <v>1107</v>
      </c>
      <c r="L344" s="3" t="s">
        <v>1108</v>
      </c>
      <c r="M344" s="3" t="s">
        <v>22</v>
      </c>
      <c r="N344" s="5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14</v>
      </c>
      <c r="B345" s="3" t="s">
        <v>1109</v>
      </c>
      <c r="C345" s="3" t="s">
        <v>1110</v>
      </c>
      <c r="D345" s="3" t="s">
        <v>1111</v>
      </c>
      <c r="E345" s="3" t="s">
        <v>1112</v>
      </c>
      <c r="F345" s="3" t="s">
        <v>36</v>
      </c>
      <c r="G345" s="3" t="s">
        <v>1113</v>
      </c>
      <c r="H345" s="4" t="s">
        <v>36</v>
      </c>
      <c r="I345" s="4">
        <v>1.0</v>
      </c>
      <c r="J345" s="3" t="s">
        <v>80</v>
      </c>
      <c r="K345" s="3" t="s">
        <v>1114</v>
      </c>
      <c r="L345" s="3" t="s">
        <v>1115</v>
      </c>
      <c r="M345" s="3" t="s">
        <v>22</v>
      </c>
      <c r="N345" s="5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14</v>
      </c>
      <c r="B346" s="3" t="s">
        <v>1109</v>
      </c>
      <c r="C346" s="3" t="s">
        <v>1110</v>
      </c>
      <c r="D346" s="3" t="s">
        <v>1111</v>
      </c>
      <c r="E346" s="3" t="s">
        <v>1112</v>
      </c>
      <c r="F346" s="3" t="s">
        <v>143</v>
      </c>
      <c r="G346" s="3" t="s">
        <v>1116</v>
      </c>
      <c r="H346" s="4">
        <v>1.0</v>
      </c>
      <c r="I346" s="4">
        <v>2.0</v>
      </c>
      <c r="J346" s="3"/>
      <c r="K346" s="3" t="s">
        <v>1114</v>
      </c>
      <c r="L346" s="3" t="s">
        <v>1115</v>
      </c>
      <c r="M346" s="3" t="s">
        <v>22</v>
      </c>
      <c r="N346" s="5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14</v>
      </c>
      <c r="B347" s="3" t="s">
        <v>1109</v>
      </c>
      <c r="C347" s="3" t="s">
        <v>1110</v>
      </c>
      <c r="D347" s="3" t="s">
        <v>1111</v>
      </c>
      <c r="E347" s="3" t="s">
        <v>1112</v>
      </c>
      <c r="F347" s="3" t="s">
        <v>481</v>
      </c>
      <c r="G347" s="3" t="s">
        <v>1117</v>
      </c>
      <c r="H347" s="4">
        <v>2.0</v>
      </c>
      <c r="I347" s="4">
        <v>3.0</v>
      </c>
      <c r="J347" s="3"/>
      <c r="K347" s="3" t="s">
        <v>1114</v>
      </c>
      <c r="L347" s="3" t="s">
        <v>1115</v>
      </c>
      <c r="M347" s="3" t="s">
        <v>22</v>
      </c>
      <c r="N347" s="5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14</v>
      </c>
      <c r="B348" s="3" t="s">
        <v>1118</v>
      </c>
      <c r="C348" s="3" t="s">
        <v>1119</v>
      </c>
      <c r="D348" s="3" t="s">
        <v>1118</v>
      </c>
      <c r="E348" s="3" t="s">
        <v>1119</v>
      </c>
      <c r="F348" s="3" t="s">
        <v>1118</v>
      </c>
      <c r="G348" s="3" t="s">
        <v>1119</v>
      </c>
      <c r="H348" s="4">
        <v>1.0</v>
      </c>
      <c r="I348" s="4">
        <v>1.0</v>
      </c>
      <c r="J348" s="3"/>
      <c r="K348" s="3" t="s">
        <v>1120</v>
      </c>
      <c r="L348" s="3" t="s">
        <v>1121</v>
      </c>
      <c r="M348" s="3" t="s">
        <v>22</v>
      </c>
      <c r="N348" s="5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14</v>
      </c>
      <c r="B349" s="3" t="s">
        <v>1122</v>
      </c>
      <c r="C349" s="3" t="s">
        <v>1123</v>
      </c>
      <c r="D349" s="3" t="s">
        <v>1124</v>
      </c>
      <c r="E349" s="3" t="s">
        <v>1125</v>
      </c>
      <c r="F349" s="3" t="s">
        <v>1126</v>
      </c>
      <c r="G349" s="3" t="s">
        <v>1126</v>
      </c>
      <c r="H349" s="4">
        <v>1.0</v>
      </c>
      <c r="I349" s="4">
        <v>1.0</v>
      </c>
      <c r="J349" s="3"/>
      <c r="K349" s="3" t="s">
        <v>1127</v>
      </c>
      <c r="L349" s="3" t="s">
        <v>1128</v>
      </c>
      <c r="M349" s="3" t="s">
        <v>22</v>
      </c>
      <c r="N349" s="5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14</v>
      </c>
      <c r="B350" s="3" t="s">
        <v>1122</v>
      </c>
      <c r="C350" s="3" t="s">
        <v>1123</v>
      </c>
      <c r="D350" s="3" t="s">
        <v>1124</v>
      </c>
      <c r="E350" s="3" t="s">
        <v>1125</v>
      </c>
      <c r="F350" s="3" t="s">
        <v>1032</v>
      </c>
      <c r="G350" s="3" t="s">
        <v>1129</v>
      </c>
      <c r="H350" s="4">
        <v>2.0</v>
      </c>
      <c r="I350" s="4">
        <v>2.0</v>
      </c>
      <c r="J350" s="3"/>
      <c r="K350" s="3" t="s">
        <v>1127</v>
      </c>
      <c r="L350" s="3" t="s">
        <v>1128</v>
      </c>
      <c r="M350" s="3" t="s">
        <v>22</v>
      </c>
      <c r="N350" s="5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14</v>
      </c>
      <c r="B351" s="3" t="s">
        <v>1130</v>
      </c>
      <c r="C351" s="3" t="s">
        <v>1131</v>
      </c>
      <c r="D351" s="3" t="s">
        <v>1132</v>
      </c>
      <c r="E351" s="3" t="s">
        <v>1133</v>
      </c>
      <c r="F351" s="3" t="s">
        <v>1134</v>
      </c>
      <c r="G351" s="3" t="s">
        <v>334</v>
      </c>
      <c r="H351" s="4">
        <v>1.0</v>
      </c>
      <c r="I351" s="4">
        <v>1.0</v>
      </c>
      <c r="J351" s="3" t="s">
        <v>80</v>
      </c>
      <c r="K351" s="3" t="s">
        <v>1135</v>
      </c>
      <c r="L351" s="3" t="s">
        <v>1136</v>
      </c>
      <c r="M351" s="3" t="s">
        <v>22</v>
      </c>
      <c r="N351" s="5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14</v>
      </c>
      <c r="B352" s="3" t="s">
        <v>1130</v>
      </c>
      <c r="C352" s="3" t="s">
        <v>1131</v>
      </c>
      <c r="D352" s="3" t="s">
        <v>1132</v>
      </c>
      <c r="E352" s="3" t="s">
        <v>1133</v>
      </c>
      <c r="F352" s="3" t="s">
        <v>36</v>
      </c>
      <c r="G352" s="3" t="s">
        <v>1137</v>
      </c>
      <c r="H352" s="4" t="s">
        <v>36</v>
      </c>
      <c r="I352" s="4">
        <v>2.0</v>
      </c>
      <c r="J352" s="3"/>
      <c r="K352" s="3" t="s">
        <v>1135</v>
      </c>
      <c r="L352" s="3" t="s">
        <v>1136</v>
      </c>
      <c r="M352" s="3" t="s">
        <v>22</v>
      </c>
      <c r="N352" s="5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14</v>
      </c>
      <c r="B353" s="3" t="s">
        <v>1130</v>
      </c>
      <c r="C353" s="3" t="s">
        <v>1131</v>
      </c>
      <c r="D353" s="3" t="s">
        <v>1132</v>
      </c>
      <c r="E353" s="3" t="s">
        <v>1133</v>
      </c>
      <c r="F353" s="3" t="s">
        <v>1040</v>
      </c>
      <c r="G353" s="3" t="s">
        <v>1041</v>
      </c>
      <c r="H353" s="4">
        <v>2.0</v>
      </c>
      <c r="I353" s="4">
        <v>3.0</v>
      </c>
      <c r="J353" s="3"/>
      <c r="K353" s="3" t="s">
        <v>1135</v>
      </c>
      <c r="L353" s="3" t="s">
        <v>1136</v>
      </c>
      <c r="M353" s="3" t="s">
        <v>22</v>
      </c>
      <c r="N353" s="5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14</v>
      </c>
      <c r="B354" s="3" t="s">
        <v>1138</v>
      </c>
      <c r="C354" s="3" t="s">
        <v>1139</v>
      </c>
      <c r="D354" s="3" t="s">
        <v>1140</v>
      </c>
      <c r="E354" s="3" t="s">
        <v>1141</v>
      </c>
      <c r="F354" s="3" t="s">
        <v>172</v>
      </c>
      <c r="G354" s="3" t="s">
        <v>1142</v>
      </c>
      <c r="H354" s="4">
        <v>1.0</v>
      </c>
      <c r="I354" s="4">
        <v>1.0</v>
      </c>
      <c r="J354" s="3"/>
      <c r="K354" s="3" t="s">
        <v>1143</v>
      </c>
      <c r="L354" s="3" t="s">
        <v>1144</v>
      </c>
      <c r="M354" s="3" t="s">
        <v>22</v>
      </c>
      <c r="N354" s="5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14</v>
      </c>
      <c r="B355" s="3" t="s">
        <v>1138</v>
      </c>
      <c r="C355" s="3" t="s">
        <v>1139</v>
      </c>
      <c r="D355" s="3" t="s">
        <v>1140</v>
      </c>
      <c r="E355" s="3" t="s">
        <v>1141</v>
      </c>
      <c r="F355" s="3" t="s">
        <v>918</v>
      </c>
      <c r="G355" s="3" t="s">
        <v>1145</v>
      </c>
      <c r="H355" s="4">
        <v>2.0</v>
      </c>
      <c r="I355" s="4">
        <v>2.0</v>
      </c>
      <c r="J355" s="3"/>
      <c r="K355" s="3" t="s">
        <v>1143</v>
      </c>
      <c r="L355" s="3" t="s">
        <v>1144</v>
      </c>
      <c r="M355" s="3" t="s">
        <v>22</v>
      </c>
      <c r="N355" s="5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14</v>
      </c>
      <c r="B356" s="3" t="s">
        <v>1146</v>
      </c>
      <c r="C356" s="3" t="s">
        <v>1147</v>
      </c>
      <c r="D356" s="3" t="s">
        <v>1148</v>
      </c>
      <c r="E356" s="3" t="s">
        <v>1149</v>
      </c>
      <c r="F356" s="3" t="s">
        <v>1148</v>
      </c>
      <c r="G356" s="3" t="s">
        <v>79</v>
      </c>
      <c r="H356" s="4">
        <v>1.0</v>
      </c>
      <c r="I356" s="4">
        <v>1.0</v>
      </c>
      <c r="J356" s="3" t="s">
        <v>80</v>
      </c>
      <c r="K356" s="3" t="s">
        <v>1150</v>
      </c>
      <c r="L356" s="3" t="s">
        <v>1151</v>
      </c>
      <c r="M356" s="3" t="s">
        <v>22</v>
      </c>
      <c r="N356" s="5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14</v>
      </c>
      <c r="B357" s="3" t="s">
        <v>1146</v>
      </c>
      <c r="C357" s="3" t="s">
        <v>1147</v>
      </c>
      <c r="D357" s="3" t="s">
        <v>1148</v>
      </c>
      <c r="E357" s="3" t="s">
        <v>1149</v>
      </c>
      <c r="F357" s="3" t="s">
        <v>36</v>
      </c>
      <c r="G357" s="3" t="s">
        <v>1152</v>
      </c>
      <c r="H357" s="4" t="s">
        <v>36</v>
      </c>
      <c r="I357" s="4">
        <v>2.0</v>
      </c>
      <c r="J357" s="3"/>
      <c r="K357" s="3" t="s">
        <v>1150</v>
      </c>
      <c r="L357" s="3" t="s">
        <v>1151</v>
      </c>
      <c r="M357" s="3" t="s">
        <v>22</v>
      </c>
      <c r="N357" s="5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14</v>
      </c>
      <c r="B358" s="3" t="s">
        <v>1153</v>
      </c>
      <c r="C358" s="3" t="s">
        <v>1154</v>
      </c>
      <c r="D358" s="3" t="s">
        <v>1155</v>
      </c>
      <c r="E358" s="3" t="s">
        <v>1156</v>
      </c>
      <c r="F358" s="3"/>
      <c r="G358" s="3"/>
      <c r="H358" s="4"/>
      <c r="I358" s="4"/>
      <c r="J358" s="3"/>
      <c r="K358" s="3" t="s">
        <v>1157</v>
      </c>
      <c r="L358" s="3" t="s">
        <v>1158</v>
      </c>
      <c r="M358" s="3" t="s">
        <v>22</v>
      </c>
      <c r="N358" s="3" t="s">
        <v>560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14</v>
      </c>
      <c r="B359" s="3" t="s">
        <v>1159</v>
      </c>
      <c r="C359" s="3" t="s">
        <v>1160</v>
      </c>
      <c r="D359" s="3" t="s">
        <v>1161</v>
      </c>
      <c r="E359" s="3" t="s">
        <v>1162</v>
      </c>
      <c r="F359" s="3" t="s">
        <v>1163</v>
      </c>
      <c r="G359" s="3" t="s">
        <v>1164</v>
      </c>
      <c r="H359" s="4">
        <v>1.0</v>
      </c>
      <c r="I359" s="4">
        <v>1.0</v>
      </c>
      <c r="J359" s="3"/>
      <c r="K359" s="3" t="s">
        <v>1165</v>
      </c>
      <c r="L359" s="3" t="s">
        <v>1166</v>
      </c>
      <c r="M359" s="3" t="s">
        <v>22</v>
      </c>
      <c r="N359" s="5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14</v>
      </c>
      <c r="B360" s="3" t="s">
        <v>1159</v>
      </c>
      <c r="C360" s="3" t="s">
        <v>1160</v>
      </c>
      <c r="D360" s="3" t="s">
        <v>1161</v>
      </c>
      <c r="E360" s="3" t="s">
        <v>1162</v>
      </c>
      <c r="F360" s="3" t="s">
        <v>1075</v>
      </c>
      <c r="G360" s="3" t="s">
        <v>1076</v>
      </c>
      <c r="H360" s="4">
        <v>2.0</v>
      </c>
      <c r="I360" s="4">
        <v>2.0</v>
      </c>
      <c r="J360" s="3"/>
      <c r="K360" s="3" t="s">
        <v>1165</v>
      </c>
      <c r="L360" s="3" t="s">
        <v>1166</v>
      </c>
      <c r="M360" s="3" t="s">
        <v>22</v>
      </c>
      <c r="N360" s="5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14</v>
      </c>
      <c r="B361" s="3" t="s">
        <v>1167</v>
      </c>
      <c r="C361" s="3" t="s">
        <v>1168</v>
      </c>
      <c r="D361" s="3" t="s">
        <v>1169</v>
      </c>
      <c r="E361" s="3" t="s">
        <v>1170</v>
      </c>
      <c r="F361" s="3" t="s">
        <v>575</v>
      </c>
      <c r="G361" s="3" t="s">
        <v>739</v>
      </c>
      <c r="H361" s="4">
        <v>1.0</v>
      </c>
      <c r="I361" s="4">
        <v>1.0</v>
      </c>
      <c r="J361" s="3" t="s">
        <v>80</v>
      </c>
      <c r="K361" s="3" t="s">
        <v>1171</v>
      </c>
      <c r="L361" s="3" t="s">
        <v>1172</v>
      </c>
      <c r="M361" s="3" t="s">
        <v>22</v>
      </c>
      <c r="N361" s="5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14</v>
      </c>
      <c r="B362" s="3" t="s">
        <v>1167</v>
      </c>
      <c r="C362" s="3" t="s">
        <v>1168</v>
      </c>
      <c r="D362" s="3" t="s">
        <v>1169</v>
      </c>
      <c r="E362" s="3" t="s">
        <v>1170</v>
      </c>
      <c r="F362" s="3" t="s">
        <v>1060</v>
      </c>
      <c r="G362" s="3" t="s">
        <v>1061</v>
      </c>
      <c r="H362" s="4">
        <v>2.0</v>
      </c>
      <c r="I362" s="4">
        <v>2.0</v>
      </c>
      <c r="J362" s="3"/>
      <c r="K362" s="3" t="s">
        <v>1173</v>
      </c>
      <c r="L362" s="3" t="s">
        <v>1172</v>
      </c>
      <c r="M362" s="3" t="s">
        <v>22</v>
      </c>
      <c r="N362" s="5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14</v>
      </c>
      <c r="B363" s="3" t="s">
        <v>1174</v>
      </c>
      <c r="C363" s="3" t="s">
        <v>1175</v>
      </c>
      <c r="D363" s="3" t="s">
        <v>1176</v>
      </c>
      <c r="E363" s="3" t="s">
        <v>1177</v>
      </c>
      <c r="F363" s="3" t="s">
        <v>88</v>
      </c>
      <c r="G363" s="3" t="s">
        <v>908</v>
      </c>
      <c r="H363" s="4">
        <v>1.0</v>
      </c>
      <c r="I363" s="4">
        <v>1.0</v>
      </c>
      <c r="J363" s="3"/>
      <c r="K363" s="3" t="s">
        <v>1178</v>
      </c>
      <c r="L363" s="3" t="s">
        <v>1179</v>
      </c>
      <c r="M363" s="3" t="s">
        <v>22</v>
      </c>
      <c r="N363" s="5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14</v>
      </c>
      <c r="B364" s="3" t="s">
        <v>1174</v>
      </c>
      <c r="C364" s="3" t="s">
        <v>1175</v>
      </c>
      <c r="D364" s="3" t="s">
        <v>1176</v>
      </c>
      <c r="E364" s="3" t="s">
        <v>1177</v>
      </c>
      <c r="F364" s="3" t="s">
        <v>1180</v>
      </c>
      <c r="G364" s="3" t="s">
        <v>1181</v>
      </c>
      <c r="H364" s="4">
        <v>2.0</v>
      </c>
      <c r="I364" s="4">
        <v>2.0</v>
      </c>
      <c r="J364" s="3"/>
      <c r="K364" s="3" t="s">
        <v>1178</v>
      </c>
      <c r="L364" s="3" t="s">
        <v>1179</v>
      </c>
      <c r="M364" s="3" t="s">
        <v>22</v>
      </c>
      <c r="N364" s="5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14</v>
      </c>
      <c r="B365" s="3" t="s">
        <v>1182</v>
      </c>
      <c r="C365" s="3" t="s">
        <v>1183</v>
      </c>
      <c r="D365" s="3" t="s">
        <v>1184</v>
      </c>
      <c r="E365" s="3" t="s">
        <v>1185</v>
      </c>
      <c r="F365" s="3" t="s">
        <v>1186</v>
      </c>
      <c r="G365" s="3" t="s">
        <v>1186</v>
      </c>
      <c r="H365" s="4">
        <v>1.0</v>
      </c>
      <c r="I365" s="4">
        <v>1.0</v>
      </c>
      <c r="J365" s="3"/>
      <c r="K365" s="3" t="s">
        <v>1187</v>
      </c>
      <c r="L365" s="3" t="s">
        <v>1188</v>
      </c>
      <c r="M365" s="3" t="s">
        <v>22</v>
      </c>
      <c r="N365" s="5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14</v>
      </c>
      <c r="B366" s="3" t="s">
        <v>1182</v>
      </c>
      <c r="C366" s="3" t="s">
        <v>1183</v>
      </c>
      <c r="D366" s="3" t="s">
        <v>1184</v>
      </c>
      <c r="E366" s="3" t="s">
        <v>1185</v>
      </c>
      <c r="F366" s="3" t="s">
        <v>131</v>
      </c>
      <c r="G366" s="3" t="s">
        <v>132</v>
      </c>
      <c r="H366" s="4">
        <v>2.0</v>
      </c>
      <c r="I366" s="4">
        <v>2.0</v>
      </c>
      <c r="J366" s="3"/>
      <c r="K366" s="3" t="s">
        <v>1187</v>
      </c>
      <c r="L366" s="3" t="s">
        <v>1188</v>
      </c>
      <c r="M366" s="3" t="s">
        <v>22</v>
      </c>
      <c r="N366" s="5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14</v>
      </c>
      <c r="B367" s="3" t="s">
        <v>1189</v>
      </c>
      <c r="C367" s="3" t="s">
        <v>1190</v>
      </c>
      <c r="D367" s="3" t="s">
        <v>1191</v>
      </c>
      <c r="E367" s="3" t="s">
        <v>1192</v>
      </c>
      <c r="F367" s="3" t="s">
        <v>36</v>
      </c>
      <c r="G367" s="3" t="s">
        <v>301</v>
      </c>
      <c r="H367" s="4" t="s">
        <v>36</v>
      </c>
      <c r="I367" s="4">
        <v>1.0</v>
      </c>
      <c r="J367" s="3" t="s">
        <v>80</v>
      </c>
      <c r="K367" s="3" t="s">
        <v>1193</v>
      </c>
      <c r="L367" s="3" t="s">
        <v>1194</v>
      </c>
      <c r="M367" s="3" t="s">
        <v>22</v>
      </c>
      <c r="N367" s="5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14</v>
      </c>
      <c r="B368" s="3" t="s">
        <v>1189</v>
      </c>
      <c r="C368" s="3" t="s">
        <v>1190</v>
      </c>
      <c r="D368" s="3" t="s">
        <v>1191</v>
      </c>
      <c r="E368" s="3" t="s">
        <v>1192</v>
      </c>
      <c r="F368" s="3" t="s">
        <v>88</v>
      </c>
      <c r="G368" s="3" t="s">
        <v>1195</v>
      </c>
      <c r="H368" s="4">
        <v>1.0</v>
      </c>
      <c r="I368" s="4">
        <v>2.0</v>
      </c>
      <c r="J368" s="3"/>
      <c r="K368" s="3" t="s">
        <v>1193</v>
      </c>
      <c r="L368" s="3" t="s">
        <v>1194</v>
      </c>
      <c r="M368" s="3" t="s">
        <v>22</v>
      </c>
      <c r="N368" s="5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14</v>
      </c>
      <c r="B369" s="3" t="s">
        <v>1189</v>
      </c>
      <c r="C369" s="3" t="s">
        <v>1190</v>
      </c>
      <c r="D369" s="3" t="s">
        <v>1191</v>
      </c>
      <c r="E369" s="3" t="s">
        <v>1192</v>
      </c>
      <c r="F369" s="3" t="s">
        <v>629</v>
      </c>
      <c r="G369" s="3" t="s">
        <v>630</v>
      </c>
      <c r="H369" s="4">
        <v>2.0</v>
      </c>
      <c r="I369" s="4">
        <v>3.0</v>
      </c>
      <c r="J369" s="3"/>
      <c r="K369" s="3" t="s">
        <v>1193</v>
      </c>
      <c r="L369" s="3" t="s">
        <v>1194</v>
      </c>
      <c r="M369" s="3" t="s">
        <v>22</v>
      </c>
      <c r="N369" s="5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14</v>
      </c>
      <c r="B370" s="3" t="s">
        <v>1196</v>
      </c>
      <c r="C370" s="3" t="s">
        <v>1197</v>
      </c>
      <c r="D370" s="3" t="s">
        <v>1198</v>
      </c>
      <c r="E370" s="3" t="s">
        <v>1199</v>
      </c>
      <c r="F370" s="3" t="s">
        <v>1200</v>
      </c>
      <c r="G370" s="3" t="s">
        <v>1201</v>
      </c>
      <c r="H370" s="4">
        <v>1.0</v>
      </c>
      <c r="I370" s="4">
        <v>1.0</v>
      </c>
      <c r="J370" s="3"/>
      <c r="K370" s="3" t="s">
        <v>1202</v>
      </c>
      <c r="L370" s="3" t="s">
        <v>1203</v>
      </c>
      <c r="M370" s="3" t="s">
        <v>22</v>
      </c>
      <c r="N370" s="5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14</v>
      </c>
      <c r="B371" s="3" t="s">
        <v>1196</v>
      </c>
      <c r="C371" s="3" t="s">
        <v>1197</v>
      </c>
      <c r="D371" s="3" t="s">
        <v>1198</v>
      </c>
      <c r="E371" s="3" t="s">
        <v>1199</v>
      </c>
      <c r="F371" s="3" t="s">
        <v>629</v>
      </c>
      <c r="G371" s="3" t="s">
        <v>630</v>
      </c>
      <c r="H371" s="4">
        <v>2.0</v>
      </c>
      <c r="I371" s="4">
        <v>2.0</v>
      </c>
      <c r="J371" s="3"/>
      <c r="K371" s="3" t="s">
        <v>1202</v>
      </c>
      <c r="L371" s="3" t="s">
        <v>1203</v>
      </c>
      <c r="M371" s="3" t="s">
        <v>22</v>
      </c>
      <c r="N371" s="5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14</v>
      </c>
      <c r="B372" s="3" t="s">
        <v>1204</v>
      </c>
      <c r="C372" s="3" t="s">
        <v>1205</v>
      </c>
      <c r="D372" s="3" t="s">
        <v>1206</v>
      </c>
      <c r="E372" s="3" t="s">
        <v>1207</v>
      </c>
      <c r="F372" s="3" t="s">
        <v>36</v>
      </c>
      <c r="G372" s="3" t="s">
        <v>334</v>
      </c>
      <c r="H372" s="4" t="s">
        <v>36</v>
      </c>
      <c r="I372" s="4">
        <v>1.0</v>
      </c>
      <c r="J372" s="3"/>
      <c r="K372" s="3" t="s">
        <v>1208</v>
      </c>
      <c r="L372" s="3" t="s">
        <v>1209</v>
      </c>
      <c r="M372" s="3" t="s">
        <v>22</v>
      </c>
      <c r="N372" s="5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14</v>
      </c>
      <c r="B373" s="3" t="s">
        <v>1204</v>
      </c>
      <c r="C373" s="3" t="s">
        <v>1205</v>
      </c>
      <c r="D373" s="3" t="s">
        <v>1206</v>
      </c>
      <c r="E373" s="3" t="s">
        <v>1207</v>
      </c>
      <c r="F373" s="3" t="s">
        <v>1210</v>
      </c>
      <c r="G373" s="3" t="s">
        <v>1210</v>
      </c>
      <c r="H373" s="4">
        <v>1.0</v>
      </c>
      <c r="I373" s="4">
        <v>2.0</v>
      </c>
      <c r="J373" s="3"/>
      <c r="K373" s="3" t="s">
        <v>1208</v>
      </c>
      <c r="L373" s="3" t="s">
        <v>1209</v>
      </c>
      <c r="M373" s="3" t="s">
        <v>22</v>
      </c>
      <c r="N373" s="5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14</v>
      </c>
      <c r="B374" s="3" t="s">
        <v>1204</v>
      </c>
      <c r="C374" s="3" t="s">
        <v>1205</v>
      </c>
      <c r="D374" s="3" t="s">
        <v>1206</v>
      </c>
      <c r="E374" s="3" t="s">
        <v>1207</v>
      </c>
      <c r="F374" s="3" t="s">
        <v>451</v>
      </c>
      <c r="G374" s="3" t="s">
        <v>1211</v>
      </c>
      <c r="H374" s="4">
        <v>2.0</v>
      </c>
      <c r="I374" s="4">
        <v>3.0</v>
      </c>
      <c r="J374" s="3"/>
      <c r="K374" s="3" t="s">
        <v>1208</v>
      </c>
      <c r="L374" s="3" t="s">
        <v>1209</v>
      </c>
      <c r="M374" s="3" t="s">
        <v>22</v>
      </c>
      <c r="N374" s="5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3" t="s">
        <v>14</v>
      </c>
      <c r="B375" s="3" t="s">
        <v>1212</v>
      </c>
      <c r="C375" s="3" t="s">
        <v>1213</v>
      </c>
      <c r="D375" s="3" t="s">
        <v>1214</v>
      </c>
      <c r="E375" s="3" t="s">
        <v>1215</v>
      </c>
      <c r="F375" s="3" t="s">
        <v>1216</v>
      </c>
      <c r="G375" s="3" t="s">
        <v>1217</v>
      </c>
      <c r="H375" s="4">
        <v>1.0</v>
      </c>
      <c r="I375" s="4">
        <v>1.0</v>
      </c>
      <c r="J375" s="3"/>
      <c r="K375" s="3" t="s">
        <v>1218</v>
      </c>
      <c r="L375" s="3" t="s">
        <v>1219</v>
      </c>
      <c r="M375" s="3" t="s">
        <v>22</v>
      </c>
      <c r="N375" s="5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14</v>
      </c>
      <c r="B376" s="3" t="s">
        <v>1212</v>
      </c>
      <c r="C376" s="3" t="s">
        <v>1213</v>
      </c>
      <c r="D376" s="3" t="s">
        <v>1214</v>
      </c>
      <c r="E376" s="3" t="s">
        <v>1215</v>
      </c>
      <c r="F376" s="3" t="s">
        <v>1075</v>
      </c>
      <c r="G376" s="3" t="s">
        <v>1076</v>
      </c>
      <c r="H376" s="4">
        <v>2.0</v>
      </c>
      <c r="I376" s="4">
        <v>2.0</v>
      </c>
      <c r="J376" s="3"/>
      <c r="K376" s="3" t="s">
        <v>1218</v>
      </c>
      <c r="L376" s="3" t="s">
        <v>1219</v>
      </c>
      <c r="M376" s="3" t="s">
        <v>22</v>
      </c>
      <c r="N376" s="5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14</v>
      </c>
      <c r="B377" s="3" t="s">
        <v>1220</v>
      </c>
      <c r="C377" s="3" t="s">
        <v>1221</v>
      </c>
      <c r="D377" s="3" t="s">
        <v>1222</v>
      </c>
      <c r="E377" s="3" t="s">
        <v>1223</v>
      </c>
      <c r="F377" s="3" t="s">
        <v>352</v>
      </c>
      <c r="G377" s="3" t="s">
        <v>1224</v>
      </c>
      <c r="H377" s="4">
        <v>1.0</v>
      </c>
      <c r="I377" s="4">
        <v>1.0</v>
      </c>
      <c r="J377" s="3"/>
      <c r="K377" s="3" t="s">
        <v>1225</v>
      </c>
      <c r="L377" s="3" t="s">
        <v>1226</v>
      </c>
      <c r="M377" s="3" t="s">
        <v>22</v>
      </c>
      <c r="N377" s="3" t="s">
        <v>418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14</v>
      </c>
      <c r="B378" s="3" t="s">
        <v>1220</v>
      </c>
      <c r="C378" s="3" t="s">
        <v>1221</v>
      </c>
      <c r="D378" s="3" t="s">
        <v>1222</v>
      </c>
      <c r="E378" s="3" t="s">
        <v>1223</v>
      </c>
      <c r="F378" s="3" t="s">
        <v>915</v>
      </c>
      <c r="G378" s="3" t="s">
        <v>1076</v>
      </c>
      <c r="H378" s="4">
        <v>2.0</v>
      </c>
      <c r="I378" s="4">
        <v>2.0</v>
      </c>
      <c r="J378" s="3"/>
      <c r="K378" s="3" t="s">
        <v>1225</v>
      </c>
      <c r="L378" s="3" t="s">
        <v>1226</v>
      </c>
      <c r="M378" s="3" t="s">
        <v>22</v>
      </c>
      <c r="N378" s="3" t="s">
        <v>418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14</v>
      </c>
      <c r="B379" s="3" t="s">
        <v>1227</v>
      </c>
      <c r="C379" s="3" t="s">
        <v>1228</v>
      </c>
      <c r="D379" s="3" t="s">
        <v>1229</v>
      </c>
      <c r="E379" s="3" t="s">
        <v>1230</v>
      </c>
      <c r="F379" s="3" t="s">
        <v>1231</v>
      </c>
      <c r="G379" s="3" t="s">
        <v>301</v>
      </c>
      <c r="H379" s="4">
        <v>1.0</v>
      </c>
      <c r="I379" s="4">
        <v>1.0</v>
      </c>
      <c r="J379" s="3" t="s">
        <v>80</v>
      </c>
      <c r="K379" s="3" t="s">
        <v>1232</v>
      </c>
      <c r="L379" s="3" t="s">
        <v>1233</v>
      </c>
      <c r="M379" s="3" t="s">
        <v>22</v>
      </c>
      <c r="N379" s="5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14</v>
      </c>
      <c r="B380" s="3" t="s">
        <v>1227</v>
      </c>
      <c r="C380" s="3" t="s">
        <v>1228</v>
      </c>
      <c r="D380" s="3" t="s">
        <v>1229</v>
      </c>
      <c r="E380" s="3" t="s">
        <v>1230</v>
      </c>
      <c r="F380" s="3" t="s">
        <v>36</v>
      </c>
      <c r="G380" s="3" t="s">
        <v>1234</v>
      </c>
      <c r="H380" s="4" t="s">
        <v>36</v>
      </c>
      <c r="I380" s="4">
        <v>2.0</v>
      </c>
      <c r="J380" s="3"/>
      <c r="K380" s="3" t="s">
        <v>1232</v>
      </c>
      <c r="L380" s="3" t="s">
        <v>1233</v>
      </c>
      <c r="M380" s="3" t="s">
        <v>22</v>
      </c>
      <c r="N380" s="5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14</v>
      </c>
      <c r="B381" s="3" t="s">
        <v>1227</v>
      </c>
      <c r="C381" s="3" t="s">
        <v>1228</v>
      </c>
      <c r="D381" s="3" t="s">
        <v>1229</v>
      </c>
      <c r="E381" s="3" t="s">
        <v>1230</v>
      </c>
      <c r="F381" s="3" t="s">
        <v>1118</v>
      </c>
      <c r="G381" s="3" t="s">
        <v>1235</v>
      </c>
      <c r="H381" s="4">
        <v>2.0</v>
      </c>
      <c r="I381" s="4">
        <v>3.0</v>
      </c>
      <c r="J381" s="3"/>
      <c r="K381" s="3" t="s">
        <v>1232</v>
      </c>
      <c r="L381" s="3" t="s">
        <v>1233</v>
      </c>
      <c r="M381" s="3" t="s">
        <v>22</v>
      </c>
      <c r="N381" s="5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14</v>
      </c>
      <c r="B382" s="3" t="s">
        <v>1236</v>
      </c>
      <c r="C382" s="3" t="s">
        <v>1237</v>
      </c>
      <c r="D382" s="3" t="s">
        <v>1238</v>
      </c>
      <c r="E382" s="3" t="s">
        <v>1239</v>
      </c>
      <c r="F382" s="3"/>
      <c r="G382" s="3"/>
      <c r="H382" s="4"/>
      <c r="I382" s="4"/>
      <c r="J382" s="3"/>
      <c r="K382" s="3" t="s">
        <v>1240</v>
      </c>
      <c r="L382" s="3" t="s">
        <v>1241</v>
      </c>
      <c r="M382" s="3" t="s">
        <v>22</v>
      </c>
      <c r="N382" s="3" t="s">
        <v>560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14</v>
      </c>
      <c r="B383" s="3" t="s">
        <v>1242</v>
      </c>
      <c r="C383" s="3" t="s">
        <v>1243</v>
      </c>
      <c r="D383" s="3" t="s">
        <v>1244</v>
      </c>
      <c r="E383" s="3" t="s">
        <v>1245</v>
      </c>
      <c r="F383" s="3" t="s">
        <v>36</v>
      </c>
      <c r="G383" s="3" t="s">
        <v>49</v>
      </c>
      <c r="H383" s="4" t="s">
        <v>36</v>
      </c>
      <c r="I383" s="4">
        <v>1.0</v>
      </c>
      <c r="J383" s="3" t="s">
        <v>80</v>
      </c>
      <c r="K383" s="3" t="s">
        <v>1246</v>
      </c>
      <c r="L383" s="3" t="s">
        <v>1247</v>
      </c>
      <c r="M383" s="3" t="s">
        <v>22</v>
      </c>
      <c r="N383" s="5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14</v>
      </c>
      <c r="B384" s="3" t="s">
        <v>1242</v>
      </c>
      <c r="C384" s="3" t="s">
        <v>1243</v>
      </c>
      <c r="D384" s="3" t="s">
        <v>1244</v>
      </c>
      <c r="E384" s="3" t="s">
        <v>1245</v>
      </c>
      <c r="F384" s="3" t="s">
        <v>108</v>
      </c>
      <c r="G384" s="3" t="s">
        <v>175</v>
      </c>
      <c r="H384" s="4">
        <v>1.0</v>
      </c>
      <c r="I384" s="4">
        <v>2.0</v>
      </c>
      <c r="J384" s="3"/>
      <c r="K384" s="3" t="s">
        <v>1246</v>
      </c>
      <c r="L384" s="3" t="s">
        <v>1247</v>
      </c>
      <c r="M384" s="3" t="s">
        <v>22</v>
      </c>
      <c r="N384" s="5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14</v>
      </c>
      <c r="B385" s="3" t="s">
        <v>1242</v>
      </c>
      <c r="C385" s="3" t="s">
        <v>1243</v>
      </c>
      <c r="D385" s="3" t="s">
        <v>1244</v>
      </c>
      <c r="E385" s="3" t="s">
        <v>1245</v>
      </c>
      <c r="F385" s="3" t="s">
        <v>1248</v>
      </c>
      <c r="G385" s="3" t="s">
        <v>1249</v>
      </c>
      <c r="H385" s="4">
        <v>2.0</v>
      </c>
      <c r="I385" s="4">
        <v>3.0</v>
      </c>
      <c r="J385" s="3"/>
      <c r="K385" s="3" t="s">
        <v>1246</v>
      </c>
      <c r="L385" s="3" t="s">
        <v>1247</v>
      </c>
      <c r="M385" s="3" t="s">
        <v>22</v>
      </c>
      <c r="N385" s="5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14</v>
      </c>
      <c r="B386" s="3" t="s">
        <v>1250</v>
      </c>
      <c r="C386" s="3" t="s">
        <v>1251</v>
      </c>
      <c r="D386" s="3" t="s">
        <v>1252</v>
      </c>
      <c r="E386" s="3" t="s">
        <v>1253</v>
      </c>
      <c r="F386" s="3" t="s">
        <v>1254</v>
      </c>
      <c r="G386" s="3" t="s">
        <v>1254</v>
      </c>
      <c r="H386" s="4">
        <v>1.0</v>
      </c>
      <c r="I386" s="4">
        <v>1.0</v>
      </c>
      <c r="J386" s="3"/>
      <c r="K386" s="3" t="s">
        <v>1255</v>
      </c>
      <c r="L386" s="3" t="s">
        <v>1256</v>
      </c>
      <c r="M386" s="3" t="s">
        <v>22</v>
      </c>
      <c r="N386" s="5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14</v>
      </c>
      <c r="B387" s="3" t="s">
        <v>1250</v>
      </c>
      <c r="C387" s="3" t="s">
        <v>1251</v>
      </c>
      <c r="D387" s="3" t="s">
        <v>1252</v>
      </c>
      <c r="E387" s="3" t="s">
        <v>1253</v>
      </c>
      <c r="F387" s="3" t="s">
        <v>1075</v>
      </c>
      <c r="G387" s="3" t="s">
        <v>1076</v>
      </c>
      <c r="H387" s="4">
        <v>2.0</v>
      </c>
      <c r="I387" s="4">
        <v>2.0</v>
      </c>
      <c r="J387" s="3"/>
      <c r="K387" s="3" t="s">
        <v>1255</v>
      </c>
      <c r="L387" s="3" t="s">
        <v>1256</v>
      </c>
      <c r="M387" s="3" t="s">
        <v>22</v>
      </c>
      <c r="N387" s="5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14</v>
      </c>
      <c r="B388" s="3" t="s">
        <v>1257</v>
      </c>
      <c r="C388" s="3" t="s">
        <v>1258</v>
      </c>
      <c r="D388" s="3" t="s">
        <v>1259</v>
      </c>
      <c r="E388" s="3" t="s">
        <v>1260</v>
      </c>
      <c r="F388" s="3" t="s">
        <v>108</v>
      </c>
      <c r="G388" s="3" t="s">
        <v>175</v>
      </c>
      <c r="H388" s="4">
        <v>1.0</v>
      </c>
      <c r="I388" s="4">
        <v>1.0</v>
      </c>
      <c r="J388" s="3"/>
      <c r="K388" s="3" t="s">
        <v>1261</v>
      </c>
      <c r="L388" s="3" t="s">
        <v>1262</v>
      </c>
      <c r="M388" s="3" t="s">
        <v>22</v>
      </c>
      <c r="N388" s="5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14</v>
      </c>
      <c r="B389" s="3" t="s">
        <v>1257</v>
      </c>
      <c r="C389" s="3" t="s">
        <v>1258</v>
      </c>
      <c r="D389" s="3" t="s">
        <v>1259</v>
      </c>
      <c r="E389" s="3" t="s">
        <v>1260</v>
      </c>
      <c r="F389" s="3" t="s">
        <v>1060</v>
      </c>
      <c r="G389" s="3" t="s">
        <v>1263</v>
      </c>
      <c r="H389" s="4">
        <v>2.0</v>
      </c>
      <c r="I389" s="4">
        <v>2.0</v>
      </c>
      <c r="J389" s="3"/>
      <c r="K389" s="3" t="s">
        <v>1261</v>
      </c>
      <c r="L389" s="3" t="s">
        <v>1262</v>
      </c>
      <c r="M389" s="3" t="s">
        <v>22</v>
      </c>
      <c r="N389" s="5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14</v>
      </c>
      <c r="B390" s="3" t="s">
        <v>1264</v>
      </c>
      <c r="C390" s="3" t="s">
        <v>1265</v>
      </c>
      <c r="D390" s="3" t="s">
        <v>1266</v>
      </c>
      <c r="E390" s="3" t="s">
        <v>1267</v>
      </c>
      <c r="F390" s="3" t="s">
        <v>1268</v>
      </c>
      <c r="G390" s="3" t="s">
        <v>1269</v>
      </c>
      <c r="H390" s="4">
        <v>1.0</v>
      </c>
      <c r="I390" s="4">
        <v>1.0</v>
      </c>
      <c r="J390" s="3"/>
      <c r="K390" s="3" t="s">
        <v>1270</v>
      </c>
      <c r="L390" s="3" t="s">
        <v>1271</v>
      </c>
      <c r="M390" s="3" t="s">
        <v>22</v>
      </c>
      <c r="N390" s="5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14</v>
      </c>
      <c r="B391" s="3" t="s">
        <v>1264</v>
      </c>
      <c r="C391" s="3" t="s">
        <v>1265</v>
      </c>
      <c r="D391" s="3" t="s">
        <v>1266</v>
      </c>
      <c r="E391" s="3" t="s">
        <v>1267</v>
      </c>
      <c r="F391" s="3" t="s">
        <v>1248</v>
      </c>
      <c r="G391" s="3" t="s">
        <v>1272</v>
      </c>
      <c r="H391" s="4">
        <v>2.0</v>
      </c>
      <c r="I391" s="4">
        <v>2.0</v>
      </c>
      <c r="J391" s="3"/>
      <c r="K391" s="3" t="s">
        <v>1270</v>
      </c>
      <c r="L391" s="3" t="s">
        <v>1271</v>
      </c>
      <c r="M391" s="3" t="s">
        <v>22</v>
      </c>
      <c r="N391" s="5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14</v>
      </c>
      <c r="B392" s="3" t="s">
        <v>1273</v>
      </c>
      <c r="C392" s="3" t="s">
        <v>1274</v>
      </c>
      <c r="D392" s="3" t="s">
        <v>1273</v>
      </c>
      <c r="E392" s="3" t="s">
        <v>1274</v>
      </c>
      <c r="F392" s="3" t="s">
        <v>1273</v>
      </c>
      <c r="G392" s="3" t="s">
        <v>1274</v>
      </c>
      <c r="H392" s="4">
        <v>1.0</v>
      </c>
      <c r="I392" s="4">
        <v>1.0</v>
      </c>
      <c r="J392" s="3"/>
      <c r="K392" s="3" t="s">
        <v>1275</v>
      </c>
      <c r="L392" s="3" t="s">
        <v>1276</v>
      </c>
      <c r="M392" s="3" t="s">
        <v>22</v>
      </c>
      <c r="N392" s="5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14</v>
      </c>
      <c r="B393" s="3" t="s">
        <v>1277</v>
      </c>
      <c r="C393" s="3" t="s">
        <v>1278</v>
      </c>
      <c r="D393" s="3" t="s">
        <v>1279</v>
      </c>
      <c r="E393" s="3" t="s">
        <v>1280</v>
      </c>
      <c r="F393" s="3" t="s">
        <v>1268</v>
      </c>
      <c r="G393" s="3" t="s">
        <v>1281</v>
      </c>
      <c r="H393" s="4">
        <v>1.0</v>
      </c>
      <c r="I393" s="4">
        <v>1.0</v>
      </c>
      <c r="J393" s="3"/>
      <c r="K393" s="3" t="s">
        <v>1282</v>
      </c>
      <c r="L393" s="3" t="s">
        <v>1283</v>
      </c>
      <c r="M393" s="3" t="s">
        <v>22</v>
      </c>
      <c r="N393" s="5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14</v>
      </c>
      <c r="B394" s="3" t="s">
        <v>1277</v>
      </c>
      <c r="C394" s="3" t="s">
        <v>1278</v>
      </c>
      <c r="D394" s="3" t="s">
        <v>1279</v>
      </c>
      <c r="E394" s="3" t="s">
        <v>1280</v>
      </c>
      <c r="F394" s="3" t="s">
        <v>451</v>
      </c>
      <c r="G394" s="3" t="s">
        <v>1211</v>
      </c>
      <c r="H394" s="4">
        <v>2.0</v>
      </c>
      <c r="I394" s="4">
        <v>2.0</v>
      </c>
      <c r="J394" s="3"/>
      <c r="K394" s="3" t="s">
        <v>1282</v>
      </c>
      <c r="L394" s="3" t="s">
        <v>1283</v>
      </c>
      <c r="M394" s="3" t="s">
        <v>22</v>
      </c>
      <c r="N394" s="5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14</v>
      </c>
      <c r="B395" s="3" t="s">
        <v>1284</v>
      </c>
      <c r="C395" s="3" t="s">
        <v>1285</v>
      </c>
      <c r="D395" s="3" t="s">
        <v>1286</v>
      </c>
      <c r="E395" s="3" t="s">
        <v>1287</v>
      </c>
      <c r="F395" s="3" t="s">
        <v>36</v>
      </c>
      <c r="G395" s="3" t="s">
        <v>301</v>
      </c>
      <c r="H395" s="4" t="s">
        <v>36</v>
      </c>
      <c r="I395" s="4">
        <v>1.0</v>
      </c>
      <c r="J395" s="3"/>
      <c r="K395" s="3" t="s">
        <v>1288</v>
      </c>
      <c r="L395" s="3" t="s">
        <v>1289</v>
      </c>
      <c r="M395" s="3" t="s">
        <v>22</v>
      </c>
      <c r="N395" s="5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14</v>
      </c>
      <c r="B396" s="3" t="s">
        <v>1284</v>
      </c>
      <c r="C396" s="3" t="s">
        <v>1285</v>
      </c>
      <c r="D396" s="3" t="s">
        <v>1286</v>
      </c>
      <c r="E396" s="3" t="s">
        <v>1287</v>
      </c>
      <c r="F396" s="3" t="s">
        <v>1290</v>
      </c>
      <c r="G396" s="3" t="s">
        <v>1291</v>
      </c>
      <c r="H396" s="4">
        <v>1.0</v>
      </c>
      <c r="I396" s="4">
        <v>2.0</v>
      </c>
      <c r="J396" s="3"/>
      <c r="K396" s="3" t="s">
        <v>1288</v>
      </c>
      <c r="L396" s="3" t="s">
        <v>1289</v>
      </c>
      <c r="M396" s="3" t="s">
        <v>22</v>
      </c>
      <c r="N396" s="5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14</v>
      </c>
      <c r="B397" s="3" t="s">
        <v>1284</v>
      </c>
      <c r="C397" s="3" t="s">
        <v>1285</v>
      </c>
      <c r="D397" s="3" t="s">
        <v>1286</v>
      </c>
      <c r="E397" s="3" t="s">
        <v>1287</v>
      </c>
      <c r="F397" s="3" t="s">
        <v>1075</v>
      </c>
      <c r="G397" s="3" t="s">
        <v>1076</v>
      </c>
      <c r="H397" s="4">
        <v>2.0</v>
      </c>
      <c r="I397" s="4">
        <v>3.0</v>
      </c>
      <c r="J397" s="3"/>
      <c r="K397" s="3" t="s">
        <v>1288</v>
      </c>
      <c r="L397" s="3" t="s">
        <v>1289</v>
      </c>
      <c r="M397" s="3" t="s">
        <v>22</v>
      </c>
      <c r="N397" s="5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14</v>
      </c>
      <c r="B398" s="3" t="s">
        <v>1292</v>
      </c>
      <c r="C398" s="3" t="s">
        <v>1293</v>
      </c>
      <c r="D398" s="3" t="s">
        <v>1294</v>
      </c>
      <c r="E398" s="3" t="s">
        <v>1295</v>
      </c>
      <c r="F398" s="3" t="s">
        <v>36</v>
      </c>
      <c r="G398" s="3" t="s">
        <v>301</v>
      </c>
      <c r="H398" s="4" t="s">
        <v>36</v>
      </c>
      <c r="I398" s="4">
        <v>1.0</v>
      </c>
      <c r="J398" s="3"/>
      <c r="K398" s="3" t="s">
        <v>1296</v>
      </c>
      <c r="L398" s="3" t="s">
        <v>1297</v>
      </c>
      <c r="M398" s="3" t="s">
        <v>22</v>
      </c>
      <c r="N398" s="5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14</v>
      </c>
      <c r="B399" s="3" t="s">
        <v>1292</v>
      </c>
      <c r="C399" s="3" t="s">
        <v>1293</v>
      </c>
      <c r="D399" s="3" t="s">
        <v>1294</v>
      </c>
      <c r="E399" s="3" t="s">
        <v>1295</v>
      </c>
      <c r="F399" s="3" t="s">
        <v>1298</v>
      </c>
      <c r="G399" s="3" t="s">
        <v>1269</v>
      </c>
      <c r="H399" s="4">
        <v>1.0</v>
      </c>
      <c r="I399" s="4">
        <v>2.0</v>
      </c>
      <c r="J399" s="3"/>
      <c r="K399" s="3" t="s">
        <v>1296</v>
      </c>
      <c r="L399" s="3" t="s">
        <v>1297</v>
      </c>
      <c r="M399" s="3" t="s">
        <v>22</v>
      </c>
      <c r="N399" s="5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14</v>
      </c>
      <c r="B400" s="3" t="s">
        <v>1292</v>
      </c>
      <c r="C400" s="3" t="s">
        <v>1293</v>
      </c>
      <c r="D400" s="3" t="s">
        <v>1294</v>
      </c>
      <c r="E400" s="3" t="s">
        <v>1295</v>
      </c>
      <c r="F400" s="3" t="s">
        <v>615</v>
      </c>
      <c r="G400" s="3" t="s">
        <v>1299</v>
      </c>
      <c r="H400" s="4">
        <v>2.0</v>
      </c>
      <c r="I400" s="4">
        <v>3.0</v>
      </c>
      <c r="J400" s="3"/>
      <c r="K400" s="3" t="s">
        <v>1296</v>
      </c>
      <c r="L400" s="3" t="s">
        <v>1297</v>
      </c>
      <c r="M400" s="3" t="s">
        <v>22</v>
      </c>
      <c r="N400" s="5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14</v>
      </c>
      <c r="B401" s="3" t="s">
        <v>1300</v>
      </c>
      <c r="C401" s="3" t="s">
        <v>1301</v>
      </c>
      <c r="D401" s="3" t="s">
        <v>1300</v>
      </c>
      <c r="E401" s="3" t="s">
        <v>1302</v>
      </c>
      <c r="F401" s="3" t="s">
        <v>1300</v>
      </c>
      <c r="G401" s="3" t="s">
        <v>175</v>
      </c>
      <c r="H401" s="4">
        <v>1.0</v>
      </c>
      <c r="I401" s="4">
        <v>1.0</v>
      </c>
      <c r="J401" s="3" t="s">
        <v>80</v>
      </c>
      <c r="K401" s="3" t="s">
        <v>1303</v>
      </c>
      <c r="L401" s="3" t="s">
        <v>1304</v>
      </c>
      <c r="M401" s="3" t="s">
        <v>22</v>
      </c>
      <c r="N401" s="5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14</v>
      </c>
      <c r="B402" s="3" t="s">
        <v>1300</v>
      </c>
      <c r="C402" s="3" t="s">
        <v>1301</v>
      </c>
      <c r="D402" s="3" t="s">
        <v>1300</v>
      </c>
      <c r="E402" s="3" t="s">
        <v>1302</v>
      </c>
      <c r="F402" s="3" t="s">
        <v>36</v>
      </c>
      <c r="G402" s="3" t="s">
        <v>1305</v>
      </c>
      <c r="H402" s="4" t="s">
        <v>36</v>
      </c>
      <c r="I402" s="4">
        <v>2.0</v>
      </c>
      <c r="J402" s="3"/>
      <c r="K402" s="3" t="s">
        <v>1303</v>
      </c>
      <c r="L402" s="3" t="s">
        <v>1304</v>
      </c>
      <c r="M402" s="3" t="s">
        <v>22</v>
      </c>
      <c r="N402" s="5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14</v>
      </c>
      <c r="B403" s="3" t="s">
        <v>1306</v>
      </c>
      <c r="C403" s="3" t="s">
        <v>1307</v>
      </c>
      <c r="D403" s="3" t="s">
        <v>1308</v>
      </c>
      <c r="E403" s="3" t="s">
        <v>1309</v>
      </c>
      <c r="F403" s="3" t="s">
        <v>108</v>
      </c>
      <c r="G403" s="3" t="s">
        <v>175</v>
      </c>
      <c r="H403" s="4">
        <v>1.0</v>
      </c>
      <c r="I403" s="4">
        <v>1.0</v>
      </c>
      <c r="J403" s="3" t="s">
        <v>80</v>
      </c>
      <c r="K403" s="3" t="s">
        <v>1310</v>
      </c>
      <c r="L403" s="3" t="s">
        <v>1311</v>
      </c>
      <c r="M403" s="3" t="s">
        <v>22</v>
      </c>
      <c r="N403" s="5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14</v>
      </c>
      <c r="B404" s="3" t="s">
        <v>1306</v>
      </c>
      <c r="C404" s="3" t="s">
        <v>1307</v>
      </c>
      <c r="D404" s="3" t="s">
        <v>1308</v>
      </c>
      <c r="E404" s="3" t="s">
        <v>1309</v>
      </c>
      <c r="F404" s="3" t="s">
        <v>36</v>
      </c>
      <c r="G404" s="3" t="s">
        <v>1137</v>
      </c>
      <c r="H404" s="4" t="s">
        <v>36</v>
      </c>
      <c r="I404" s="4">
        <v>2.0</v>
      </c>
      <c r="J404" s="3"/>
      <c r="K404" s="3" t="s">
        <v>1310</v>
      </c>
      <c r="L404" s="3" t="s">
        <v>1311</v>
      </c>
      <c r="M404" s="3" t="s">
        <v>22</v>
      </c>
      <c r="N404" s="5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14</v>
      </c>
      <c r="B405" s="3" t="s">
        <v>1306</v>
      </c>
      <c r="C405" s="3" t="s">
        <v>1307</v>
      </c>
      <c r="D405" s="3" t="s">
        <v>1308</v>
      </c>
      <c r="E405" s="3" t="s">
        <v>1309</v>
      </c>
      <c r="F405" s="3" t="s">
        <v>629</v>
      </c>
      <c r="G405" s="3" t="s">
        <v>630</v>
      </c>
      <c r="H405" s="4">
        <v>2.0</v>
      </c>
      <c r="I405" s="4">
        <v>3.0</v>
      </c>
      <c r="J405" s="3"/>
      <c r="K405" s="3" t="s">
        <v>1310</v>
      </c>
      <c r="L405" s="3" t="s">
        <v>1311</v>
      </c>
      <c r="M405" s="3" t="s">
        <v>22</v>
      </c>
      <c r="N405" s="5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14</v>
      </c>
      <c r="B406" s="3" t="s">
        <v>1312</v>
      </c>
      <c r="C406" s="3" t="s">
        <v>1313</v>
      </c>
      <c r="D406" s="3" t="s">
        <v>1314</v>
      </c>
      <c r="E406" s="3" t="s">
        <v>1315</v>
      </c>
      <c r="F406" s="3" t="s">
        <v>262</v>
      </c>
      <c r="G406" s="3" t="s">
        <v>1316</v>
      </c>
      <c r="H406" s="4">
        <v>1.0</v>
      </c>
      <c r="I406" s="4">
        <v>1.0</v>
      </c>
      <c r="J406" s="3"/>
      <c r="K406" s="3" t="s">
        <v>1317</v>
      </c>
      <c r="L406" s="3" t="s">
        <v>1318</v>
      </c>
      <c r="M406" s="3" t="s">
        <v>22</v>
      </c>
      <c r="N406" s="5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14</v>
      </c>
      <c r="B407" s="3" t="s">
        <v>1312</v>
      </c>
      <c r="C407" s="3" t="s">
        <v>1313</v>
      </c>
      <c r="D407" s="3" t="s">
        <v>1314</v>
      </c>
      <c r="E407" s="3" t="s">
        <v>1315</v>
      </c>
      <c r="F407" s="3" t="s">
        <v>615</v>
      </c>
      <c r="G407" s="3" t="s">
        <v>1299</v>
      </c>
      <c r="H407" s="4">
        <v>2.0</v>
      </c>
      <c r="I407" s="4">
        <v>2.0</v>
      </c>
      <c r="J407" s="3"/>
      <c r="K407" s="3" t="s">
        <v>1317</v>
      </c>
      <c r="L407" s="3" t="s">
        <v>1318</v>
      </c>
      <c r="M407" s="3" t="s">
        <v>22</v>
      </c>
      <c r="N407" s="5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14</v>
      </c>
      <c r="B408" s="3" t="s">
        <v>411</v>
      </c>
      <c r="C408" s="3" t="s">
        <v>1319</v>
      </c>
      <c r="D408" s="3" t="s">
        <v>413</v>
      </c>
      <c r="E408" s="3" t="s">
        <v>1320</v>
      </c>
      <c r="F408" s="3"/>
      <c r="G408" s="3"/>
      <c r="H408" s="4"/>
      <c r="I408" s="4"/>
      <c r="J408" s="3"/>
      <c r="K408" s="3" t="s">
        <v>1321</v>
      </c>
      <c r="L408" s="3" t="s">
        <v>1322</v>
      </c>
      <c r="M408" s="3" t="s">
        <v>22</v>
      </c>
      <c r="N408" s="3" t="s">
        <v>560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14</v>
      </c>
      <c r="B409" s="3" t="s">
        <v>1323</v>
      </c>
      <c r="C409" s="3" t="s">
        <v>1324</v>
      </c>
      <c r="D409" s="3" t="s">
        <v>1325</v>
      </c>
      <c r="E409" s="3" t="s">
        <v>1326</v>
      </c>
      <c r="F409" s="3" t="s">
        <v>36</v>
      </c>
      <c r="G409" s="3" t="s">
        <v>301</v>
      </c>
      <c r="H409" s="4" t="s">
        <v>36</v>
      </c>
      <c r="I409" s="4">
        <v>1.0</v>
      </c>
      <c r="J409" s="3" t="s">
        <v>80</v>
      </c>
      <c r="K409" s="3" t="s">
        <v>1327</v>
      </c>
      <c r="L409" s="3" t="s">
        <v>1328</v>
      </c>
      <c r="M409" s="3" t="s">
        <v>22</v>
      </c>
      <c r="N409" s="5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14</v>
      </c>
      <c r="B410" s="3" t="s">
        <v>1323</v>
      </c>
      <c r="C410" s="3" t="s">
        <v>1324</v>
      </c>
      <c r="D410" s="3" t="s">
        <v>1325</v>
      </c>
      <c r="E410" s="3" t="s">
        <v>1326</v>
      </c>
      <c r="F410" s="3" t="s">
        <v>1329</v>
      </c>
      <c r="G410" s="3" t="s">
        <v>1330</v>
      </c>
      <c r="H410" s="4">
        <v>1.0</v>
      </c>
      <c r="I410" s="4">
        <v>2.0</v>
      </c>
      <c r="J410" s="3"/>
      <c r="K410" s="3" t="s">
        <v>1327</v>
      </c>
      <c r="L410" s="3" t="s">
        <v>1328</v>
      </c>
      <c r="M410" s="3" t="s">
        <v>22</v>
      </c>
      <c r="N410" s="5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14</v>
      </c>
      <c r="B411" s="3" t="s">
        <v>1323</v>
      </c>
      <c r="C411" s="3" t="s">
        <v>1324</v>
      </c>
      <c r="D411" s="3" t="s">
        <v>1325</v>
      </c>
      <c r="E411" s="3" t="s">
        <v>1326</v>
      </c>
      <c r="F411" s="3" t="s">
        <v>1331</v>
      </c>
      <c r="G411" s="3" t="s">
        <v>1181</v>
      </c>
      <c r="H411" s="4">
        <v>2.0</v>
      </c>
      <c r="I411" s="4">
        <v>3.0</v>
      </c>
      <c r="J411" s="3"/>
      <c r="K411" s="3" t="s">
        <v>1327</v>
      </c>
      <c r="L411" s="3" t="s">
        <v>1328</v>
      </c>
      <c r="M411" s="3" t="s">
        <v>22</v>
      </c>
      <c r="N411" s="5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14</v>
      </c>
      <c r="B412" s="3" t="s">
        <v>1332</v>
      </c>
      <c r="C412" s="3" t="s">
        <v>1333</v>
      </c>
      <c r="D412" s="3" t="s">
        <v>1334</v>
      </c>
      <c r="E412" s="3" t="s">
        <v>1335</v>
      </c>
      <c r="F412" s="3" t="s">
        <v>1336</v>
      </c>
      <c r="G412" s="3" t="s">
        <v>1113</v>
      </c>
      <c r="H412" s="4">
        <v>1.0</v>
      </c>
      <c r="I412" s="4">
        <v>1.0</v>
      </c>
      <c r="J412" s="3" t="s">
        <v>80</v>
      </c>
      <c r="K412" s="3" t="s">
        <v>1337</v>
      </c>
      <c r="L412" s="3" t="s">
        <v>1338</v>
      </c>
      <c r="M412" s="3" t="s">
        <v>22</v>
      </c>
      <c r="N412" s="5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14</v>
      </c>
      <c r="B413" s="3" t="s">
        <v>1332</v>
      </c>
      <c r="C413" s="3" t="s">
        <v>1333</v>
      </c>
      <c r="D413" s="3" t="s">
        <v>1334</v>
      </c>
      <c r="E413" s="3" t="s">
        <v>1335</v>
      </c>
      <c r="F413" s="3" t="s">
        <v>36</v>
      </c>
      <c r="G413" s="3" t="s">
        <v>1330</v>
      </c>
      <c r="H413" s="4" t="s">
        <v>36</v>
      </c>
      <c r="I413" s="4">
        <v>2.0</v>
      </c>
      <c r="J413" s="3"/>
      <c r="K413" s="3" t="s">
        <v>1337</v>
      </c>
      <c r="L413" s="3" t="s">
        <v>1338</v>
      </c>
      <c r="M413" s="3" t="s">
        <v>22</v>
      </c>
      <c r="N413" s="5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14</v>
      </c>
      <c r="B414" s="3" t="s">
        <v>1332</v>
      </c>
      <c r="C414" s="3" t="s">
        <v>1333</v>
      </c>
      <c r="D414" s="3" t="s">
        <v>1334</v>
      </c>
      <c r="E414" s="3" t="s">
        <v>1335</v>
      </c>
      <c r="F414" s="3" t="s">
        <v>1075</v>
      </c>
      <c r="G414" s="3" t="s">
        <v>1339</v>
      </c>
      <c r="H414" s="4">
        <v>2.0</v>
      </c>
      <c r="I414" s="4">
        <v>3.0</v>
      </c>
      <c r="J414" s="3"/>
      <c r="K414" s="3" t="s">
        <v>1337</v>
      </c>
      <c r="L414" s="3" t="s">
        <v>1338</v>
      </c>
      <c r="M414" s="3" t="s">
        <v>22</v>
      </c>
      <c r="N414" s="5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14</v>
      </c>
      <c r="B415" s="3" t="s">
        <v>1340</v>
      </c>
      <c r="C415" s="3" t="s">
        <v>1341</v>
      </c>
      <c r="D415" s="3" t="s">
        <v>1342</v>
      </c>
      <c r="E415" s="3" t="s">
        <v>1343</v>
      </c>
      <c r="F415" s="3" t="s">
        <v>419</v>
      </c>
      <c r="G415" s="3" t="s">
        <v>425</v>
      </c>
      <c r="H415" s="4">
        <v>1.0</v>
      </c>
      <c r="I415" s="4">
        <v>1.0</v>
      </c>
      <c r="J415" s="3"/>
      <c r="K415" s="3" t="s">
        <v>1344</v>
      </c>
      <c r="L415" s="3" t="s">
        <v>1345</v>
      </c>
      <c r="M415" s="3" t="s">
        <v>22</v>
      </c>
      <c r="N415" s="5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14</v>
      </c>
      <c r="B416" s="3" t="s">
        <v>1340</v>
      </c>
      <c r="C416" s="3" t="s">
        <v>1341</v>
      </c>
      <c r="D416" s="3" t="s">
        <v>1342</v>
      </c>
      <c r="E416" s="3" t="s">
        <v>1343</v>
      </c>
      <c r="F416" s="3" t="s">
        <v>1346</v>
      </c>
      <c r="G416" s="8" t="s">
        <v>1347</v>
      </c>
      <c r="H416" s="4">
        <v>2.0</v>
      </c>
      <c r="I416" s="4">
        <v>2.0</v>
      </c>
      <c r="J416" s="3"/>
      <c r="K416" s="3" t="s">
        <v>1344</v>
      </c>
      <c r="L416" s="3" t="s">
        <v>1345</v>
      </c>
      <c r="M416" s="3" t="s">
        <v>22</v>
      </c>
      <c r="N416" s="5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14</v>
      </c>
      <c r="B417" s="3" t="s">
        <v>1348</v>
      </c>
      <c r="C417" s="3" t="s">
        <v>1349</v>
      </c>
      <c r="D417" s="3" t="s">
        <v>1350</v>
      </c>
      <c r="E417" s="3" t="s">
        <v>1351</v>
      </c>
      <c r="F417" s="3" t="s">
        <v>174</v>
      </c>
      <c r="G417" s="3" t="s">
        <v>1352</v>
      </c>
      <c r="H417" s="4">
        <v>1.0</v>
      </c>
      <c r="I417" s="4">
        <v>1.0</v>
      </c>
      <c r="J417" s="3"/>
      <c r="K417" s="3" t="s">
        <v>1353</v>
      </c>
      <c r="L417" s="3" t="s">
        <v>1354</v>
      </c>
      <c r="M417" s="3" t="s">
        <v>22</v>
      </c>
      <c r="N417" s="5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14</v>
      </c>
      <c r="B418" s="3" t="s">
        <v>1348</v>
      </c>
      <c r="C418" s="3" t="s">
        <v>1349</v>
      </c>
      <c r="D418" s="3" t="s">
        <v>1350</v>
      </c>
      <c r="E418" s="3" t="s">
        <v>1351</v>
      </c>
      <c r="F418" s="3" t="s">
        <v>1075</v>
      </c>
      <c r="G418" s="3" t="s">
        <v>1076</v>
      </c>
      <c r="H418" s="4">
        <v>2.0</v>
      </c>
      <c r="I418" s="4">
        <v>2.0</v>
      </c>
      <c r="J418" s="3"/>
      <c r="K418" s="3" t="s">
        <v>1353</v>
      </c>
      <c r="L418" s="3" t="s">
        <v>1354</v>
      </c>
      <c r="M418" s="3" t="s">
        <v>22</v>
      </c>
      <c r="N418" s="5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14</v>
      </c>
      <c r="B419" s="3" t="s">
        <v>1355</v>
      </c>
      <c r="C419" s="3" t="s">
        <v>1356</v>
      </c>
      <c r="D419" s="3" t="s">
        <v>1357</v>
      </c>
      <c r="E419" s="3" t="s">
        <v>1358</v>
      </c>
      <c r="F419" s="3" t="s">
        <v>174</v>
      </c>
      <c r="G419" s="3" t="s">
        <v>425</v>
      </c>
      <c r="H419" s="4">
        <v>1.0</v>
      </c>
      <c r="I419" s="4">
        <v>1.0</v>
      </c>
      <c r="J419" s="3"/>
      <c r="K419" s="3" t="s">
        <v>1359</v>
      </c>
      <c r="L419" s="3" t="s">
        <v>1360</v>
      </c>
      <c r="M419" s="3" t="s">
        <v>22</v>
      </c>
      <c r="N419" s="5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14</v>
      </c>
      <c r="B420" s="3" t="s">
        <v>1355</v>
      </c>
      <c r="C420" s="3" t="s">
        <v>1356</v>
      </c>
      <c r="D420" s="3" t="s">
        <v>1357</v>
      </c>
      <c r="E420" s="3" t="s">
        <v>1358</v>
      </c>
      <c r="F420" s="3" t="s">
        <v>1032</v>
      </c>
      <c r="G420" s="3" t="s">
        <v>1129</v>
      </c>
      <c r="H420" s="4">
        <v>2.0</v>
      </c>
      <c r="I420" s="4">
        <v>2.0</v>
      </c>
      <c r="J420" s="3"/>
      <c r="K420" s="3" t="s">
        <v>1359</v>
      </c>
      <c r="L420" s="3" t="s">
        <v>1360</v>
      </c>
      <c r="M420" s="3" t="s">
        <v>22</v>
      </c>
      <c r="N420" s="5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14</v>
      </c>
      <c r="B421" s="3" t="s">
        <v>1361</v>
      </c>
      <c r="C421" s="3" t="s">
        <v>1362</v>
      </c>
      <c r="D421" s="3" t="s">
        <v>1363</v>
      </c>
      <c r="E421" s="3" t="s">
        <v>1364</v>
      </c>
      <c r="F421" s="3" t="s">
        <v>419</v>
      </c>
      <c r="G421" s="3" t="s">
        <v>425</v>
      </c>
      <c r="H421" s="4">
        <v>1.0</v>
      </c>
      <c r="I421" s="4">
        <v>1.0</v>
      </c>
      <c r="J421" s="3"/>
      <c r="K421" s="3" t="s">
        <v>1365</v>
      </c>
      <c r="L421" s="3" t="s">
        <v>1366</v>
      </c>
      <c r="M421" s="3" t="s">
        <v>22</v>
      </c>
      <c r="N421" s="5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14</v>
      </c>
      <c r="B422" s="3" t="s">
        <v>1361</v>
      </c>
      <c r="C422" s="3" t="s">
        <v>1362</v>
      </c>
      <c r="D422" s="3" t="s">
        <v>1363</v>
      </c>
      <c r="E422" s="3" t="s">
        <v>1364</v>
      </c>
      <c r="F422" s="3" t="s">
        <v>290</v>
      </c>
      <c r="G422" s="3" t="s">
        <v>1367</v>
      </c>
      <c r="H422" s="4">
        <v>2.0</v>
      </c>
      <c r="I422" s="4">
        <v>2.0</v>
      </c>
      <c r="J422" s="3"/>
      <c r="K422" s="3" t="s">
        <v>1365</v>
      </c>
      <c r="L422" s="3" t="s">
        <v>1366</v>
      </c>
      <c r="M422" s="3" t="s">
        <v>22</v>
      </c>
      <c r="N422" s="5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14</v>
      </c>
      <c r="B423" s="3" t="s">
        <v>1368</v>
      </c>
      <c r="C423" s="3" t="s">
        <v>1369</v>
      </c>
      <c r="D423" s="3" t="s">
        <v>1370</v>
      </c>
      <c r="E423" s="3" t="s">
        <v>1371</v>
      </c>
      <c r="F423" s="3" t="s">
        <v>425</v>
      </c>
      <c r="G423" s="3" t="s">
        <v>425</v>
      </c>
      <c r="H423" s="4">
        <v>1.0</v>
      </c>
      <c r="I423" s="4">
        <v>1.0</v>
      </c>
      <c r="J423" s="3"/>
      <c r="K423" s="3" t="s">
        <v>1372</v>
      </c>
      <c r="L423" s="3" t="s">
        <v>1373</v>
      </c>
      <c r="M423" s="3" t="s">
        <v>22</v>
      </c>
      <c r="N423" s="5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14</v>
      </c>
      <c r="B424" s="3" t="s">
        <v>1368</v>
      </c>
      <c r="C424" s="3" t="s">
        <v>1369</v>
      </c>
      <c r="D424" s="3" t="s">
        <v>1370</v>
      </c>
      <c r="E424" s="3" t="s">
        <v>1371</v>
      </c>
      <c r="F424" s="3" t="s">
        <v>466</v>
      </c>
      <c r="G424" s="3" t="s">
        <v>1081</v>
      </c>
      <c r="H424" s="4">
        <v>2.0</v>
      </c>
      <c r="I424" s="4">
        <v>2.0</v>
      </c>
      <c r="J424" s="3"/>
      <c r="K424" s="3" t="s">
        <v>1372</v>
      </c>
      <c r="L424" s="3" t="s">
        <v>1373</v>
      </c>
      <c r="M424" s="3" t="s">
        <v>22</v>
      </c>
      <c r="N424" s="5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14</v>
      </c>
      <c r="B425" s="3" t="s">
        <v>1374</v>
      </c>
      <c r="C425" s="3" t="s">
        <v>1375</v>
      </c>
      <c r="D425" s="3" t="s">
        <v>1376</v>
      </c>
      <c r="E425" s="3" t="s">
        <v>1377</v>
      </c>
      <c r="F425" s="3" t="s">
        <v>425</v>
      </c>
      <c r="G425" s="3" t="s">
        <v>1378</v>
      </c>
      <c r="H425" s="4">
        <v>1.0</v>
      </c>
      <c r="I425" s="4">
        <v>1.0</v>
      </c>
      <c r="J425" s="3"/>
      <c r="K425" s="3" t="s">
        <v>1379</v>
      </c>
      <c r="L425" s="3" t="s">
        <v>1380</v>
      </c>
      <c r="M425" s="3" t="s">
        <v>22</v>
      </c>
      <c r="N425" s="5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14</v>
      </c>
      <c r="B426" s="3" t="s">
        <v>1374</v>
      </c>
      <c r="C426" s="3" t="s">
        <v>1375</v>
      </c>
      <c r="D426" s="3" t="s">
        <v>1376</v>
      </c>
      <c r="E426" s="3" t="s">
        <v>1377</v>
      </c>
      <c r="F426" s="3" t="s">
        <v>1118</v>
      </c>
      <c r="G426" s="3" t="s">
        <v>1119</v>
      </c>
      <c r="H426" s="4">
        <v>2.0</v>
      </c>
      <c r="I426" s="4">
        <v>2.0</v>
      </c>
      <c r="J426" s="3"/>
      <c r="K426" s="3" t="s">
        <v>1379</v>
      </c>
      <c r="L426" s="3" t="s">
        <v>1380</v>
      </c>
      <c r="M426" s="3" t="s">
        <v>22</v>
      </c>
      <c r="N426" s="5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14</v>
      </c>
      <c r="B427" s="3" t="s">
        <v>1381</v>
      </c>
      <c r="C427" s="3" t="s">
        <v>1382</v>
      </c>
      <c r="D427" s="3" t="s">
        <v>1383</v>
      </c>
      <c r="E427" s="3" t="s">
        <v>1384</v>
      </c>
      <c r="F427" s="3" t="s">
        <v>36</v>
      </c>
      <c r="G427" s="3" t="s">
        <v>49</v>
      </c>
      <c r="H427" s="4" t="s">
        <v>36</v>
      </c>
      <c r="I427" s="4">
        <v>1.0</v>
      </c>
      <c r="J427" s="3" t="s">
        <v>80</v>
      </c>
      <c r="K427" s="3" t="s">
        <v>1385</v>
      </c>
      <c r="L427" s="3" t="s">
        <v>1386</v>
      </c>
      <c r="M427" s="3" t="s">
        <v>22</v>
      </c>
      <c r="N427" s="5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14</v>
      </c>
      <c r="B428" s="3" t="s">
        <v>1381</v>
      </c>
      <c r="C428" s="3" t="s">
        <v>1382</v>
      </c>
      <c r="D428" s="3" t="s">
        <v>1383</v>
      </c>
      <c r="E428" s="3" t="s">
        <v>1384</v>
      </c>
      <c r="F428" s="3" t="s">
        <v>425</v>
      </c>
      <c r="G428" s="3" t="s">
        <v>425</v>
      </c>
      <c r="H428" s="4">
        <v>1.0</v>
      </c>
      <c r="I428" s="4">
        <v>2.0</v>
      </c>
      <c r="J428" s="3"/>
      <c r="K428" s="3" t="s">
        <v>1385</v>
      </c>
      <c r="L428" s="3" t="s">
        <v>1386</v>
      </c>
      <c r="M428" s="3" t="s">
        <v>22</v>
      </c>
      <c r="N428" s="5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14</v>
      </c>
      <c r="B429" s="3" t="s">
        <v>1381</v>
      </c>
      <c r="C429" s="3" t="s">
        <v>1382</v>
      </c>
      <c r="D429" s="3" t="s">
        <v>1383</v>
      </c>
      <c r="E429" s="3" t="s">
        <v>1384</v>
      </c>
      <c r="F429" s="3" t="s">
        <v>1387</v>
      </c>
      <c r="G429" s="3" t="s">
        <v>1388</v>
      </c>
      <c r="H429" s="4">
        <v>2.0</v>
      </c>
      <c r="I429" s="4">
        <v>3.0</v>
      </c>
      <c r="J429" s="3"/>
      <c r="K429" s="3" t="s">
        <v>1385</v>
      </c>
      <c r="L429" s="3" t="s">
        <v>1386</v>
      </c>
      <c r="M429" s="3" t="s">
        <v>22</v>
      </c>
      <c r="N429" s="5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14</v>
      </c>
      <c r="B430" s="3" t="s">
        <v>1389</v>
      </c>
      <c r="C430" s="3" t="s">
        <v>1390</v>
      </c>
      <c r="D430" s="3" t="s">
        <v>1391</v>
      </c>
      <c r="E430" s="3" t="s">
        <v>1392</v>
      </c>
      <c r="F430" s="3" t="s">
        <v>425</v>
      </c>
      <c r="G430" s="3" t="s">
        <v>1393</v>
      </c>
      <c r="H430" s="4">
        <v>1.0</v>
      </c>
      <c r="I430" s="4">
        <v>1.0</v>
      </c>
      <c r="J430" s="3"/>
      <c r="K430" s="3" t="s">
        <v>1394</v>
      </c>
      <c r="L430" s="3" t="s">
        <v>1395</v>
      </c>
      <c r="M430" s="3" t="s">
        <v>22</v>
      </c>
      <c r="N430" s="5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14</v>
      </c>
      <c r="B431" s="3" t="s">
        <v>1389</v>
      </c>
      <c r="C431" s="3" t="s">
        <v>1390</v>
      </c>
      <c r="D431" s="3" t="s">
        <v>1391</v>
      </c>
      <c r="E431" s="3" t="s">
        <v>1392</v>
      </c>
      <c r="F431" s="3" t="s">
        <v>1396</v>
      </c>
      <c r="G431" s="3" t="s">
        <v>1397</v>
      </c>
      <c r="H431" s="4">
        <v>2.0</v>
      </c>
      <c r="I431" s="4">
        <v>2.0</v>
      </c>
      <c r="J431" s="3"/>
      <c r="K431" s="3" t="s">
        <v>1394</v>
      </c>
      <c r="L431" s="3" t="s">
        <v>1395</v>
      </c>
      <c r="M431" s="3" t="s">
        <v>22</v>
      </c>
      <c r="N431" s="5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14</v>
      </c>
      <c r="B432" s="3" t="s">
        <v>1398</v>
      </c>
      <c r="C432" s="3" t="s">
        <v>1399</v>
      </c>
      <c r="D432" s="3" t="s">
        <v>1400</v>
      </c>
      <c r="E432" s="3" t="s">
        <v>1401</v>
      </c>
      <c r="F432" s="3" t="s">
        <v>425</v>
      </c>
      <c r="G432" s="3" t="s">
        <v>425</v>
      </c>
      <c r="H432" s="4">
        <v>1.0</v>
      </c>
      <c r="I432" s="4">
        <v>1.0</v>
      </c>
      <c r="J432" s="3"/>
      <c r="K432" s="3" t="s">
        <v>1402</v>
      </c>
      <c r="L432" s="3" t="s">
        <v>1403</v>
      </c>
      <c r="M432" s="3" t="s">
        <v>22</v>
      </c>
      <c r="N432" s="5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14</v>
      </c>
      <c r="B433" s="3" t="s">
        <v>1398</v>
      </c>
      <c r="C433" s="3" t="s">
        <v>1399</v>
      </c>
      <c r="D433" s="3" t="s">
        <v>1400</v>
      </c>
      <c r="E433" s="3" t="s">
        <v>1401</v>
      </c>
      <c r="F433" s="3" t="s">
        <v>194</v>
      </c>
      <c r="G433" s="3" t="s">
        <v>1404</v>
      </c>
      <c r="H433" s="4">
        <v>2.0</v>
      </c>
      <c r="I433" s="4">
        <v>2.0</v>
      </c>
      <c r="J433" s="3"/>
      <c r="K433" s="3" t="s">
        <v>1402</v>
      </c>
      <c r="L433" s="3" t="s">
        <v>1403</v>
      </c>
      <c r="M433" s="3" t="s">
        <v>22</v>
      </c>
      <c r="N433" s="5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14</v>
      </c>
      <c r="B434" s="3" t="s">
        <v>429</v>
      </c>
      <c r="C434" s="3" t="s">
        <v>1405</v>
      </c>
      <c r="D434" s="3" t="s">
        <v>431</v>
      </c>
      <c r="E434" s="3" t="s">
        <v>1406</v>
      </c>
      <c r="F434" s="3" t="s">
        <v>425</v>
      </c>
      <c r="G434" s="3" t="s">
        <v>1407</v>
      </c>
      <c r="H434" s="4">
        <v>1.0</v>
      </c>
      <c r="I434" s="4">
        <v>1.0</v>
      </c>
      <c r="J434" s="3"/>
      <c r="K434" s="3" t="s">
        <v>1408</v>
      </c>
      <c r="L434" s="3" t="s">
        <v>1409</v>
      </c>
      <c r="M434" s="3" t="s">
        <v>22</v>
      </c>
      <c r="N434" s="5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14</v>
      </c>
      <c r="B435" s="3" t="s">
        <v>429</v>
      </c>
      <c r="C435" s="3" t="s">
        <v>1405</v>
      </c>
      <c r="D435" s="3" t="s">
        <v>431</v>
      </c>
      <c r="E435" s="3" t="s">
        <v>1406</v>
      </c>
      <c r="F435" s="3" t="s">
        <v>436</v>
      </c>
      <c r="G435" s="3" t="s">
        <v>1410</v>
      </c>
      <c r="H435" s="4">
        <v>2.0</v>
      </c>
      <c r="I435" s="4">
        <v>2.0</v>
      </c>
      <c r="J435" s="3"/>
      <c r="K435" s="3" t="s">
        <v>1408</v>
      </c>
      <c r="L435" s="3" t="s">
        <v>1409</v>
      </c>
      <c r="M435" s="3" t="s">
        <v>22</v>
      </c>
      <c r="N435" s="5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14</v>
      </c>
      <c r="B436" s="3" t="s">
        <v>1411</v>
      </c>
      <c r="C436" s="3" t="s">
        <v>1412</v>
      </c>
      <c r="D436" s="3" t="s">
        <v>1413</v>
      </c>
      <c r="E436" s="3" t="s">
        <v>1414</v>
      </c>
      <c r="F436" s="3" t="s">
        <v>425</v>
      </c>
      <c r="G436" s="3" t="s">
        <v>425</v>
      </c>
      <c r="H436" s="4">
        <v>1.0</v>
      </c>
      <c r="I436" s="4">
        <v>1.0</v>
      </c>
      <c r="J436" s="3"/>
      <c r="K436" s="3" t="s">
        <v>1415</v>
      </c>
      <c r="L436" s="3" t="s">
        <v>1416</v>
      </c>
      <c r="M436" s="3" t="s">
        <v>22</v>
      </c>
      <c r="N436" s="5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14</v>
      </c>
      <c r="B437" s="3" t="s">
        <v>1411</v>
      </c>
      <c r="C437" s="3" t="s">
        <v>1412</v>
      </c>
      <c r="D437" s="3" t="s">
        <v>1413</v>
      </c>
      <c r="E437" s="3" t="s">
        <v>1414</v>
      </c>
      <c r="F437" s="3" t="s">
        <v>326</v>
      </c>
      <c r="G437" s="3" t="s">
        <v>1235</v>
      </c>
      <c r="H437" s="4">
        <v>2.0</v>
      </c>
      <c r="I437" s="4">
        <v>2.0</v>
      </c>
      <c r="J437" s="3"/>
      <c r="K437" s="3" t="s">
        <v>1415</v>
      </c>
      <c r="L437" s="3" t="s">
        <v>1416</v>
      </c>
      <c r="M437" s="3" t="s">
        <v>22</v>
      </c>
      <c r="N437" s="5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14</v>
      </c>
      <c r="B438" s="3" t="s">
        <v>1417</v>
      </c>
      <c r="C438" s="3" t="s">
        <v>1362</v>
      </c>
      <c r="D438" s="3" t="s">
        <v>1418</v>
      </c>
      <c r="E438" s="3" t="s">
        <v>1364</v>
      </c>
      <c r="F438" s="3" t="s">
        <v>425</v>
      </c>
      <c r="G438" s="3" t="s">
        <v>425</v>
      </c>
      <c r="H438" s="4">
        <v>1.0</v>
      </c>
      <c r="I438" s="4">
        <v>1.0</v>
      </c>
      <c r="J438" s="3"/>
      <c r="K438" s="3" t="s">
        <v>1419</v>
      </c>
      <c r="L438" s="3" t="s">
        <v>1094</v>
      </c>
      <c r="M438" s="3" t="s">
        <v>22</v>
      </c>
      <c r="N438" s="5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14</v>
      </c>
      <c r="B439" s="3" t="s">
        <v>1417</v>
      </c>
      <c r="C439" s="3" t="s">
        <v>1362</v>
      </c>
      <c r="D439" s="3" t="s">
        <v>1418</v>
      </c>
      <c r="E439" s="3" t="s">
        <v>1364</v>
      </c>
      <c r="F439" s="3" t="s">
        <v>1420</v>
      </c>
      <c r="G439" s="3" t="s">
        <v>1367</v>
      </c>
      <c r="H439" s="4">
        <v>2.0</v>
      </c>
      <c r="I439" s="4">
        <v>2.0</v>
      </c>
      <c r="J439" s="3"/>
      <c r="K439" s="3" t="s">
        <v>1419</v>
      </c>
      <c r="L439" s="3" t="s">
        <v>1094</v>
      </c>
      <c r="M439" s="3" t="s">
        <v>22</v>
      </c>
      <c r="N439" s="5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14</v>
      </c>
      <c r="B440" s="3" t="s">
        <v>1421</v>
      </c>
      <c r="C440" s="3" t="s">
        <v>1422</v>
      </c>
      <c r="D440" s="3" t="s">
        <v>1423</v>
      </c>
      <c r="E440" s="3" t="s">
        <v>1424</v>
      </c>
      <c r="F440" s="3" t="s">
        <v>1425</v>
      </c>
      <c r="G440" s="3" t="s">
        <v>1426</v>
      </c>
      <c r="H440" s="4">
        <v>1.0</v>
      </c>
      <c r="I440" s="4">
        <v>1.0</v>
      </c>
      <c r="J440" s="3"/>
      <c r="K440" s="3" t="s">
        <v>1427</v>
      </c>
      <c r="L440" s="3" t="s">
        <v>1428</v>
      </c>
      <c r="M440" s="3" t="s">
        <v>22</v>
      </c>
      <c r="N440" s="5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14</v>
      </c>
      <c r="B441" s="3" t="s">
        <v>1421</v>
      </c>
      <c r="C441" s="3" t="s">
        <v>1422</v>
      </c>
      <c r="D441" s="3" t="s">
        <v>1423</v>
      </c>
      <c r="E441" s="3" t="s">
        <v>1424</v>
      </c>
      <c r="F441" s="3" t="s">
        <v>1429</v>
      </c>
      <c r="G441" s="3" t="s">
        <v>1430</v>
      </c>
      <c r="H441" s="4">
        <v>2.0</v>
      </c>
      <c r="I441" s="4">
        <v>2.0</v>
      </c>
      <c r="J441" s="3"/>
      <c r="K441" s="3" t="s">
        <v>1427</v>
      </c>
      <c r="L441" s="3" t="s">
        <v>1428</v>
      </c>
      <c r="M441" s="3" t="s">
        <v>22</v>
      </c>
      <c r="N441" s="5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14</v>
      </c>
      <c r="B442" s="3" t="s">
        <v>1431</v>
      </c>
      <c r="C442" s="3" t="s">
        <v>1432</v>
      </c>
      <c r="D442" s="3" t="s">
        <v>1433</v>
      </c>
      <c r="E442" s="3" t="s">
        <v>1434</v>
      </c>
      <c r="F442" s="3" t="s">
        <v>1435</v>
      </c>
      <c r="G442" s="3" t="s">
        <v>65</v>
      </c>
      <c r="H442" s="4">
        <v>1.0</v>
      </c>
      <c r="I442" s="4">
        <v>1.0</v>
      </c>
      <c r="J442" s="3"/>
      <c r="K442" s="3" t="s">
        <v>1436</v>
      </c>
      <c r="L442" s="3" t="s">
        <v>1437</v>
      </c>
      <c r="M442" s="3" t="s">
        <v>22</v>
      </c>
      <c r="N442" s="5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14</v>
      </c>
      <c r="B443" s="3" t="s">
        <v>1431</v>
      </c>
      <c r="C443" s="3" t="s">
        <v>1432</v>
      </c>
      <c r="D443" s="3" t="s">
        <v>1433</v>
      </c>
      <c r="E443" s="3" t="s">
        <v>1434</v>
      </c>
      <c r="F443" s="3" t="s">
        <v>1118</v>
      </c>
      <c r="G443" s="3" t="s">
        <v>1119</v>
      </c>
      <c r="H443" s="4">
        <v>2.0</v>
      </c>
      <c r="I443" s="4">
        <v>2.0</v>
      </c>
      <c r="J443" s="3"/>
      <c r="K443" s="3" t="s">
        <v>1436</v>
      </c>
      <c r="L443" s="3" t="s">
        <v>1437</v>
      </c>
      <c r="M443" s="3" t="s">
        <v>22</v>
      </c>
      <c r="N443" s="5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14</v>
      </c>
      <c r="B444" s="3" t="s">
        <v>1438</v>
      </c>
      <c r="C444" s="3" t="s">
        <v>1439</v>
      </c>
      <c r="D444" s="3" t="s">
        <v>1440</v>
      </c>
      <c r="E444" s="3" t="s">
        <v>1441</v>
      </c>
      <c r="F444" s="3" t="s">
        <v>1435</v>
      </c>
      <c r="G444" s="3" t="s">
        <v>1435</v>
      </c>
      <c r="H444" s="4">
        <v>1.0</v>
      </c>
      <c r="I444" s="4">
        <v>1.0</v>
      </c>
      <c r="J444" s="3"/>
      <c r="K444" s="3" t="s">
        <v>1442</v>
      </c>
      <c r="L444" s="3" t="s">
        <v>1443</v>
      </c>
      <c r="M444" s="3" t="s">
        <v>22</v>
      </c>
      <c r="N444" s="5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14</v>
      </c>
      <c r="B445" s="3" t="s">
        <v>1438</v>
      </c>
      <c r="C445" s="3" t="s">
        <v>1439</v>
      </c>
      <c r="D445" s="3" t="s">
        <v>1440</v>
      </c>
      <c r="E445" s="3" t="s">
        <v>1441</v>
      </c>
      <c r="F445" s="3" t="s">
        <v>1032</v>
      </c>
      <c r="G445" s="3" t="s">
        <v>1129</v>
      </c>
      <c r="H445" s="4">
        <v>2.0</v>
      </c>
      <c r="I445" s="4">
        <v>2.0</v>
      </c>
      <c r="J445" s="3"/>
      <c r="K445" s="3" t="s">
        <v>1442</v>
      </c>
      <c r="L445" s="3" t="s">
        <v>1443</v>
      </c>
      <c r="M445" s="3" t="s">
        <v>22</v>
      </c>
      <c r="N445" s="5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14</v>
      </c>
      <c r="B446" s="3" t="s">
        <v>1444</v>
      </c>
      <c r="C446" s="3" t="s">
        <v>1445</v>
      </c>
      <c r="D446" s="3" t="s">
        <v>1446</v>
      </c>
      <c r="E446" s="3" t="s">
        <v>1447</v>
      </c>
      <c r="F446" s="3" t="s">
        <v>1425</v>
      </c>
      <c r="G446" s="3" t="s">
        <v>503</v>
      </c>
      <c r="H446" s="4">
        <v>1.0</v>
      </c>
      <c r="I446" s="4">
        <v>1.0</v>
      </c>
      <c r="J446" s="3" t="s">
        <v>80</v>
      </c>
      <c r="K446" s="3" t="s">
        <v>1448</v>
      </c>
      <c r="L446" s="3" t="s">
        <v>1449</v>
      </c>
      <c r="M446" s="3" t="s">
        <v>22</v>
      </c>
      <c r="N446" s="5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14</v>
      </c>
      <c r="B447" s="3" t="s">
        <v>1444</v>
      </c>
      <c r="C447" s="3" t="s">
        <v>1445</v>
      </c>
      <c r="D447" s="3" t="s">
        <v>1446</v>
      </c>
      <c r="E447" s="3" t="s">
        <v>1447</v>
      </c>
      <c r="F447" s="3" t="s">
        <v>36</v>
      </c>
      <c r="G447" s="3" t="s">
        <v>1450</v>
      </c>
      <c r="H447" s="4" t="s">
        <v>36</v>
      </c>
      <c r="I447" s="4">
        <v>2.0</v>
      </c>
      <c r="J447" s="3"/>
      <c r="K447" s="3" t="s">
        <v>1448</v>
      </c>
      <c r="L447" s="3" t="s">
        <v>1449</v>
      </c>
      <c r="M447" s="3" t="s">
        <v>22</v>
      </c>
      <c r="N447" s="5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14</v>
      </c>
      <c r="B448" s="3" t="s">
        <v>1444</v>
      </c>
      <c r="C448" s="3" t="s">
        <v>1445</v>
      </c>
      <c r="D448" s="3" t="s">
        <v>1446</v>
      </c>
      <c r="E448" s="3" t="s">
        <v>1447</v>
      </c>
      <c r="F448" s="3" t="s">
        <v>1075</v>
      </c>
      <c r="G448" s="3" t="s">
        <v>1076</v>
      </c>
      <c r="H448" s="4">
        <v>2.0</v>
      </c>
      <c r="I448" s="4">
        <v>3.0</v>
      </c>
      <c r="J448" s="3"/>
      <c r="K448" s="3" t="s">
        <v>1448</v>
      </c>
      <c r="L448" s="3" t="s">
        <v>1449</v>
      </c>
      <c r="M448" s="3" t="s">
        <v>22</v>
      </c>
      <c r="N448" s="5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5" t="s">
        <v>14</v>
      </c>
      <c r="B449" s="15" t="s">
        <v>1451</v>
      </c>
      <c r="C449" s="15" t="s">
        <v>1452</v>
      </c>
      <c r="D449" s="15" t="s">
        <v>1453</v>
      </c>
      <c r="E449" s="15" t="s">
        <v>1454</v>
      </c>
      <c r="F449" s="15"/>
      <c r="G449" s="15"/>
      <c r="H449" s="18"/>
      <c r="I449" s="18"/>
      <c r="J449" s="15"/>
      <c r="K449" s="15" t="s">
        <v>1455</v>
      </c>
      <c r="L449" s="15" t="s">
        <v>1456</v>
      </c>
      <c r="M449" s="15" t="s">
        <v>22</v>
      </c>
      <c r="N449" s="15" t="s">
        <v>560</v>
      </c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3" t="s">
        <v>14</v>
      </c>
      <c r="B450" s="3" t="s">
        <v>1457</v>
      </c>
      <c r="C450" s="3" t="s">
        <v>1458</v>
      </c>
      <c r="D450" s="3" t="s">
        <v>1459</v>
      </c>
      <c r="E450" s="3" t="s">
        <v>1460</v>
      </c>
      <c r="F450" s="3" t="s">
        <v>245</v>
      </c>
      <c r="G450" s="3" t="s">
        <v>245</v>
      </c>
      <c r="H450" s="4">
        <v>1.0</v>
      </c>
      <c r="I450" s="4">
        <v>1.0</v>
      </c>
      <c r="J450" s="3"/>
      <c r="K450" s="3" t="s">
        <v>1461</v>
      </c>
      <c r="L450" s="3" t="s">
        <v>1462</v>
      </c>
      <c r="M450" s="3" t="s">
        <v>22</v>
      </c>
      <c r="N450" s="5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14</v>
      </c>
      <c r="B451" s="3" t="s">
        <v>1457</v>
      </c>
      <c r="C451" s="3" t="s">
        <v>1458</v>
      </c>
      <c r="D451" s="3" t="s">
        <v>1459</v>
      </c>
      <c r="E451" s="3" t="s">
        <v>1460</v>
      </c>
      <c r="F451" s="3" t="s">
        <v>1420</v>
      </c>
      <c r="G451" s="3" t="s">
        <v>1463</v>
      </c>
      <c r="H451" s="4">
        <v>2.0</v>
      </c>
      <c r="I451" s="4">
        <v>2.0</v>
      </c>
      <c r="J451" s="3"/>
      <c r="K451" s="3" t="s">
        <v>1461</v>
      </c>
      <c r="L451" s="3" t="s">
        <v>1462</v>
      </c>
      <c r="M451" s="3" t="s">
        <v>22</v>
      </c>
      <c r="N451" s="5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5" t="s">
        <v>14</v>
      </c>
      <c r="B452" s="15" t="s">
        <v>1464</v>
      </c>
      <c r="C452" s="15" t="s">
        <v>1465</v>
      </c>
      <c r="D452" s="15" t="s">
        <v>1466</v>
      </c>
      <c r="E452" s="15" t="s">
        <v>1467</v>
      </c>
      <c r="F452" s="15" t="s">
        <v>36</v>
      </c>
      <c r="G452" s="15" t="s">
        <v>49</v>
      </c>
      <c r="H452" s="18" t="s">
        <v>36</v>
      </c>
      <c r="I452" s="18">
        <v>1.0</v>
      </c>
      <c r="J452" s="15" t="s">
        <v>80</v>
      </c>
      <c r="K452" s="15" t="s">
        <v>1468</v>
      </c>
      <c r="L452" s="15" t="s">
        <v>1469</v>
      </c>
      <c r="M452" s="15" t="s">
        <v>22</v>
      </c>
      <c r="N452" s="20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5" t="s">
        <v>14</v>
      </c>
      <c r="B453" s="15" t="s">
        <v>1464</v>
      </c>
      <c r="C453" s="15" t="s">
        <v>1465</v>
      </c>
      <c r="D453" s="15" t="s">
        <v>1466</v>
      </c>
      <c r="E453" s="15" t="s">
        <v>1467</v>
      </c>
      <c r="F453" s="15" t="s">
        <v>157</v>
      </c>
      <c r="G453" s="15" t="s">
        <v>157</v>
      </c>
      <c r="H453" s="18">
        <v>1.0</v>
      </c>
      <c r="I453" s="18">
        <v>2.0</v>
      </c>
      <c r="J453" s="15"/>
      <c r="K453" s="15" t="s">
        <v>1468</v>
      </c>
      <c r="L453" s="15" t="s">
        <v>1469</v>
      </c>
      <c r="M453" s="15" t="s">
        <v>22</v>
      </c>
      <c r="N453" s="20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5" t="s">
        <v>14</v>
      </c>
      <c r="B454" s="15" t="s">
        <v>1464</v>
      </c>
      <c r="C454" s="15" t="s">
        <v>1465</v>
      </c>
      <c r="D454" s="15" t="s">
        <v>1466</v>
      </c>
      <c r="E454" s="15" t="s">
        <v>1467</v>
      </c>
      <c r="F454" s="15" t="s">
        <v>326</v>
      </c>
      <c r="G454" s="15" t="s">
        <v>1470</v>
      </c>
      <c r="H454" s="18">
        <v>2.0</v>
      </c>
      <c r="I454" s="18">
        <v>3.0</v>
      </c>
      <c r="J454" s="15"/>
      <c r="K454" s="15" t="s">
        <v>1468</v>
      </c>
      <c r="L454" s="15" t="s">
        <v>1469</v>
      </c>
      <c r="M454" s="15" t="s">
        <v>22</v>
      </c>
      <c r="N454" s="20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5" t="s">
        <v>14</v>
      </c>
      <c r="B455" s="15" t="s">
        <v>1471</v>
      </c>
      <c r="C455" s="15" t="s">
        <v>1472</v>
      </c>
      <c r="D455" s="15" t="s">
        <v>1473</v>
      </c>
      <c r="E455" s="15" t="s">
        <v>1474</v>
      </c>
      <c r="F455" s="15" t="s">
        <v>236</v>
      </c>
      <c r="G455" s="15" t="s">
        <v>1475</v>
      </c>
      <c r="H455" s="18" t="s">
        <v>36</v>
      </c>
      <c r="I455" s="18">
        <v>1.0</v>
      </c>
      <c r="J455" s="15" t="s">
        <v>80</v>
      </c>
      <c r="K455" s="15" t="s">
        <v>1476</v>
      </c>
      <c r="L455" s="15" t="s">
        <v>1477</v>
      </c>
      <c r="M455" s="15" t="s">
        <v>22</v>
      </c>
      <c r="N455" s="20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5" t="s">
        <v>14</v>
      </c>
      <c r="B456" s="15" t="s">
        <v>1471</v>
      </c>
      <c r="C456" s="15" t="s">
        <v>1472</v>
      </c>
      <c r="D456" s="15" t="s">
        <v>1473</v>
      </c>
      <c r="E456" s="15" t="s">
        <v>1474</v>
      </c>
      <c r="F456" s="15" t="s">
        <v>236</v>
      </c>
      <c r="G456" s="15" t="s">
        <v>1478</v>
      </c>
      <c r="H456" s="18">
        <v>1.0</v>
      </c>
      <c r="I456" s="18">
        <v>2.0</v>
      </c>
      <c r="J456" s="15"/>
      <c r="K456" s="15" t="s">
        <v>1476</v>
      </c>
      <c r="L456" s="15" t="s">
        <v>1477</v>
      </c>
      <c r="M456" s="15" t="s">
        <v>22</v>
      </c>
      <c r="N456" s="20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5" t="s">
        <v>14</v>
      </c>
      <c r="B457" s="15" t="s">
        <v>1471</v>
      </c>
      <c r="C457" s="15" t="s">
        <v>1472</v>
      </c>
      <c r="D457" s="15" t="s">
        <v>1473</v>
      </c>
      <c r="E457" s="15" t="s">
        <v>1474</v>
      </c>
      <c r="F457" s="15" t="s">
        <v>387</v>
      </c>
      <c r="G457" s="15" t="s">
        <v>387</v>
      </c>
      <c r="H457" s="18">
        <v>2.0</v>
      </c>
      <c r="I457" s="18">
        <v>3.0</v>
      </c>
      <c r="J457" s="15"/>
      <c r="K457" s="15" t="s">
        <v>1476</v>
      </c>
      <c r="L457" s="15" t="s">
        <v>1477</v>
      </c>
      <c r="M457" s="15" t="s">
        <v>22</v>
      </c>
      <c r="N457" s="20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3" t="s">
        <v>14</v>
      </c>
      <c r="B458" s="3" t="s">
        <v>1479</v>
      </c>
      <c r="C458" s="3" t="s">
        <v>1480</v>
      </c>
      <c r="D458" s="3" t="s">
        <v>1481</v>
      </c>
      <c r="E458" s="3" t="s">
        <v>1482</v>
      </c>
      <c r="F458" s="3" t="s">
        <v>1483</v>
      </c>
      <c r="G458" s="3" t="s">
        <v>739</v>
      </c>
      <c r="H458" s="4">
        <v>1.0</v>
      </c>
      <c r="I458" s="4">
        <v>1.0</v>
      </c>
      <c r="J458" s="3" t="s">
        <v>80</v>
      </c>
      <c r="K458" s="3" t="s">
        <v>1484</v>
      </c>
      <c r="L458" s="3" t="s">
        <v>1485</v>
      </c>
      <c r="M458" s="3" t="s">
        <v>22</v>
      </c>
      <c r="N458" s="5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14</v>
      </c>
      <c r="B459" s="3" t="s">
        <v>1479</v>
      </c>
      <c r="C459" s="3" t="s">
        <v>1480</v>
      </c>
      <c r="D459" s="3" t="s">
        <v>1481</v>
      </c>
      <c r="E459" s="3" t="s">
        <v>1482</v>
      </c>
      <c r="F459" s="3" t="s">
        <v>36</v>
      </c>
      <c r="G459" s="3" t="s">
        <v>1486</v>
      </c>
      <c r="H459" s="4" t="s">
        <v>36</v>
      </c>
      <c r="I459" s="4">
        <v>2.0</v>
      </c>
      <c r="J459" s="3"/>
      <c r="K459" s="3" t="s">
        <v>1484</v>
      </c>
      <c r="L459" s="3" t="s">
        <v>1485</v>
      </c>
      <c r="M459" s="3" t="s">
        <v>22</v>
      </c>
      <c r="N459" s="5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14</v>
      </c>
      <c r="B460" s="3" t="s">
        <v>1479</v>
      </c>
      <c r="C460" s="3" t="s">
        <v>1480</v>
      </c>
      <c r="D460" s="3" t="s">
        <v>1481</v>
      </c>
      <c r="E460" s="3" t="s">
        <v>1482</v>
      </c>
      <c r="F460" s="3" t="s">
        <v>615</v>
      </c>
      <c r="G460" s="3" t="s">
        <v>1299</v>
      </c>
      <c r="H460" s="4">
        <v>2.0</v>
      </c>
      <c r="I460" s="4">
        <v>3.0</v>
      </c>
      <c r="J460" s="3"/>
      <c r="K460" s="3" t="s">
        <v>1484</v>
      </c>
      <c r="L460" s="3" t="s">
        <v>1485</v>
      </c>
      <c r="M460" s="3" t="s">
        <v>22</v>
      </c>
      <c r="N460" s="5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14</v>
      </c>
      <c r="B461" s="3" t="s">
        <v>1487</v>
      </c>
      <c r="C461" s="3" t="s">
        <v>1488</v>
      </c>
      <c r="D461" s="3" t="s">
        <v>1489</v>
      </c>
      <c r="E461" s="3" t="s">
        <v>1490</v>
      </c>
      <c r="F461" s="3" t="s">
        <v>1491</v>
      </c>
      <c r="G461" s="3" t="s">
        <v>1491</v>
      </c>
      <c r="H461" s="4">
        <v>1.0</v>
      </c>
      <c r="I461" s="4">
        <v>1.0</v>
      </c>
      <c r="J461" s="3"/>
      <c r="K461" s="3" t="s">
        <v>1492</v>
      </c>
      <c r="L461" s="3" t="s">
        <v>1493</v>
      </c>
      <c r="M461" s="3" t="s">
        <v>22</v>
      </c>
      <c r="N461" s="5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14</v>
      </c>
      <c r="B462" s="3" t="s">
        <v>1487</v>
      </c>
      <c r="C462" s="3" t="s">
        <v>1488</v>
      </c>
      <c r="D462" s="3" t="s">
        <v>1489</v>
      </c>
      <c r="E462" s="3" t="s">
        <v>1490</v>
      </c>
      <c r="F462" s="3" t="s">
        <v>1494</v>
      </c>
      <c r="G462" s="3" t="s">
        <v>1495</v>
      </c>
      <c r="H462" s="4">
        <v>2.0</v>
      </c>
      <c r="I462" s="4">
        <v>2.0</v>
      </c>
      <c r="J462" s="3"/>
      <c r="K462" s="3" t="s">
        <v>1492</v>
      </c>
      <c r="L462" s="3" t="s">
        <v>1493</v>
      </c>
      <c r="M462" s="3" t="s">
        <v>22</v>
      </c>
      <c r="N462" s="5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14</v>
      </c>
      <c r="B463" s="3" t="s">
        <v>1496</v>
      </c>
      <c r="C463" s="3" t="s">
        <v>1497</v>
      </c>
      <c r="D463" s="3" t="s">
        <v>1498</v>
      </c>
      <c r="E463" s="3" t="s">
        <v>1499</v>
      </c>
      <c r="F463" s="3" t="s">
        <v>1500</v>
      </c>
      <c r="G463" s="3" t="s">
        <v>611</v>
      </c>
      <c r="H463" s="4">
        <v>1.0</v>
      </c>
      <c r="I463" s="4">
        <v>1.0</v>
      </c>
      <c r="J463" s="3"/>
      <c r="K463" s="3" t="s">
        <v>1501</v>
      </c>
      <c r="L463" s="3" t="s">
        <v>1502</v>
      </c>
      <c r="M463" s="3" t="s">
        <v>22</v>
      </c>
      <c r="N463" s="5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14</v>
      </c>
      <c r="B464" s="3" t="s">
        <v>1496</v>
      </c>
      <c r="C464" s="3" t="s">
        <v>1497</v>
      </c>
      <c r="D464" s="3" t="s">
        <v>1498</v>
      </c>
      <c r="E464" s="3" t="s">
        <v>1499</v>
      </c>
      <c r="F464" s="3" t="s">
        <v>1331</v>
      </c>
      <c r="G464" s="3" t="s">
        <v>1181</v>
      </c>
      <c r="H464" s="4">
        <v>2.0</v>
      </c>
      <c r="I464" s="4">
        <v>2.0</v>
      </c>
      <c r="J464" s="3"/>
      <c r="K464" s="3" t="s">
        <v>1501</v>
      </c>
      <c r="L464" s="3" t="s">
        <v>1502</v>
      </c>
      <c r="M464" s="3" t="s">
        <v>22</v>
      </c>
      <c r="N464" s="5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14</v>
      </c>
      <c r="B465" s="3" t="s">
        <v>1503</v>
      </c>
      <c r="C465" s="3" t="s">
        <v>1504</v>
      </c>
      <c r="D465" s="3" t="s">
        <v>1503</v>
      </c>
      <c r="E465" s="3" t="s">
        <v>1505</v>
      </c>
      <c r="F465" s="3" t="s">
        <v>1503</v>
      </c>
      <c r="G465" s="3" t="s">
        <v>190</v>
      </c>
      <c r="H465" s="4">
        <v>1.0</v>
      </c>
      <c r="I465" s="4">
        <v>1.0</v>
      </c>
      <c r="J465" s="3" t="s">
        <v>80</v>
      </c>
      <c r="K465" s="3" t="s">
        <v>1506</v>
      </c>
      <c r="L465" s="3" t="s">
        <v>1507</v>
      </c>
      <c r="M465" s="3" t="s">
        <v>22</v>
      </c>
      <c r="N465" s="5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14</v>
      </c>
      <c r="B466" s="3" t="s">
        <v>1503</v>
      </c>
      <c r="C466" s="3" t="s">
        <v>1504</v>
      </c>
      <c r="D466" s="3" t="s">
        <v>1503</v>
      </c>
      <c r="E466" s="3" t="s">
        <v>1505</v>
      </c>
      <c r="F466" s="3" t="s">
        <v>36</v>
      </c>
      <c r="G466" s="3" t="s">
        <v>1508</v>
      </c>
      <c r="H466" s="4" t="s">
        <v>36</v>
      </c>
      <c r="I466" s="4">
        <v>2.0</v>
      </c>
      <c r="J466" s="3" t="s">
        <v>80</v>
      </c>
      <c r="K466" s="3" t="s">
        <v>1506</v>
      </c>
      <c r="L466" s="3" t="s">
        <v>1507</v>
      </c>
      <c r="M466" s="3" t="s">
        <v>22</v>
      </c>
      <c r="N466" s="5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14</v>
      </c>
      <c r="B467" s="3" t="s">
        <v>1509</v>
      </c>
      <c r="C467" s="3" t="s">
        <v>1510</v>
      </c>
      <c r="D467" s="3" t="s">
        <v>1511</v>
      </c>
      <c r="E467" s="3" t="s">
        <v>1512</v>
      </c>
      <c r="F467" s="17" t="s">
        <v>36</v>
      </c>
      <c r="G467" s="3" t="s">
        <v>1113</v>
      </c>
      <c r="H467" s="4" t="s">
        <v>36</v>
      </c>
      <c r="I467" s="4">
        <v>1.0</v>
      </c>
      <c r="J467" s="3"/>
      <c r="K467" s="3" t="s">
        <v>1513</v>
      </c>
      <c r="L467" s="3" t="s">
        <v>1514</v>
      </c>
      <c r="M467" s="3" t="s">
        <v>22</v>
      </c>
      <c r="N467" s="5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14</v>
      </c>
      <c r="B468" s="3" t="s">
        <v>1509</v>
      </c>
      <c r="C468" s="3" t="s">
        <v>1510</v>
      </c>
      <c r="D468" s="3" t="s">
        <v>1511</v>
      </c>
      <c r="E468" s="3" t="s">
        <v>1512</v>
      </c>
      <c r="F468" s="3" t="s">
        <v>1515</v>
      </c>
      <c r="G468" s="3" t="s">
        <v>98</v>
      </c>
      <c r="H468" s="4">
        <v>1.0</v>
      </c>
      <c r="I468" s="4">
        <v>2.0</v>
      </c>
      <c r="J468" s="3" t="s">
        <v>80</v>
      </c>
      <c r="K468" s="3" t="s">
        <v>1513</v>
      </c>
      <c r="L468" s="3" t="s">
        <v>1514</v>
      </c>
      <c r="M468" s="3" t="s">
        <v>22</v>
      </c>
      <c r="N468" s="5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14</v>
      </c>
      <c r="B469" s="3" t="s">
        <v>1509</v>
      </c>
      <c r="C469" s="3" t="s">
        <v>1510</v>
      </c>
      <c r="D469" s="3" t="s">
        <v>1511</v>
      </c>
      <c r="E469" s="3" t="s">
        <v>1512</v>
      </c>
      <c r="F469" s="3" t="s">
        <v>451</v>
      </c>
      <c r="G469" s="3" t="s">
        <v>1211</v>
      </c>
      <c r="H469" s="4">
        <v>2.0</v>
      </c>
      <c r="I469" s="4">
        <v>3.0</v>
      </c>
      <c r="J469" s="3"/>
      <c r="K469" s="3" t="s">
        <v>1513</v>
      </c>
      <c r="L469" s="3" t="s">
        <v>1514</v>
      </c>
      <c r="M469" s="3" t="s">
        <v>22</v>
      </c>
      <c r="N469" s="5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14</v>
      </c>
      <c r="B470" s="3" t="s">
        <v>1516</v>
      </c>
      <c r="C470" s="3" t="s">
        <v>1517</v>
      </c>
      <c r="D470" s="3" t="s">
        <v>1518</v>
      </c>
      <c r="E470" s="3" t="s">
        <v>1519</v>
      </c>
      <c r="F470" s="3" t="s">
        <v>98</v>
      </c>
      <c r="G470" s="3" t="s">
        <v>222</v>
      </c>
      <c r="H470" s="4">
        <v>1.0</v>
      </c>
      <c r="I470" s="4">
        <v>1.0</v>
      </c>
      <c r="J470" s="3"/>
      <c r="K470" s="3" t="s">
        <v>1520</v>
      </c>
      <c r="L470" s="3" t="s">
        <v>1443</v>
      </c>
      <c r="M470" s="3" t="s">
        <v>22</v>
      </c>
      <c r="N470" s="5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14</v>
      </c>
      <c r="B471" s="3" t="s">
        <v>1516</v>
      </c>
      <c r="C471" s="3" t="s">
        <v>1517</v>
      </c>
      <c r="D471" s="3" t="s">
        <v>1518</v>
      </c>
      <c r="E471" s="3" t="s">
        <v>1519</v>
      </c>
      <c r="F471" s="3" t="s">
        <v>575</v>
      </c>
      <c r="G471" s="3" t="s">
        <v>575</v>
      </c>
      <c r="H471" s="4">
        <v>2.0</v>
      </c>
      <c r="I471" s="4">
        <v>2.0</v>
      </c>
      <c r="J471" s="3"/>
      <c r="K471" s="3" t="s">
        <v>1520</v>
      </c>
      <c r="L471" s="3" t="s">
        <v>1443</v>
      </c>
      <c r="M471" s="3" t="s">
        <v>22</v>
      </c>
      <c r="N471" s="5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14</v>
      </c>
      <c r="B472" s="3" t="s">
        <v>1516</v>
      </c>
      <c r="C472" s="3" t="s">
        <v>1517</v>
      </c>
      <c r="D472" s="3" t="s">
        <v>1518</v>
      </c>
      <c r="E472" s="3" t="s">
        <v>1519</v>
      </c>
      <c r="F472" s="3" t="s">
        <v>1075</v>
      </c>
      <c r="G472" s="3" t="s">
        <v>1076</v>
      </c>
      <c r="H472" s="4">
        <v>3.0</v>
      </c>
      <c r="I472" s="4">
        <v>3.0</v>
      </c>
      <c r="J472" s="3"/>
      <c r="K472" s="3" t="s">
        <v>1520</v>
      </c>
      <c r="L472" s="3" t="s">
        <v>1443</v>
      </c>
      <c r="M472" s="3" t="s">
        <v>22</v>
      </c>
      <c r="N472" s="5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14</v>
      </c>
      <c r="B473" s="3" t="s">
        <v>1521</v>
      </c>
      <c r="C473" s="3" t="s">
        <v>1522</v>
      </c>
      <c r="D473" s="3" t="s">
        <v>1523</v>
      </c>
      <c r="E473" s="3" t="s">
        <v>1524</v>
      </c>
      <c r="F473" s="3" t="s">
        <v>1525</v>
      </c>
      <c r="G473" s="3" t="s">
        <v>1113</v>
      </c>
      <c r="H473" s="4">
        <v>1.0</v>
      </c>
      <c r="I473" s="4">
        <v>1.0</v>
      </c>
      <c r="J473" s="3" t="s">
        <v>80</v>
      </c>
      <c r="K473" s="3" t="s">
        <v>1526</v>
      </c>
      <c r="L473" s="3" t="s">
        <v>1527</v>
      </c>
      <c r="M473" s="3" t="s">
        <v>22</v>
      </c>
      <c r="N473" s="5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14</v>
      </c>
      <c r="B474" s="3" t="s">
        <v>1521</v>
      </c>
      <c r="C474" s="3" t="s">
        <v>1522</v>
      </c>
      <c r="D474" s="3" t="s">
        <v>1523</v>
      </c>
      <c r="E474" s="3" t="s">
        <v>1524</v>
      </c>
      <c r="F474" s="3" t="s">
        <v>36</v>
      </c>
      <c r="G474" s="3" t="s">
        <v>56</v>
      </c>
      <c r="H474" s="4" t="s">
        <v>36</v>
      </c>
      <c r="I474" s="4">
        <v>2.0</v>
      </c>
      <c r="J474" s="3"/>
      <c r="K474" s="3" t="s">
        <v>1526</v>
      </c>
      <c r="L474" s="3" t="s">
        <v>1527</v>
      </c>
      <c r="M474" s="3" t="s">
        <v>22</v>
      </c>
      <c r="N474" s="5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 t="s">
        <v>14</v>
      </c>
      <c r="B475" s="3" t="s">
        <v>1521</v>
      </c>
      <c r="C475" s="3" t="s">
        <v>1522</v>
      </c>
      <c r="D475" s="3" t="s">
        <v>1523</v>
      </c>
      <c r="E475" s="3" t="s">
        <v>1524</v>
      </c>
      <c r="F475" s="3" t="s">
        <v>326</v>
      </c>
      <c r="G475" s="3" t="s">
        <v>1470</v>
      </c>
      <c r="H475" s="4">
        <v>2.0</v>
      </c>
      <c r="I475" s="4">
        <v>3.0</v>
      </c>
      <c r="J475" s="3"/>
      <c r="K475" s="3" t="s">
        <v>1526</v>
      </c>
      <c r="L475" s="3" t="s">
        <v>1527</v>
      </c>
      <c r="M475" s="3" t="s">
        <v>22</v>
      </c>
      <c r="N475" s="5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14</v>
      </c>
      <c r="B476" s="3" t="s">
        <v>1528</v>
      </c>
      <c r="C476" s="3" t="s">
        <v>1529</v>
      </c>
      <c r="D476" s="3" t="s">
        <v>1530</v>
      </c>
      <c r="E476" s="3" t="s">
        <v>1531</v>
      </c>
      <c r="F476" s="3" t="s">
        <v>29</v>
      </c>
      <c r="G476" s="3" t="s">
        <v>29</v>
      </c>
      <c r="H476" s="4">
        <v>1.0</v>
      </c>
      <c r="I476" s="4">
        <v>1.0</v>
      </c>
      <c r="J476" s="3" t="s">
        <v>80</v>
      </c>
      <c r="K476" s="3" t="s">
        <v>1532</v>
      </c>
      <c r="L476" s="3" t="s">
        <v>1533</v>
      </c>
      <c r="M476" s="3" t="s">
        <v>22</v>
      </c>
      <c r="N476" s="5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14</v>
      </c>
      <c r="B477" s="3" t="s">
        <v>1528</v>
      </c>
      <c r="C477" s="3" t="s">
        <v>1529</v>
      </c>
      <c r="D477" s="3" t="s">
        <v>1530</v>
      </c>
      <c r="E477" s="3" t="s">
        <v>1531</v>
      </c>
      <c r="F477" s="3" t="s">
        <v>349</v>
      </c>
      <c r="G477" s="3" t="s">
        <v>1534</v>
      </c>
      <c r="H477" s="4">
        <v>2.0</v>
      </c>
      <c r="I477" s="4">
        <v>2.0</v>
      </c>
      <c r="J477" s="3"/>
      <c r="K477" s="3" t="s">
        <v>1532</v>
      </c>
      <c r="L477" s="3" t="s">
        <v>1533</v>
      </c>
      <c r="M477" s="3" t="s">
        <v>22</v>
      </c>
      <c r="N477" s="5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14</v>
      </c>
      <c r="B478" s="3" t="s">
        <v>1528</v>
      </c>
      <c r="C478" s="3" t="s">
        <v>1529</v>
      </c>
      <c r="D478" s="3" t="s">
        <v>1530</v>
      </c>
      <c r="E478" s="3" t="s">
        <v>1531</v>
      </c>
      <c r="F478" s="3" t="s">
        <v>629</v>
      </c>
      <c r="G478" s="3" t="s">
        <v>630</v>
      </c>
      <c r="H478" s="4">
        <v>3.0</v>
      </c>
      <c r="I478" s="4">
        <v>3.0</v>
      </c>
      <c r="J478" s="3"/>
      <c r="K478" s="3" t="s">
        <v>1532</v>
      </c>
      <c r="L478" s="3" t="s">
        <v>1533</v>
      </c>
      <c r="M478" s="3" t="s">
        <v>22</v>
      </c>
      <c r="N478" s="5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5" t="s">
        <v>14</v>
      </c>
      <c r="B479" s="15" t="s">
        <v>1535</v>
      </c>
      <c r="C479" s="15" t="s">
        <v>1536</v>
      </c>
      <c r="D479" s="15" t="s">
        <v>1537</v>
      </c>
      <c r="E479" s="15" t="s">
        <v>1538</v>
      </c>
      <c r="F479" s="15" t="s">
        <v>36</v>
      </c>
      <c r="G479" s="15" t="s">
        <v>49</v>
      </c>
      <c r="H479" s="18" t="s">
        <v>36</v>
      </c>
      <c r="I479" s="18">
        <v>1.0</v>
      </c>
      <c r="J479" s="15" t="s">
        <v>80</v>
      </c>
      <c r="K479" s="15" t="s">
        <v>1539</v>
      </c>
      <c r="L479" s="15" t="s">
        <v>1540</v>
      </c>
      <c r="M479" s="15" t="s">
        <v>22</v>
      </c>
      <c r="N479" s="20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5" t="s">
        <v>14</v>
      </c>
      <c r="B480" s="15" t="s">
        <v>1535</v>
      </c>
      <c r="C480" s="15" t="s">
        <v>1536</v>
      </c>
      <c r="D480" s="15" t="s">
        <v>1537</v>
      </c>
      <c r="E480" s="15" t="s">
        <v>1538</v>
      </c>
      <c r="F480" s="15" t="s">
        <v>1541</v>
      </c>
      <c r="G480" s="15" t="s">
        <v>254</v>
      </c>
      <c r="H480" s="18">
        <v>1.0</v>
      </c>
      <c r="I480" s="18">
        <v>2.0</v>
      </c>
      <c r="J480" s="15"/>
      <c r="K480" s="15" t="s">
        <v>1539</v>
      </c>
      <c r="L480" s="15" t="s">
        <v>1540</v>
      </c>
      <c r="M480" s="15" t="s">
        <v>22</v>
      </c>
      <c r="N480" s="20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5" t="s">
        <v>14</v>
      </c>
      <c r="B481" s="15" t="s">
        <v>1535</v>
      </c>
      <c r="C481" s="15" t="s">
        <v>1536</v>
      </c>
      <c r="D481" s="15" t="s">
        <v>1537</v>
      </c>
      <c r="E481" s="15" t="s">
        <v>1538</v>
      </c>
      <c r="F481" s="15" t="s">
        <v>629</v>
      </c>
      <c r="G481" s="15" t="s">
        <v>630</v>
      </c>
      <c r="H481" s="18">
        <v>2.0</v>
      </c>
      <c r="I481" s="18">
        <v>3.0</v>
      </c>
      <c r="J481" s="15"/>
      <c r="K481" s="15" t="s">
        <v>1539</v>
      </c>
      <c r="L481" s="15" t="s">
        <v>1540</v>
      </c>
      <c r="M481" s="15" t="s">
        <v>22</v>
      </c>
      <c r="N481" s="20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3" t="s">
        <v>14</v>
      </c>
      <c r="B482" s="3" t="s">
        <v>1542</v>
      </c>
      <c r="C482" s="3" t="s">
        <v>1543</v>
      </c>
      <c r="D482" s="3" t="s">
        <v>1544</v>
      </c>
      <c r="E482" s="3" t="s">
        <v>1545</v>
      </c>
      <c r="F482" s="3" t="s">
        <v>1541</v>
      </c>
      <c r="G482" s="3" t="s">
        <v>254</v>
      </c>
      <c r="H482" s="4">
        <v>1.0</v>
      </c>
      <c r="I482" s="4">
        <v>1.0</v>
      </c>
      <c r="J482" s="3"/>
      <c r="K482" s="3" t="s">
        <v>1546</v>
      </c>
      <c r="L482" s="3" t="s">
        <v>1547</v>
      </c>
      <c r="M482" s="3" t="s">
        <v>22</v>
      </c>
      <c r="N482" s="5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14</v>
      </c>
      <c r="B483" s="3" t="s">
        <v>1542</v>
      </c>
      <c r="C483" s="3" t="s">
        <v>1543</v>
      </c>
      <c r="D483" s="3" t="s">
        <v>1544</v>
      </c>
      <c r="E483" s="3" t="s">
        <v>1545</v>
      </c>
      <c r="F483" s="3" t="s">
        <v>1396</v>
      </c>
      <c r="G483" s="3" t="s">
        <v>1397</v>
      </c>
      <c r="H483" s="4">
        <v>2.0</v>
      </c>
      <c r="I483" s="4">
        <v>2.0</v>
      </c>
      <c r="J483" s="3"/>
      <c r="K483" s="3" t="s">
        <v>1546</v>
      </c>
      <c r="L483" s="3" t="s">
        <v>1547</v>
      </c>
      <c r="M483" s="3" t="s">
        <v>22</v>
      </c>
      <c r="N483" s="5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5" t="s">
        <v>14</v>
      </c>
      <c r="B484" s="15" t="s">
        <v>1548</v>
      </c>
      <c r="C484" s="15" t="s">
        <v>1549</v>
      </c>
      <c r="D484" s="15" t="s">
        <v>1550</v>
      </c>
      <c r="E484" s="15" t="s">
        <v>1551</v>
      </c>
      <c r="F484" s="15" t="s">
        <v>36</v>
      </c>
      <c r="G484" s="15" t="s">
        <v>49</v>
      </c>
      <c r="H484" s="18" t="s">
        <v>36</v>
      </c>
      <c r="I484" s="18">
        <v>1.0</v>
      </c>
      <c r="J484" s="15" t="s">
        <v>80</v>
      </c>
      <c r="K484" s="15" t="s">
        <v>1552</v>
      </c>
      <c r="L484" s="15" t="s">
        <v>1553</v>
      </c>
      <c r="M484" s="15" t="s">
        <v>22</v>
      </c>
      <c r="N484" s="20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5" t="s">
        <v>14</v>
      </c>
      <c r="B485" s="15" t="s">
        <v>1548</v>
      </c>
      <c r="C485" s="15" t="s">
        <v>1549</v>
      </c>
      <c r="D485" s="15" t="s">
        <v>1550</v>
      </c>
      <c r="E485" s="15" t="s">
        <v>1551</v>
      </c>
      <c r="F485" s="15" t="s">
        <v>1541</v>
      </c>
      <c r="G485" s="15" t="s">
        <v>254</v>
      </c>
      <c r="H485" s="18">
        <v>1.0</v>
      </c>
      <c r="I485" s="18">
        <v>2.0</v>
      </c>
      <c r="J485" s="15"/>
      <c r="K485" s="15" t="s">
        <v>1552</v>
      </c>
      <c r="L485" s="15" t="s">
        <v>1553</v>
      </c>
      <c r="M485" s="15" t="s">
        <v>22</v>
      </c>
      <c r="N485" s="20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5" t="s">
        <v>14</v>
      </c>
      <c r="B486" s="15" t="s">
        <v>1548</v>
      </c>
      <c r="C486" s="15" t="s">
        <v>1549</v>
      </c>
      <c r="D486" s="15" t="s">
        <v>1550</v>
      </c>
      <c r="E486" s="15" t="s">
        <v>1551</v>
      </c>
      <c r="F486" s="15" t="s">
        <v>1554</v>
      </c>
      <c r="G486" s="15" t="s">
        <v>1486</v>
      </c>
      <c r="H486" s="18">
        <v>2.0</v>
      </c>
      <c r="I486" s="18">
        <v>3.0</v>
      </c>
      <c r="J486" s="15"/>
      <c r="K486" s="15" t="s">
        <v>1552</v>
      </c>
      <c r="L486" s="15" t="s">
        <v>1553</v>
      </c>
      <c r="M486" s="15" t="s">
        <v>22</v>
      </c>
      <c r="N486" s="20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5" t="s">
        <v>14</v>
      </c>
      <c r="B487" s="15" t="s">
        <v>1548</v>
      </c>
      <c r="C487" s="15" t="s">
        <v>1549</v>
      </c>
      <c r="D487" s="15" t="s">
        <v>1550</v>
      </c>
      <c r="E487" s="15" t="s">
        <v>1551</v>
      </c>
      <c r="F487" s="15" t="s">
        <v>615</v>
      </c>
      <c r="G487" s="15" t="s">
        <v>1299</v>
      </c>
      <c r="H487" s="18">
        <v>3.0</v>
      </c>
      <c r="I487" s="18">
        <v>4.0</v>
      </c>
      <c r="J487" s="15"/>
      <c r="K487" s="15" t="s">
        <v>1552</v>
      </c>
      <c r="L487" s="15" t="s">
        <v>1553</v>
      </c>
      <c r="M487" s="15" t="s">
        <v>22</v>
      </c>
      <c r="N487" s="20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3" t="s">
        <v>14</v>
      </c>
      <c r="B488" s="3" t="s">
        <v>1555</v>
      </c>
      <c r="C488" s="3" t="s">
        <v>1556</v>
      </c>
      <c r="D488" s="3" t="s">
        <v>1557</v>
      </c>
      <c r="E488" s="3" t="s">
        <v>1558</v>
      </c>
      <c r="F488" s="3" t="s">
        <v>233</v>
      </c>
      <c r="G488" s="3" t="s">
        <v>1234</v>
      </c>
      <c r="H488" s="4">
        <v>1.0</v>
      </c>
      <c r="I488" s="4">
        <v>1.0</v>
      </c>
      <c r="J488" s="3"/>
      <c r="K488" s="3" t="s">
        <v>1559</v>
      </c>
      <c r="L488" s="3" t="s">
        <v>1560</v>
      </c>
      <c r="M488" s="3" t="s">
        <v>22</v>
      </c>
      <c r="N488" s="5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14</v>
      </c>
      <c r="B489" s="3" t="s">
        <v>1555</v>
      </c>
      <c r="C489" s="3" t="s">
        <v>1556</v>
      </c>
      <c r="D489" s="3" t="s">
        <v>1557</v>
      </c>
      <c r="E489" s="3" t="s">
        <v>1558</v>
      </c>
      <c r="F489" s="3" t="s">
        <v>1387</v>
      </c>
      <c r="G489" s="3" t="s">
        <v>1388</v>
      </c>
      <c r="H489" s="4">
        <v>2.0</v>
      </c>
      <c r="I489" s="4">
        <v>2.0</v>
      </c>
      <c r="J489" s="3"/>
      <c r="K489" s="3" t="s">
        <v>1559</v>
      </c>
      <c r="L489" s="3" t="s">
        <v>1560</v>
      </c>
      <c r="M489" s="3" t="s">
        <v>22</v>
      </c>
      <c r="N489" s="5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14</v>
      </c>
      <c r="B490" s="3" t="s">
        <v>1561</v>
      </c>
      <c r="C490" s="3" t="s">
        <v>1562</v>
      </c>
      <c r="D490" s="3" t="s">
        <v>1563</v>
      </c>
      <c r="E490" s="3" t="s">
        <v>1564</v>
      </c>
      <c r="F490" s="3" t="s">
        <v>233</v>
      </c>
      <c r="G490" s="3" t="s">
        <v>233</v>
      </c>
      <c r="H490" s="4">
        <v>1.0</v>
      </c>
      <c r="I490" s="4">
        <v>1.0</v>
      </c>
      <c r="J490" s="3"/>
      <c r="K490" s="3" t="s">
        <v>1565</v>
      </c>
      <c r="L490" s="3" t="s">
        <v>1566</v>
      </c>
      <c r="M490" s="3" t="s">
        <v>22</v>
      </c>
      <c r="N490" s="5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14</v>
      </c>
      <c r="B491" s="3" t="s">
        <v>1561</v>
      </c>
      <c r="C491" s="3" t="s">
        <v>1562</v>
      </c>
      <c r="D491" s="3" t="s">
        <v>1563</v>
      </c>
      <c r="E491" s="3" t="s">
        <v>1564</v>
      </c>
      <c r="F491" s="3" t="s">
        <v>131</v>
      </c>
      <c r="G491" s="3" t="s">
        <v>132</v>
      </c>
      <c r="H491" s="4">
        <v>2.0</v>
      </c>
      <c r="I491" s="4">
        <v>2.0</v>
      </c>
      <c r="J491" s="3"/>
      <c r="K491" s="3" t="s">
        <v>1565</v>
      </c>
      <c r="L491" s="3" t="s">
        <v>1566</v>
      </c>
      <c r="M491" s="3" t="s">
        <v>22</v>
      </c>
      <c r="N491" s="5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5" t="s">
        <v>14</v>
      </c>
      <c r="B492" s="15" t="s">
        <v>1567</v>
      </c>
      <c r="C492" s="15" t="s">
        <v>1568</v>
      </c>
      <c r="D492" s="15" t="s">
        <v>1569</v>
      </c>
      <c r="E492" s="15" t="s">
        <v>1570</v>
      </c>
      <c r="F492" s="15" t="s">
        <v>36</v>
      </c>
      <c r="G492" s="15" t="s">
        <v>1113</v>
      </c>
      <c r="H492" s="18" t="s">
        <v>36</v>
      </c>
      <c r="I492" s="18">
        <v>1.0</v>
      </c>
      <c r="J492" s="15" t="s">
        <v>80</v>
      </c>
      <c r="K492" s="15" t="s">
        <v>1571</v>
      </c>
      <c r="L492" s="15" t="s">
        <v>1572</v>
      </c>
      <c r="M492" s="15" t="s">
        <v>22</v>
      </c>
      <c r="N492" s="20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5" t="s">
        <v>14</v>
      </c>
      <c r="B493" s="15" t="s">
        <v>1567</v>
      </c>
      <c r="C493" s="15" t="s">
        <v>1568</v>
      </c>
      <c r="D493" s="15" t="s">
        <v>1569</v>
      </c>
      <c r="E493" s="15" t="s">
        <v>1570</v>
      </c>
      <c r="F493" s="15" t="s">
        <v>1573</v>
      </c>
      <c r="G493" s="15" t="s">
        <v>437</v>
      </c>
      <c r="H493" s="18">
        <v>1.0</v>
      </c>
      <c r="I493" s="18">
        <v>2.0</v>
      </c>
      <c r="J493" s="15"/>
      <c r="K493" s="15" t="s">
        <v>1571</v>
      </c>
      <c r="L493" s="15" t="s">
        <v>1572</v>
      </c>
      <c r="M493" s="15" t="s">
        <v>22</v>
      </c>
      <c r="N493" s="20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5" t="s">
        <v>14</v>
      </c>
      <c r="B494" s="15" t="s">
        <v>1567</v>
      </c>
      <c r="C494" s="15" t="s">
        <v>1568</v>
      </c>
      <c r="D494" s="15" t="s">
        <v>1569</v>
      </c>
      <c r="E494" s="15" t="s">
        <v>1570</v>
      </c>
      <c r="F494" s="15" t="s">
        <v>1032</v>
      </c>
      <c r="G494" s="15" t="s">
        <v>1470</v>
      </c>
      <c r="H494" s="18">
        <v>2.0</v>
      </c>
      <c r="I494" s="18">
        <v>3.0</v>
      </c>
      <c r="J494" s="15"/>
      <c r="K494" s="15" t="s">
        <v>1571</v>
      </c>
      <c r="L494" s="15" t="s">
        <v>1572</v>
      </c>
      <c r="M494" s="15" t="s">
        <v>22</v>
      </c>
      <c r="N494" s="20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3" t="s">
        <v>14</v>
      </c>
      <c r="B495" s="3" t="s">
        <v>1574</v>
      </c>
      <c r="C495" s="3" t="s">
        <v>1575</v>
      </c>
      <c r="D495" s="3" t="s">
        <v>1576</v>
      </c>
      <c r="E495" s="3" t="s">
        <v>1577</v>
      </c>
      <c r="F495" s="3" t="s">
        <v>702</v>
      </c>
      <c r="G495" s="3" t="s">
        <v>712</v>
      </c>
      <c r="H495" s="4">
        <v>1.0</v>
      </c>
      <c r="I495" s="4">
        <v>1.0</v>
      </c>
      <c r="J495" s="3"/>
      <c r="K495" s="3" t="s">
        <v>1578</v>
      </c>
      <c r="L495" s="3" t="s">
        <v>1579</v>
      </c>
      <c r="M495" s="3" t="s">
        <v>22</v>
      </c>
      <c r="N495" s="5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14</v>
      </c>
      <c r="B496" s="3" t="s">
        <v>1574</v>
      </c>
      <c r="C496" s="3" t="s">
        <v>1575</v>
      </c>
      <c r="D496" s="3" t="s">
        <v>1576</v>
      </c>
      <c r="E496" s="3" t="s">
        <v>1577</v>
      </c>
      <c r="F496" s="3" t="s">
        <v>629</v>
      </c>
      <c r="G496" s="3" t="s">
        <v>630</v>
      </c>
      <c r="H496" s="4">
        <v>2.0</v>
      </c>
      <c r="I496" s="4">
        <v>2.0</v>
      </c>
      <c r="J496" s="3"/>
      <c r="K496" s="3" t="s">
        <v>1578</v>
      </c>
      <c r="L496" s="3" t="s">
        <v>1579</v>
      </c>
      <c r="M496" s="3" t="s">
        <v>22</v>
      </c>
      <c r="N496" s="5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14</v>
      </c>
      <c r="B497" s="3" t="s">
        <v>1580</v>
      </c>
      <c r="C497" s="3" t="s">
        <v>1581</v>
      </c>
      <c r="D497" s="3" t="s">
        <v>1582</v>
      </c>
      <c r="E497" s="3" t="s">
        <v>1583</v>
      </c>
      <c r="F497" s="3" t="s">
        <v>1584</v>
      </c>
      <c r="G497" s="3" t="s">
        <v>703</v>
      </c>
      <c r="H497" s="4">
        <v>1.0</v>
      </c>
      <c r="I497" s="4">
        <v>1.0</v>
      </c>
      <c r="J497" s="3"/>
      <c r="K497" s="3" t="s">
        <v>1585</v>
      </c>
      <c r="L497" s="3" t="s">
        <v>1586</v>
      </c>
      <c r="M497" s="3" t="s">
        <v>22</v>
      </c>
      <c r="N497" s="5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14</v>
      </c>
      <c r="B498" s="3" t="s">
        <v>1580</v>
      </c>
      <c r="C498" s="3" t="s">
        <v>1581</v>
      </c>
      <c r="D498" s="3" t="s">
        <v>1582</v>
      </c>
      <c r="E498" s="3" t="s">
        <v>1583</v>
      </c>
      <c r="F498" s="3" t="s">
        <v>1331</v>
      </c>
      <c r="G498" s="3" t="s">
        <v>1181</v>
      </c>
      <c r="H498" s="4">
        <v>2.0</v>
      </c>
      <c r="I498" s="4">
        <v>2.0</v>
      </c>
      <c r="J498" s="3"/>
      <c r="K498" s="3" t="s">
        <v>1585</v>
      </c>
      <c r="L498" s="3" t="s">
        <v>1586</v>
      </c>
      <c r="M498" s="3" t="s">
        <v>22</v>
      </c>
      <c r="N498" s="5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5" t="s">
        <v>14</v>
      </c>
      <c r="B499" s="15" t="s">
        <v>1587</v>
      </c>
      <c r="C499" s="15" t="s">
        <v>1588</v>
      </c>
      <c r="D499" s="15" t="s">
        <v>1589</v>
      </c>
      <c r="E499" s="15" t="s">
        <v>1590</v>
      </c>
      <c r="F499" s="15" t="s">
        <v>36</v>
      </c>
      <c r="G499" s="15" t="s">
        <v>1113</v>
      </c>
      <c r="H499" s="18" t="s">
        <v>36</v>
      </c>
      <c r="I499" s="18">
        <v>1.0</v>
      </c>
      <c r="J499" s="15" t="s">
        <v>80</v>
      </c>
      <c r="K499" s="15" t="s">
        <v>1591</v>
      </c>
      <c r="L499" s="15" t="s">
        <v>1592</v>
      </c>
      <c r="M499" s="15" t="s">
        <v>22</v>
      </c>
      <c r="N499" s="20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5" t="s">
        <v>14</v>
      </c>
      <c r="B500" s="15" t="s">
        <v>1587</v>
      </c>
      <c r="C500" s="15" t="s">
        <v>1588</v>
      </c>
      <c r="D500" s="15" t="s">
        <v>1589</v>
      </c>
      <c r="E500" s="15" t="s">
        <v>1590</v>
      </c>
      <c r="F500" s="15" t="s">
        <v>702</v>
      </c>
      <c r="G500" s="15" t="s">
        <v>1593</v>
      </c>
      <c r="H500" s="18">
        <v>1.0</v>
      </c>
      <c r="I500" s="18">
        <v>2.0</v>
      </c>
      <c r="J500" s="15"/>
      <c r="K500" s="15" t="s">
        <v>1591</v>
      </c>
      <c r="L500" s="15" t="s">
        <v>1592</v>
      </c>
      <c r="M500" s="15" t="s">
        <v>22</v>
      </c>
      <c r="N500" s="20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5" t="s">
        <v>14</v>
      </c>
      <c r="B501" s="15" t="s">
        <v>1587</v>
      </c>
      <c r="C501" s="15" t="s">
        <v>1588</v>
      </c>
      <c r="D501" s="15" t="s">
        <v>1589</v>
      </c>
      <c r="E501" s="15" t="s">
        <v>1590</v>
      </c>
      <c r="F501" s="15" t="s">
        <v>1032</v>
      </c>
      <c r="G501" s="15" t="s">
        <v>1076</v>
      </c>
      <c r="H501" s="18">
        <v>2.0</v>
      </c>
      <c r="I501" s="18">
        <v>3.0</v>
      </c>
      <c r="J501" s="15"/>
      <c r="K501" s="15" t="s">
        <v>1591</v>
      </c>
      <c r="L501" s="15" t="s">
        <v>1592</v>
      </c>
      <c r="M501" s="15" t="s">
        <v>22</v>
      </c>
      <c r="N501" s="20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3" t="s">
        <v>14</v>
      </c>
      <c r="B502" s="3" t="s">
        <v>1594</v>
      </c>
      <c r="C502" s="3" t="s">
        <v>1595</v>
      </c>
      <c r="D502" s="3" t="s">
        <v>1596</v>
      </c>
      <c r="E502" s="3" t="s">
        <v>1597</v>
      </c>
      <c r="F502" s="3" t="s">
        <v>1598</v>
      </c>
      <c r="G502" s="3" t="s">
        <v>1599</v>
      </c>
      <c r="H502" s="4">
        <v>1.0</v>
      </c>
      <c r="I502" s="4">
        <v>1.0</v>
      </c>
      <c r="J502" s="3"/>
      <c r="K502" s="3" t="s">
        <v>1600</v>
      </c>
      <c r="L502" s="3" t="s">
        <v>1601</v>
      </c>
      <c r="M502" s="3" t="s">
        <v>22</v>
      </c>
      <c r="N502" s="5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14</v>
      </c>
      <c r="B503" s="3" t="s">
        <v>1594</v>
      </c>
      <c r="C503" s="3" t="s">
        <v>1595</v>
      </c>
      <c r="D503" s="3" t="s">
        <v>1596</v>
      </c>
      <c r="E503" s="3" t="s">
        <v>1597</v>
      </c>
      <c r="F503" s="3" t="s">
        <v>629</v>
      </c>
      <c r="G503" s="3" t="s">
        <v>630</v>
      </c>
      <c r="H503" s="4">
        <v>2.0</v>
      </c>
      <c r="I503" s="4">
        <v>2.0</v>
      </c>
      <c r="J503" s="3"/>
      <c r="K503" s="3" t="s">
        <v>1600</v>
      </c>
      <c r="L503" s="3" t="s">
        <v>1601</v>
      </c>
      <c r="M503" s="3" t="s">
        <v>22</v>
      </c>
      <c r="N503" s="5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14</v>
      </c>
      <c r="B504" s="3" t="s">
        <v>1602</v>
      </c>
      <c r="C504" s="3" t="s">
        <v>1603</v>
      </c>
      <c r="D504" s="3" t="s">
        <v>1604</v>
      </c>
      <c r="E504" s="3" t="s">
        <v>1605</v>
      </c>
      <c r="F504" s="3" t="s">
        <v>114</v>
      </c>
      <c r="G504" s="3" t="s">
        <v>668</v>
      </c>
      <c r="H504" s="4">
        <v>1.0</v>
      </c>
      <c r="I504" s="4">
        <v>1.0</v>
      </c>
      <c r="J504" s="3"/>
      <c r="K504" s="3" t="s">
        <v>1606</v>
      </c>
      <c r="L504" s="3" t="s">
        <v>1607</v>
      </c>
      <c r="M504" s="3" t="s">
        <v>22</v>
      </c>
      <c r="N504" s="5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14</v>
      </c>
      <c r="B505" s="3" t="s">
        <v>1602</v>
      </c>
      <c r="C505" s="3" t="s">
        <v>1603</v>
      </c>
      <c r="D505" s="3" t="s">
        <v>1604</v>
      </c>
      <c r="E505" s="3" t="s">
        <v>1605</v>
      </c>
      <c r="F505" s="3" t="s">
        <v>1608</v>
      </c>
      <c r="G505" s="3" t="s">
        <v>1152</v>
      </c>
      <c r="H505" s="4">
        <v>2.0</v>
      </c>
      <c r="I505" s="4">
        <v>2.0</v>
      </c>
      <c r="J505" s="3"/>
      <c r="K505" s="3" t="s">
        <v>1606</v>
      </c>
      <c r="L505" s="3" t="s">
        <v>1607</v>
      </c>
      <c r="M505" s="3" t="s">
        <v>22</v>
      </c>
      <c r="N505" s="5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5" t="s">
        <v>14</v>
      </c>
      <c r="B506" s="15" t="s">
        <v>1609</v>
      </c>
      <c r="C506" s="15" t="s">
        <v>1610</v>
      </c>
      <c r="D506" s="15" t="s">
        <v>1611</v>
      </c>
      <c r="E506" s="15" t="s">
        <v>1612</v>
      </c>
      <c r="F506" s="15" t="s">
        <v>36</v>
      </c>
      <c r="G506" s="15" t="s">
        <v>30</v>
      </c>
      <c r="H506" s="18" t="s">
        <v>36</v>
      </c>
      <c r="I506" s="18">
        <v>1.0</v>
      </c>
      <c r="J506" s="15" t="s">
        <v>80</v>
      </c>
      <c r="K506" s="15" t="s">
        <v>1613</v>
      </c>
      <c r="L506" s="15" t="s">
        <v>1614</v>
      </c>
      <c r="M506" s="15" t="s">
        <v>22</v>
      </c>
      <c r="N506" s="20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5" t="s">
        <v>14</v>
      </c>
      <c r="B507" s="15" t="s">
        <v>1609</v>
      </c>
      <c r="C507" s="15" t="s">
        <v>1610</v>
      </c>
      <c r="D507" s="15" t="s">
        <v>1611</v>
      </c>
      <c r="E507" s="15" t="s">
        <v>1612</v>
      </c>
      <c r="F507" s="15" t="s">
        <v>1615</v>
      </c>
      <c r="G507" s="15" t="s">
        <v>1616</v>
      </c>
      <c r="H507" s="18">
        <v>1.0</v>
      </c>
      <c r="I507" s="18">
        <v>2.0</v>
      </c>
      <c r="J507" s="15"/>
      <c r="K507" s="15" t="s">
        <v>1613</v>
      </c>
      <c r="L507" s="15" t="s">
        <v>1614</v>
      </c>
      <c r="M507" s="15" t="s">
        <v>22</v>
      </c>
      <c r="N507" s="20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5" t="s">
        <v>14</v>
      </c>
      <c r="B508" s="15" t="s">
        <v>1609</v>
      </c>
      <c r="C508" s="15" t="s">
        <v>1610</v>
      </c>
      <c r="D508" s="15" t="s">
        <v>1611</v>
      </c>
      <c r="E508" s="15" t="s">
        <v>1612</v>
      </c>
      <c r="F508" s="15" t="s">
        <v>131</v>
      </c>
      <c r="G508" s="15" t="s">
        <v>132</v>
      </c>
      <c r="H508" s="18">
        <v>2.0</v>
      </c>
      <c r="I508" s="18">
        <v>3.0</v>
      </c>
      <c r="J508" s="15"/>
      <c r="K508" s="15" t="s">
        <v>1613</v>
      </c>
      <c r="L508" s="15" t="s">
        <v>1614</v>
      </c>
      <c r="M508" s="15" t="s">
        <v>22</v>
      </c>
      <c r="N508" s="20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3" t="s">
        <v>14</v>
      </c>
      <c r="B509" s="3" t="s">
        <v>1617</v>
      </c>
      <c r="C509" s="3" t="s">
        <v>1618</v>
      </c>
      <c r="D509" s="3" t="s">
        <v>1619</v>
      </c>
      <c r="E509" s="3" t="s">
        <v>1620</v>
      </c>
      <c r="F509" s="3" t="s">
        <v>1621</v>
      </c>
      <c r="G509" s="3" t="s">
        <v>1137</v>
      </c>
      <c r="H509" s="4">
        <v>1.0</v>
      </c>
      <c r="I509" s="4">
        <v>1.0</v>
      </c>
      <c r="J509" s="3"/>
      <c r="K509" s="3" t="s">
        <v>1622</v>
      </c>
      <c r="L509" s="3" t="s">
        <v>1623</v>
      </c>
      <c r="M509" s="3" t="s">
        <v>22</v>
      </c>
      <c r="N509" s="5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14</v>
      </c>
      <c r="B510" s="3" t="s">
        <v>1617</v>
      </c>
      <c r="C510" s="3" t="s">
        <v>1618</v>
      </c>
      <c r="D510" s="3" t="s">
        <v>1619</v>
      </c>
      <c r="E510" s="3" t="s">
        <v>1620</v>
      </c>
      <c r="F510" s="3" t="s">
        <v>451</v>
      </c>
      <c r="G510" s="3" t="s">
        <v>1211</v>
      </c>
      <c r="H510" s="4">
        <v>2.0</v>
      </c>
      <c r="I510" s="4">
        <v>2.0</v>
      </c>
      <c r="J510" s="3"/>
      <c r="K510" s="3" t="s">
        <v>1622</v>
      </c>
      <c r="L510" s="3" t="s">
        <v>1623</v>
      </c>
      <c r="M510" s="3" t="s">
        <v>22</v>
      </c>
      <c r="N510" s="5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14</v>
      </c>
      <c r="B511" s="3" t="s">
        <v>1624</v>
      </c>
      <c r="C511" s="3" t="s">
        <v>1625</v>
      </c>
      <c r="D511" s="3" t="s">
        <v>1626</v>
      </c>
      <c r="E511" s="3" t="s">
        <v>1627</v>
      </c>
      <c r="F511" s="3" t="s">
        <v>1554</v>
      </c>
      <c r="G511" s="3" t="s">
        <v>1628</v>
      </c>
      <c r="H511" s="4">
        <v>1.0</v>
      </c>
      <c r="I511" s="4">
        <v>1.0</v>
      </c>
      <c r="J511" s="3"/>
      <c r="K511" s="3" t="s">
        <v>1629</v>
      </c>
      <c r="L511" s="3" t="s">
        <v>1630</v>
      </c>
      <c r="M511" s="3" t="s">
        <v>22</v>
      </c>
      <c r="N511" s="5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14</v>
      </c>
      <c r="B512" s="3" t="s">
        <v>1624</v>
      </c>
      <c r="C512" s="3" t="s">
        <v>1625</v>
      </c>
      <c r="D512" s="3" t="s">
        <v>1626</v>
      </c>
      <c r="E512" s="3" t="s">
        <v>1627</v>
      </c>
      <c r="F512" s="3" t="s">
        <v>1631</v>
      </c>
      <c r="G512" s="3" t="s">
        <v>1632</v>
      </c>
      <c r="H512" s="4">
        <v>2.0</v>
      </c>
      <c r="I512" s="4">
        <v>2.0</v>
      </c>
      <c r="J512" s="3"/>
      <c r="K512" s="3" t="s">
        <v>1629</v>
      </c>
      <c r="L512" s="3" t="s">
        <v>1630</v>
      </c>
      <c r="M512" s="3" t="s">
        <v>22</v>
      </c>
      <c r="N512" s="5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14</v>
      </c>
      <c r="B513" s="3" t="s">
        <v>1633</v>
      </c>
      <c r="C513" s="3" t="s">
        <v>1634</v>
      </c>
      <c r="D513" s="3" t="s">
        <v>1635</v>
      </c>
      <c r="E513" s="3" t="s">
        <v>1636</v>
      </c>
      <c r="F513" s="3" t="s">
        <v>1637</v>
      </c>
      <c r="G513" s="3" t="s">
        <v>1638</v>
      </c>
      <c r="H513" s="4">
        <v>1.0</v>
      </c>
      <c r="I513" s="4">
        <v>1.0</v>
      </c>
      <c r="J513" s="3" t="s">
        <v>72</v>
      </c>
      <c r="K513" s="3" t="s">
        <v>1639</v>
      </c>
      <c r="L513" s="3" t="s">
        <v>1640</v>
      </c>
      <c r="M513" s="3" t="s">
        <v>22</v>
      </c>
      <c r="N513" s="5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14</v>
      </c>
      <c r="B514" s="3" t="s">
        <v>1633</v>
      </c>
      <c r="C514" s="3" t="s">
        <v>1634</v>
      </c>
      <c r="D514" s="3" t="s">
        <v>1635</v>
      </c>
      <c r="E514" s="3" t="s">
        <v>1636</v>
      </c>
      <c r="F514" s="3" t="s">
        <v>131</v>
      </c>
      <c r="G514" s="3" t="s">
        <v>132</v>
      </c>
      <c r="H514" s="4">
        <v>2.0</v>
      </c>
      <c r="I514" s="4">
        <v>2.0</v>
      </c>
      <c r="J514" s="3"/>
      <c r="K514" s="3" t="s">
        <v>1639</v>
      </c>
      <c r="L514" s="3" t="s">
        <v>1640</v>
      </c>
      <c r="M514" s="3" t="s">
        <v>22</v>
      </c>
      <c r="N514" s="5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5" t="s">
        <v>14</v>
      </c>
      <c r="B515" s="15" t="s">
        <v>1641</v>
      </c>
      <c r="C515" s="15" t="s">
        <v>1642</v>
      </c>
      <c r="D515" s="15" t="s">
        <v>1643</v>
      </c>
      <c r="E515" s="15" t="s">
        <v>1644</v>
      </c>
      <c r="F515" s="15" t="s">
        <v>36</v>
      </c>
      <c r="G515" s="15" t="s">
        <v>30</v>
      </c>
      <c r="H515" s="18" t="s">
        <v>36</v>
      </c>
      <c r="I515" s="18">
        <v>1.0</v>
      </c>
      <c r="J515" s="15" t="s">
        <v>80</v>
      </c>
      <c r="K515" s="15" t="s">
        <v>1645</v>
      </c>
      <c r="L515" s="15" t="s">
        <v>1646</v>
      </c>
      <c r="M515" s="15" t="s">
        <v>22</v>
      </c>
      <c r="N515" s="20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5" t="s">
        <v>14</v>
      </c>
      <c r="B516" s="15" t="s">
        <v>1641</v>
      </c>
      <c r="C516" s="15" t="s">
        <v>1642</v>
      </c>
      <c r="D516" s="15" t="s">
        <v>1643</v>
      </c>
      <c r="E516" s="15" t="s">
        <v>1644</v>
      </c>
      <c r="F516" s="15" t="s">
        <v>1647</v>
      </c>
      <c r="G516" s="15" t="s">
        <v>591</v>
      </c>
      <c r="H516" s="18">
        <v>1.0</v>
      </c>
      <c r="I516" s="18">
        <v>2.0</v>
      </c>
      <c r="J516" s="15"/>
      <c r="K516" s="15" t="s">
        <v>1645</v>
      </c>
      <c r="L516" s="15" t="s">
        <v>1646</v>
      </c>
      <c r="M516" s="15" t="s">
        <v>22</v>
      </c>
      <c r="N516" s="20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5" t="s">
        <v>14</v>
      </c>
      <c r="B517" s="15" t="s">
        <v>1641</v>
      </c>
      <c r="C517" s="15" t="s">
        <v>1642</v>
      </c>
      <c r="D517" s="15" t="s">
        <v>1643</v>
      </c>
      <c r="E517" s="15" t="s">
        <v>1644</v>
      </c>
      <c r="F517" s="15" t="s">
        <v>451</v>
      </c>
      <c r="G517" s="15" t="s">
        <v>1211</v>
      </c>
      <c r="H517" s="18">
        <v>2.0</v>
      </c>
      <c r="I517" s="18">
        <v>3.0</v>
      </c>
      <c r="J517" s="15"/>
      <c r="K517" s="15" t="s">
        <v>1645</v>
      </c>
      <c r="L517" s="15" t="s">
        <v>1646</v>
      </c>
      <c r="M517" s="15" t="s">
        <v>22</v>
      </c>
      <c r="N517" s="20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21" t="s">
        <v>14</v>
      </c>
      <c r="B518" s="21" t="s">
        <v>1648</v>
      </c>
      <c r="C518" s="21" t="s">
        <v>1649</v>
      </c>
      <c r="D518" s="21" t="s">
        <v>1650</v>
      </c>
      <c r="E518" s="21" t="s">
        <v>1651</v>
      </c>
      <c r="F518" s="21" t="s">
        <v>36</v>
      </c>
      <c r="G518" s="21" t="s">
        <v>1113</v>
      </c>
      <c r="H518" s="22" t="s">
        <v>36</v>
      </c>
      <c r="I518" s="22">
        <v>1.0</v>
      </c>
      <c r="J518" s="21" t="s">
        <v>80</v>
      </c>
      <c r="K518" s="21" t="s">
        <v>1652</v>
      </c>
      <c r="L518" s="21" t="s">
        <v>1653</v>
      </c>
      <c r="M518" s="21" t="s">
        <v>22</v>
      </c>
      <c r="N518" s="23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1" t="s">
        <v>14</v>
      </c>
      <c r="B519" s="21" t="s">
        <v>1648</v>
      </c>
      <c r="C519" s="21" t="s">
        <v>1649</v>
      </c>
      <c r="D519" s="21" t="s">
        <v>1650</v>
      </c>
      <c r="E519" s="21" t="s">
        <v>1651</v>
      </c>
      <c r="F519" s="21" t="s">
        <v>244</v>
      </c>
      <c r="G519" s="21" t="s">
        <v>1654</v>
      </c>
      <c r="H519" s="22">
        <v>1.0</v>
      </c>
      <c r="I519" s="22">
        <v>2.0</v>
      </c>
      <c r="J519" s="21"/>
      <c r="K519" s="21" t="s">
        <v>1652</v>
      </c>
      <c r="L519" s="21" t="s">
        <v>1653</v>
      </c>
      <c r="M519" s="21" t="s">
        <v>22</v>
      </c>
      <c r="N519" s="23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1" t="s">
        <v>14</v>
      </c>
      <c r="B520" s="21" t="s">
        <v>1648</v>
      </c>
      <c r="C520" s="21" t="s">
        <v>1649</v>
      </c>
      <c r="D520" s="21" t="s">
        <v>1650</v>
      </c>
      <c r="E520" s="21" t="s">
        <v>1651</v>
      </c>
      <c r="F520" s="21" t="s">
        <v>1494</v>
      </c>
      <c r="G520" s="21" t="s">
        <v>1495</v>
      </c>
      <c r="H520" s="22">
        <v>2.0</v>
      </c>
      <c r="I520" s="22">
        <v>3.0</v>
      </c>
      <c r="J520" s="21"/>
      <c r="K520" s="21" t="s">
        <v>1652</v>
      </c>
      <c r="L520" s="21" t="s">
        <v>1653</v>
      </c>
      <c r="M520" s="21" t="s">
        <v>22</v>
      </c>
      <c r="N520" s="23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1" t="s">
        <v>14</v>
      </c>
      <c r="B521" s="21" t="s">
        <v>1655</v>
      </c>
      <c r="C521" s="21" t="s">
        <v>1656</v>
      </c>
      <c r="D521" s="21" t="s">
        <v>1655</v>
      </c>
      <c r="E521" s="21" t="s">
        <v>1657</v>
      </c>
      <c r="F521" s="21" t="s">
        <v>36</v>
      </c>
      <c r="G521" s="21" t="s">
        <v>437</v>
      </c>
      <c r="H521" s="22" t="s">
        <v>36</v>
      </c>
      <c r="I521" s="22">
        <v>1.0</v>
      </c>
      <c r="J521" s="21" t="s">
        <v>80</v>
      </c>
      <c r="K521" s="21" t="s">
        <v>1658</v>
      </c>
      <c r="L521" s="21" t="s">
        <v>1659</v>
      </c>
      <c r="M521" s="21" t="s">
        <v>22</v>
      </c>
      <c r="N521" s="23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1" t="s">
        <v>14</v>
      </c>
      <c r="B522" s="21" t="s">
        <v>1655</v>
      </c>
      <c r="C522" s="21" t="s">
        <v>1656</v>
      </c>
      <c r="D522" s="21" t="s">
        <v>1655</v>
      </c>
      <c r="E522" s="21" t="s">
        <v>1657</v>
      </c>
      <c r="F522" s="21" t="s">
        <v>1655</v>
      </c>
      <c r="G522" s="21" t="s">
        <v>1033</v>
      </c>
      <c r="H522" s="22">
        <v>1.0</v>
      </c>
      <c r="I522" s="22">
        <v>2.0</v>
      </c>
      <c r="J522" s="21"/>
      <c r="K522" s="21" t="s">
        <v>1658</v>
      </c>
      <c r="L522" s="21" t="s">
        <v>1659</v>
      </c>
      <c r="M522" s="21" t="s">
        <v>22</v>
      </c>
      <c r="N522" s="23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15" t="s">
        <v>14</v>
      </c>
      <c r="B523" s="15" t="s">
        <v>1660</v>
      </c>
      <c r="C523" s="15" t="s">
        <v>1661</v>
      </c>
      <c r="D523" s="15" t="s">
        <v>1662</v>
      </c>
      <c r="E523" s="15" t="s">
        <v>1663</v>
      </c>
      <c r="F523" s="15" t="s">
        <v>244</v>
      </c>
      <c r="G523" s="15" t="s">
        <v>402</v>
      </c>
      <c r="H523" s="18">
        <v>1.0</v>
      </c>
      <c r="I523" s="18">
        <v>1.0</v>
      </c>
      <c r="J523" s="15"/>
      <c r="K523" s="15" t="s">
        <v>1664</v>
      </c>
      <c r="L523" s="15" t="s">
        <v>1008</v>
      </c>
      <c r="M523" s="15" t="s">
        <v>22</v>
      </c>
      <c r="N523" s="20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5" t="s">
        <v>14</v>
      </c>
      <c r="B524" s="15" t="s">
        <v>1660</v>
      </c>
      <c r="C524" s="15" t="s">
        <v>1661</v>
      </c>
      <c r="D524" s="15" t="s">
        <v>1662</v>
      </c>
      <c r="E524" s="15" t="s">
        <v>1663</v>
      </c>
      <c r="F524" s="15" t="s">
        <v>425</v>
      </c>
      <c r="G524" s="15" t="s">
        <v>425</v>
      </c>
      <c r="H524" s="18">
        <v>2.0</v>
      </c>
      <c r="I524" s="18">
        <v>2.0</v>
      </c>
      <c r="J524" s="15"/>
      <c r="K524" s="15" t="s">
        <v>1664</v>
      </c>
      <c r="L524" s="15" t="s">
        <v>1008</v>
      </c>
      <c r="M524" s="15" t="s">
        <v>22</v>
      </c>
      <c r="N524" s="20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5" t="s">
        <v>14</v>
      </c>
      <c r="B525" s="15" t="s">
        <v>1660</v>
      </c>
      <c r="C525" s="15" t="s">
        <v>1661</v>
      </c>
      <c r="D525" s="15" t="s">
        <v>1662</v>
      </c>
      <c r="E525" s="15" t="s">
        <v>1663</v>
      </c>
      <c r="F525" s="15" t="s">
        <v>1387</v>
      </c>
      <c r="G525" s="15" t="s">
        <v>1388</v>
      </c>
      <c r="H525" s="18">
        <v>3.0</v>
      </c>
      <c r="I525" s="18">
        <v>3.0</v>
      </c>
      <c r="J525" s="15"/>
      <c r="K525" s="15" t="s">
        <v>1664</v>
      </c>
      <c r="L525" s="15" t="s">
        <v>1008</v>
      </c>
      <c r="M525" s="15" t="s">
        <v>22</v>
      </c>
      <c r="N525" s="20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3" t="s">
        <v>14</v>
      </c>
      <c r="B526" s="3" t="s">
        <v>1665</v>
      </c>
      <c r="C526" s="3" t="s">
        <v>1666</v>
      </c>
      <c r="D526" s="3" t="s">
        <v>1667</v>
      </c>
      <c r="E526" s="3" t="s">
        <v>1668</v>
      </c>
      <c r="F526" s="3" t="s">
        <v>244</v>
      </c>
      <c r="G526" s="3" t="s">
        <v>242</v>
      </c>
      <c r="H526" s="4">
        <v>1.0</v>
      </c>
      <c r="I526" s="4">
        <v>1.0</v>
      </c>
      <c r="J526" s="3"/>
      <c r="K526" s="3" t="s">
        <v>1669</v>
      </c>
      <c r="L526" s="3" t="s">
        <v>243</v>
      </c>
      <c r="M526" s="3" t="s">
        <v>22</v>
      </c>
      <c r="N526" s="5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14</v>
      </c>
      <c r="B527" s="3" t="s">
        <v>1665</v>
      </c>
      <c r="C527" s="3" t="s">
        <v>1666</v>
      </c>
      <c r="D527" s="3" t="s">
        <v>1667</v>
      </c>
      <c r="E527" s="3" t="s">
        <v>1668</v>
      </c>
      <c r="F527" s="3" t="s">
        <v>629</v>
      </c>
      <c r="G527" s="3" t="s">
        <v>630</v>
      </c>
      <c r="H527" s="4">
        <v>2.0</v>
      </c>
      <c r="I527" s="4">
        <v>2.0</v>
      </c>
      <c r="J527" s="3"/>
      <c r="K527" s="3" t="s">
        <v>1669</v>
      </c>
      <c r="L527" s="3" t="s">
        <v>243</v>
      </c>
      <c r="M527" s="3" t="s">
        <v>22</v>
      </c>
      <c r="N527" s="5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14</v>
      </c>
      <c r="B528" s="3" t="s">
        <v>1670</v>
      </c>
      <c r="C528" s="3" t="s">
        <v>1671</v>
      </c>
      <c r="D528" s="3" t="s">
        <v>1672</v>
      </c>
      <c r="E528" s="3" t="s">
        <v>1673</v>
      </c>
      <c r="F528" s="3" t="s">
        <v>244</v>
      </c>
      <c r="G528" s="3" t="s">
        <v>242</v>
      </c>
      <c r="H528" s="4">
        <v>1.0</v>
      </c>
      <c r="I528" s="4">
        <v>1.0</v>
      </c>
      <c r="J528" s="3"/>
      <c r="K528" s="3" t="s">
        <v>1674</v>
      </c>
      <c r="L528" s="3" t="s">
        <v>1675</v>
      </c>
      <c r="M528" s="3" t="s">
        <v>22</v>
      </c>
      <c r="N528" s="5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14</v>
      </c>
      <c r="B529" s="3" t="s">
        <v>1670</v>
      </c>
      <c r="C529" s="3" t="s">
        <v>1671</v>
      </c>
      <c r="D529" s="3" t="s">
        <v>1672</v>
      </c>
      <c r="E529" s="3" t="s">
        <v>1673</v>
      </c>
      <c r="F529" s="3" t="s">
        <v>1075</v>
      </c>
      <c r="G529" s="3" t="s">
        <v>1076</v>
      </c>
      <c r="H529" s="4">
        <v>2.0</v>
      </c>
      <c r="I529" s="4">
        <v>2.0</v>
      </c>
      <c r="J529" s="3"/>
      <c r="K529" s="3" t="s">
        <v>1674</v>
      </c>
      <c r="L529" s="3" t="s">
        <v>1675</v>
      </c>
      <c r="M529" s="3" t="s">
        <v>22</v>
      </c>
      <c r="N529" s="5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14</v>
      </c>
      <c r="B530" s="3" t="s">
        <v>1676</v>
      </c>
      <c r="C530" s="3" t="s">
        <v>1677</v>
      </c>
      <c r="D530" s="3" t="s">
        <v>1678</v>
      </c>
      <c r="E530" s="3" t="s">
        <v>1679</v>
      </c>
      <c r="F530" s="3" t="s">
        <v>244</v>
      </c>
      <c r="G530" s="3" t="s">
        <v>242</v>
      </c>
      <c r="H530" s="4">
        <v>1.0</v>
      </c>
      <c r="I530" s="4">
        <v>1.0</v>
      </c>
      <c r="J530" s="3"/>
      <c r="K530" s="3" t="s">
        <v>1680</v>
      </c>
      <c r="L530" s="3" t="s">
        <v>1681</v>
      </c>
      <c r="M530" s="3" t="s">
        <v>22</v>
      </c>
      <c r="N530" s="5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14</v>
      </c>
      <c r="B531" s="3" t="s">
        <v>1676</v>
      </c>
      <c r="C531" s="3" t="s">
        <v>1677</v>
      </c>
      <c r="D531" s="3" t="s">
        <v>1678</v>
      </c>
      <c r="E531" s="3" t="s">
        <v>1679</v>
      </c>
      <c r="F531" s="3" t="s">
        <v>1429</v>
      </c>
      <c r="G531" s="3" t="s">
        <v>1430</v>
      </c>
      <c r="H531" s="4">
        <v>2.0</v>
      </c>
      <c r="I531" s="4">
        <v>2.0</v>
      </c>
      <c r="J531" s="3"/>
      <c r="K531" s="3" t="s">
        <v>1680</v>
      </c>
      <c r="L531" s="3" t="s">
        <v>1681</v>
      </c>
      <c r="M531" s="3" t="s">
        <v>22</v>
      </c>
      <c r="N531" s="5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14</v>
      </c>
      <c r="B532" s="3" t="s">
        <v>1682</v>
      </c>
      <c r="C532" s="3" t="s">
        <v>1683</v>
      </c>
      <c r="D532" s="3" t="s">
        <v>1684</v>
      </c>
      <c r="E532" s="3" t="s">
        <v>1685</v>
      </c>
      <c r="F532" s="3" t="s">
        <v>244</v>
      </c>
      <c r="G532" s="3" t="s">
        <v>1686</v>
      </c>
      <c r="H532" s="4">
        <v>1.0</v>
      </c>
      <c r="I532" s="4">
        <v>1.0</v>
      </c>
      <c r="J532" s="3"/>
      <c r="K532" s="3" t="s">
        <v>1687</v>
      </c>
      <c r="L532" s="3" t="s">
        <v>1688</v>
      </c>
      <c r="M532" s="3" t="s">
        <v>22</v>
      </c>
      <c r="N532" s="5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14</v>
      </c>
      <c r="B533" s="3" t="s">
        <v>1682</v>
      </c>
      <c r="C533" s="3" t="s">
        <v>1683</v>
      </c>
      <c r="D533" s="3" t="s">
        <v>1684</v>
      </c>
      <c r="E533" s="3" t="s">
        <v>1685</v>
      </c>
      <c r="F533" s="3" t="s">
        <v>451</v>
      </c>
      <c r="G533" s="3" t="s">
        <v>1211</v>
      </c>
      <c r="H533" s="4">
        <v>2.0</v>
      </c>
      <c r="I533" s="4">
        <v>2.0</v>
      </c>
      <c r="J533" s="3"/>
      <c r="K533" s="3" t="s">
        <v>1687</v>
      </c>
      <c r="L533" s="3" t="s">
        <v>1688</v>
      </c>
      <c r="M533" s="3" t="s">
        <v>22</v>
      </c>
      <c r="N533" s="5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14</v>
      </c>
      <c r="B534" s="3" t="s">
        <v>1689</v>
      </c>
      <c r="C534" s="3" t="s">
        <v>1690</v>
      </c>
      <c r="D534" s="3" t="s">
        <v>1691</v>
      </c>
      <c r="E534" s="3" t="s">
        <v>1692</v>
      </c>
      <c r="F534" s="3" t="s">
        <v>1693</v>
      </c>
      <c r="G534" s="3" t="s">
        <v>987</v>
      </c>
      <c r="H534" s="4">
        <v>1.0</v>
      </c>
      <c r="I534" s="4">
        <v>1.0</v>
      </c>
      <c r="J534" s="3" t="s">
        <v>80</v>
      </c>
      <c r="K534" s="3" t="s">
        <v>1694</v>
      </c>
      <c r="L534" s="3" t="s">
        <v>1695</v>
      </c>
      <c r="M534" s="3" t="s">
        <v>22</v>
      </c>
      <c r="N534" s="5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14</v>
      </c>
      <c r="B535" s="3" t="s">
        <v>1689</v>
      </c>
      <c r="C535" s="3" t="s">
        <v>1690</v>
      </c>
      <c r="D535" s="3" t="s">
        <v>1691</v>
      </c>
      <c r="E535" s="3" t="s">
        <v>1692</v>
      </c>
      <c r="F535" s="3" t="s">
        <v>1494</v>
      </c>
      <c r="G535" s="3" t="s">
        <v>1696</v>
      </c>
      <c r="H535" s="4">
        <v>2.0</v>
      </c>
      <c r="I535" s="4">
        <v>2.0</v>
      </c>
      <c r="J535" s="3"/>
      <c r="K535" s="3" t="s">
        <v>1694</v>
      </c>
      <c r="L535" s="3" t="s">
        <v>1695</v>
      </c>
      <c r="M535" s="3" t="s">
        <v>22</v>
      </c>
      <c r="N535" s="5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14</v>
      </c>
      <c r="B536" s="3" t="s">
        <v>1689</v>
      </c>
      <c r="C536" s="3" t="s">
        <v>1690</v>
      </c>
      <c r="D536" s="3" t="s">
        <v>1691</v>
      </c>
      <c r="E536" s="3" t="s">
        <v>1692</v>
      </c>
      <c r="F536" s="17" t="s">
        <v>36</v>
      </c>
      <c r="G536" s="3" t="s">
        <v>1235</v>
      </c>
      <c r="H536" s="4" t="s">
        <v>36</v>
      </c>
      <c r="I536" s="4">
        <v>3.0</v>
      </c>
      <c r="J536" s="3"/>
      <c r="K536" s="3" t="s">
        <v>1694</v>
      </c>
      <c r="L536" s="3" t="s">
        <v>1695</v>
      </c>
      <c r="M536" s="3" t="s">
        <v>22</v>
      </c>
      <c r="N536" s="5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5" t="s">
        <v>14</v>
      </c>
      <c r="B537" s="15" t="s">
        <v>1697</v>
      </c>
      <c r="C537" s="15" t="s">
        <v>1698</v>
      </c>
      <c r="D537" s="15" t="s">
        <v>1699</v>
      </c>
      <c r="E537" s="15" t="s">
        <v>1700</v>
      </c>
      <c r="F537" s="15" t="s">
        <v>36</v>
      </c>
      <c r="G537" s="15" t="s">
        <v>49</v>
      </c>
      <c r="H537" s="18" t="s">
        <v>36</v>
      </c>
      <c r="I537" s="18">
        <v>1.0</v>
      </c>
      <c r="J537" s="15" t="s">
        <v>80</v>
      </c>
      <c r="K537" s="15" t="s">
        <v>1701</v>
      </c>
      <c r="L537" s="15" t="s">
        <v>1702</v>
      </c>
      <c r="M537" s="15" t="s">
        <v>22</v>
      </c>
      <c r="N537" s="20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5" t="s">
        <v>14</v>
      </c>
      <c r="B538" s="15" t="s">
        <v>1697</v>
      </c>
      <c r="C538" s="15" t="s">
        <v>1698</v>
      </c>
      <c r="D538" s="15" t="s">
        <v>1699</v>
      </c>
      <c r="E538" s="15" t="s">
        <v>1700</v>
      </c>
      <c r="F538" s="15" t="s">
        <v>1703</v>
      </c>
      <c r="G538" s="15" t="s">
        <v>1703</v>
      </c>
      <c r="H538" s="18">
        <v>1.0</v>
      </c>
      <c r="I538" s="18">
        <v>2.0</v>
      </c>
      <c r="J538" s="15"/>
      <c r="K538" s="15" t="s">
        <v>1701</v>
      </c>
      <c r="L538" s="15" t="s">
        <v>1702</v>
      </c>
      <c r="M538" s="15" t="s">
        <v>22</v>
      </c>
      <c r="N538" s="20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5" t="s">
        <v>14</v>
      </c>
      <c r="B539" s="15" t="s">
        <v>1697</v>
      </c>
      <c r="C539" s="15" t="s">
        <v>1698</v>
      </c>
      <c r="D539" s="15" t="s">
        <v>1699</v>
      </c>
      <c r="E539" s="15" t="s">
        <v>1700</v>
      </c>
      <c r="F539" s="15" t="s">
        <v>1331</v>
      </c>
      <c r="G539" s="15" t="s">
        <v>1181</v>
      </c>
      <c r="H539" s="18">
        <v>2.0</v>
      </c>
      <c r="I539" s="18">
        <v>3.0</v>
      </c>
      <c r="J539" s="15"/>
      <c r="K539" s="15" t="s">
        <v>1701</v>
      </c>
      <c r="L539" s="15" t="s">
        <v>1702</v>
      </c>
      <c r="M539" s="15" t="s">
        <v>22</v>
      </c>
      <c r="N539" s="20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3" t="s">
        <v>14</v>
      </c>
      <c r="B540" s="3" t="s">
        <v>1704</v>
      </c>
      <c r="C540" s="3" t="s">
        <v>1705</v>
      </c>
      <c r="D540" s="3" t="s">
        <v>1706</v>
      </c>
      <c r="E540" s="3" t="s">
        <v>1707</v>
      </c>
      <c r="F540" s="3" t="s">
        <v>401</v>
      </c>
      <c r="G540" s="3" t="s">
        <v>1708</v>
      </c>
      <c r="H540" s="4">
        <v>1.0</v>
      </c>
      <c r="I540" s="4">
        <v>1.0</v>
      </c>
      <c r="J540" s="3"/>
      <c r="K540" s="3" t="s">
        <v>1709</v>
      </c>
      <c r="L540" s="3" t="s">
        <v>1710</v>
      </c>
      <c r="M540" s="3" t="s">
        <v>22</v>
      </c>
      <c r="N540" s="5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14</v>
      </c>
      <c r="B541" s="3" t="s">
        <v>1704</v>
      </c>
      <c r="C541" s="3" t="s">
        <v>1705</v>
      </c>
      <c r="D541" s="3" t="s">
        <v>1706</v>
      </c>
      <c r="E541" s="3" t="s">
        <v>1707</v>
      </c>
      <c r="F541" s="3" t="s">
        <v>326</v>
      </c>
      <c r="G541" s="3" t="s">
        <v>1235</v>
      </c>
      <c r="H541" s="4">
        <v>2.0</v>
      </c>
      <c r="I541" s="4">
        <v>2.0</v>
      </c>
      <c r="J541" s="3"/>
      <c r="K541" s="3" t="s">
        <v>1709</v>
      </c>
      <c r="L541" s="3" t="s">
        <v>1710</v>
      </c>
      <c r="M541" s="3" t="s">
        <v>22</v>
      </c>
      <c r="N541" s="5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14</v>
      </c>
      <c r="B542" s="3" t="s">
        <v>1711</v>
      </c>
      <c r="C542" s="3" t="s">
        <v>1712</v>
      </c>
      <c r="D542" s="3" t="s">
        <v>1713</v>
      </c>
      <c r="E542" s="3" t="s">
        <v>1714</v>
      </c>
      <c r="F542" s="3" t="s">
        <v>848</v>
      </c>
      <c r="G542" s="3" t="s">
        <v>870</v>
      </c>
      <c r="H542" s="4">
        <v>1.0</v>
      </c>
      <c r="I542" s="4">
        <v>1.0</v>
      </c>
      <c r="J542" s="3"/>
      <c r="K542" s="3" t="s">
        <v>1715</v>
      </c>
      <c r="L542" s="3" t="s">
        <v>1716</v>
      </c>
      <c r="M542" s="3" t="s">
        <v>22</v>
      </c>
      <c r="N542" s="5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14</v>
      </c>
      <c r="B543" s="3" t="s">
        <v>1711</v>
      </c>
      <c r="C543" s="3" t="s">
        <v>1712</v>
      </c>
      <c r="D543" s="3" t="s">
        <v>1713</v>
      </c>
      <c r="E543" s="3" t="s">
        <v>1714</v>
      </c>
      <c r="F543" s="3" t="s">
        <v>629</v>
      </c>
      <c r="G543" s="3" t="s">
        <v>1717</v>
      </c>
      <c r="H543" s="4">
        <v>2.0</v>
      </c>
      <c r="I543" s="4">
        <v>2.0</v>
      </c>
      <c r="J543" s="3"/>
      <c r="K543" s="3" t="s">
        <v>1715</v>
      </c>
      <c r="L543" s="3" t="s">
        <v>1716</v>
      </c>
      <c r="M543" s="3" t="s">
        <v>22</v>
      </c>
      <c r="N543" s="5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14</v>
      </c>
      <c r="B544" s="3" t="s">
        <v>1718</v>
      </c>
      <c r="C544" s="3" t="s">
        <v>1719</v>
      </c>
      <c r="D544" s="3" t="s">
        <v>1720</v>
      </c>
      <c r="E544" s="3" t="s">
        <v>1721</v>
      </c>
      <c r="F544" s="3" t="s">
        <v>848</v>
      </c>
      <c r="G544" s="3" t="s">
        <v>301</v>
      </c>
      <c r="H544" s="4">
        <v>1.0</v>
      </c>
      <c r="I544" s="4">
        <v>1.0</v>
      </c>
      <c r="J544" s="3"/>
      <c r="K544" s="3" t="s">
        <v>1722</v>
      </c>
      <c r="L544" s="3" t="s">
        <v>1723</v>
      </c>
      <c r="M544" s="3" t="s">
        <v>22</v>
      </c>
      <c r="N544" s="5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14</v>
      </c>
      <c r="B545" s="3" t="s">
        <v>1718</v>
      </c>
      <c r="C545" s="3" t="s">
        <v>1719</v>
      </c>
      <c r="D545" s="3" t="s">
        <v>1720</v>
      </c>
      <c r="E545" s="3" t="s">
        <v>1721</v>
      </c>
      <c r="F545" s="3" t="s">
        <v>108</v>
      </c>
      <c r="G545" s="3" t="s">
        <v>175</v>
      </c>
      <c r="H545" s="4">
        <v>2.0</v>
      </c>
      <c r="I545" s="4">
        <v>2.0</v>
      </c>
      <c r="J545" s="3"/>
      <c r="K545" s="3" t="s">
        <v>1722</v>
      </c>
      <c r="L545" s="3" t="s">
        <v>1723</v>
      </c>
      <c r="M545" s="3" t="s">
        <v>22</v>
      </c>
      <c r="N545" s="5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14</v>
      </c>
      <c r="B546" s="3" t="s">
        <v>1718</v>
      </c>
      <c r="C546" s="3" t="s">
        <v>1719</v>
      </c>
      <c r="D546" s="3" t="s">
        <v>1720</v>
      </c>
      <c r="E546" s="3" t="s">
        <v>1721</v>
      </c>
      <c r="F546" s="3" t="s">
        <v>1396</v>
      </c>
      <c r="G546" s="3" t="s">
        <v>1397</v>
      </c>
      <c r="H546" s="4">
        <v>3.0</v>
      </c>
      <c r="I546" s="4">
        <v>3.0</v>
      </c>
      <c r="J546" s="3"/>
      <c r="K546" s="3" t="s">
        <v>1722</v>
      </c>
      <c r="L546" s="3" t="s">
        <v>1723</v>
      </c>
      <c r="M546" s="3" t="s">
        <v>22</v>
      </c>
      <c r="N546" s="5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14</v>
      </c>
      <c r="B547" s="3" t="s">
        <v>1724</v>
      </c>
      <c r="C547" s="3" t="s">
        <v>1725</v>
      </c>
      <c r="D547" s="3" t="s">
        <v>1726</v>
      </c>
      <c r="E547" s="3" t="s">
        <v>1727</v>
      </c>
      <c r="F547" s="3" t="s">
        <v>848</v>
      </c>
      <c r="G547" s="3" t="s">
        <v>301</v>
      </c>
      <c r="H547" s="4">
        <v>1.0</v>
      </c>
      <c r="I547" s="4">
        <v>1.0</v>
      </c>
      <c r="J547" s="3"/>
      <c r="K547" s="3" t="s">
        <v>1728</v>
      </c>
      <c r="L547" s="3" t="s">
        <v>1729</v>
      </c>
      <c r="M547" s="3" t="s">
        <v>22</v>
      </c>
      <c r="N547" s="5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14</v>
      </c>
      <c r="B548" s="3" t="s">
        <v>1724</v>
      </c>
      <c r="C548" s="3" t="s">
        <v>1725</v>
      </c>
      <c r="D548" s="3" t="s">
        <v>1726</v>
      </c>
      <c r="E548" s="3" t="s">
        <v>1727</v>
      </c>
      <c r="F548" s="3" t="s">
        <v>262</v>
      </c>
      <c r="G548" s="3" t="s">
        <v>1730</v>
      </c>
      <c r="H548" s="4">
        <v>2.0</v>
      </c>
      <c r="I548" s="4">
        <v>2.0</v>
      </c>
      <c r="J548" s="3"/>
      <c r="K548" s="3" t="s">
        <v>1728</v>
      </c>
      <c r="L548" s="3" t="s">
        <v>1729</v>
      </c>
      <c r="M548" s="3" t="s">
        <v>22</v>
      </c>
      <c r="N548" s="5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14</v>
      </c>
      <c r="B549" s="3" t="s">
        <v>1724</v>
      </c>
      <c r="C549" s="3" t="s">
        <v>1725</v>
      </c>
      <c r="D549" s="3" t="s">
        <v>1726</v>
      </c>
      <c r="E549" s="3" t="s">
        <v>1727</v>
      </c>
      <c r="F549" s="3" t="s">
        <v>797</v>
      </c>
      <c r="G549" s="3" t="s">
        <v>798</v>
      </c>
      <c r="H549" s="4">
        <v>3.0</v>
      </c>
      <c r="I549" s="4">
        <v>3.0</v>
      </c>
      <c r="J549" s="3"/>
      <c r="K549" s="3" t="s">
        <v>1728</v>
      </c>
      <c r="L549" s="3" t="s">
        <v>1729</v>
      </c>
      <c r="M549" s="3" t="s">
        <v>22</v>
      </c>
      <c r="N549" s="5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14</v>
      </c>
      <c r="B550" s="3" t="s">
        <v>1731</v>
      </c>
      <c r="C550" s="3" t="s">
        <v>1732</v>
      </c>
      <c r="D550" s="3" t="s">
        <v>1733</v>
      </c>
      <c r="E550" s="3" t="s">
        <v>1734</v>
      </c>
      <c r="F550" s="3" t="s">
        <v>848</v>
      </c>
      <c r="G550" s="3" t="s">
        <v>987</v>
      </c>
      <c r="H550" s="4">
        <v>1.0</v>
      </c>
      <c r="I550" s="4">
        <v>1.0</v>
      </c>
      <c r="J550" s="3"/>
      <c r="K550" s="3" t="s">
        <v>1735</v>
      </c>
      <c r="L550" s="3" t="s">
        <v>1736</v>
      </c>
      <c r="M550" s="3" t="s">
        <v>22</v>
      </c>
      <c r="N550" s="5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14</v>
      </c>
      <c r="B551" s="3" t="s">
        <v>1731</v>
      </c>
      <c r="C551" s="3" t="s">
        <v>1732</v>
      </c>
      <c r="D551" s="3" t="s">
        <v>1733</v>
      </c>
      <c r="E551" s="3" t="s">
        <v>1734</v>
      </c>
      <c r="F551" s="3" t="s">
        <v>1737</v>
      </c>
      <c r="G551" s="3" t="s">
        <v>575</v>
      </c>
      <c r="H551" s="4">
        <v>2.0</v>
      </c>
      <c r="I551" s="4">
        <v>2.0</v>
      </c>
      <c r="J551" s="3"/>
      <c r="K551" s="3" t="s">
        <v>1735</v>
      </c>
      <c r="L551" s="3" t="s">
        <v>1736</v>
      </c>
      <c r="M551" s="3" t="s">
        <v>22</v>
      </c>
      <c r="N551" s="5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14</v>
      </c>
      <c r="B552" s="3" t="s">
        <v>1731</v>
      </c>
      <c r="C552" s="3" t="s">
        <v>1732</v>
      </c>
      <c r="D552" s="3" t="s">
        <v>1733</v>
      </c>
      <c r="E552" s="3" t="s">
        <v>1734</v>
      </c>
      <c r="F552" s="17" t="s">
        <v>36</v>
      </c>
      <c r="G552" s="3" t="s">
        <v>996</v>
      </c>
      <c r="H552" s="4" t="s">
        <v>36</v>
      </c>
      <c r="I552" s="4">
        <v>3.0</v>
      </c>
      <c r="J552" s="3"/>
      <c r="K552" s="3" t="s">
        <v>1735</v>
      </c>
      <c r="L552" s="3" t="s">
        <v>1736</v>
      </c>
      <c r="M552" s="3" t="s">
        <v>22</v>
      </c>
      <c r="N552" s="5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14</v>
      </c>
      <c r="B553" s="3" t="s">
        <v>353</v>
      </c>
      <c r="C553" s="3" t="s">
        <v>1738</v>
      </c>
      <c r="D553" s="3" t="s">
        <v>353</v>
      </c>
      <c r="E553" s="3" t="s">
        <v>1739</v>
      </c>
      <c r="F553" s="3"/>
      <c r="G553" s="3"/>
      <c r="H553" s="4"/>
      <c r="I553" s="4"/>
      <c r="J553" s="3"/>
      <c r="K553" s="3" t="s">
        <v>1740</v>
      </c>
      <c r="L553" s="3" t="s">
        <v>1741</v>
      </c>
      <c r="M553" s="3" t="s">
        <v>22</v>
      </c>
      <c r="N553" s="3" t="s">
        <v>560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5" t="s">
        <v>14</v>
      </c>
      <c r="B554" s="15" t="s">
        <v>1742</v>
      </c>
      <c r="C554" s="15" t="s">
        <v>1743</v>
      </c>
      <c r="D554" s="15" t="s">
        <v>1744</v>
      </c>
      <c r="E554" s="15" t="s">
        <v>1745</v>
      </c>
      <c r="F554" s="15" t="s">
        <v>36</v>
      </c>
      <c r="G554" s="15" t="s">
        <v>49</v>
      </c>
      <c r="H554" s="18" t="s">
        <v>36</v>
      </c>
      <c r="I554" s="18">
        <v>1.0</v>
      </c>
      <c r="J554" s="15" t="s">
        <v>80</v>
      </c>
      <c r="K554" s="15" t="s">
        <v>1746</v>
      </c>
      <c r="L554" s="15" t="s">
        <v>1747</v>
      </c>
      <c r="M554" s="15" t="s">
        <v>22</v>
      </c>
      <c r="N554" s="20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5" t="s">
        <v>14</v>
      </c>
      <c r="B555" s="15" t="s">
        <v>1742</v>
      </c>
      <c r="C555" s="15" t="s">
        <v>1743</v>
      </c>
      <c r="D555" s="15" t="s">
        <v>1744</v>
      </c>
      <c r="E555" s="15" t="s">
        <v>1745</v>
      </c>
      <c r="F555" s="15" t="s">
        <v>1748</v>
      </c>
      <c r="G555" s="15" t="s">
        <v>1749</v>
      </c>
      <c r="H555" s="18">
        <v>1.0</v>
      </c>
      <c r="I555" s="18">
        <v>2.0</v>
      </c>
      <c r="J555" s="15"/>
      <c r="K555" s="15" t="s">
        <v>1746</v>
      </c>
      <c r="L555" s="15" t="s">
        <v>1747</v>
      </c>
      <c r="M555" s="15" t="s">
        <v>22</v>
      </c>
      <c r="N555" s="20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5" t="s">
        <v>14</v>
      </c>
      <c r="B556" s="15" t="s">
        <v>1742</v>
      </c>
      <c r="C556" s="15" t="s">
        <v>1743</v>
      </c>
      <c r="D556" s="15" t="s">
        <v>1744</v>
      </c>
      <c r="E556" s="15" t="s">
        <v>1745</v>
      </c>
      <c r="F556" s="15" t="s">
        <v>1248</v>
      </c>
      <c r="G556" s="15" t="s">
        <v>1272</v>
      </c>
      <c r="H556" s="18">
        <v>2.0</v>
      </c>
      <c r="I556" s="18">
        <v>3.0</v>
      </c>
      <c r="J556" s="15"/>
      <c r="K556" s="15" t="s">
        <v>1746</v>
      </c>
      <c r="L556" s="15" t="s">
        <v>1747</v>
      </c>
      <c r="M556" s="15" t="s">
        <v>22</v>
      </c>
      <c r="N556" s="20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3" t="s">
        <v>14</v>
      </c>
      <c r="B557" s="3" t="s">
        <v>1750</v>
      </c>
      <c r="C557" s="3" t="s">
        <v>1751</v>
      </c>
      <c r="D557" s="3" t="s">
        <v>1752</v>
      </c>
      <c r="E557" s="3" t="s">
        <v>1753</v>
      </c>
      <c r="F557" s="3" t="s">
        <v>1754</v>
      </c>
      <c r="G557" s="3" t="s">
        <v>362</v>
      </c>
      <c r="H557" s="4">
        <v>1.0</v>
      </c>
      <c r="I557" s="4">
        <v>1.0</v>
      </c>
      <c r="J557" s="3"/>
      <c r="K557" s="3" t="s">
        <v>1755</v>
      </c>
      <c r="L557" s="3" t="s">
        <v>1756</v>
      </c>
      <c r="M557" s="3" t="s">
        <v>22</v>
      </c>
      <c r="N557" s="5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14</v>
      </c>
      <c r="B558" s="3" t="s">
        <v>1750</v>
      </c>
      <c r="C558" s="3" t="s">
        <v>1751</v>
      </c>
      <c r="D558" s="3" t="s">
        <v>1752</v>
      </c>
      <c r="E558" s="3" t="s">
        <v>1753</v>
      </c>
      <c r="F558" s="3" t="s">
        <v>1396</v>
      </c>
      <c r="G558" s="3" t="s">
        <v>1757</v>
      </c>
      <c r="H558" s="4">
        <v>2.0</v>
      </c>
      <c r="I558" s="4">
        <v>2.0</v>
      </c>
      <c r="J558" s="3"/>
      <c r="K558" s="3" t="s">
        <v>1755</v>
      </c>
      <c r="L558" s="3" t="s">
        <v>1756</v>
      </c>
      <c r="M558" s="3" t="s">
        <v>22</v>
      </c>
      <c r="N558" s="5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14</v>
      </c>
      <c r="B559" s="3" t="s">
        <v>1758</v>
      </c>
      <c r="C559" s="3" t="s">
        <v>1759</v>
      </c>
      <c r="D559" s="3" t="s">
        <v>1760</v>
      </c>
      <c r="E559" s="3" t="s">
        <v>1761</v>
      </c>
      <c r="F559" s="3" t="s">
        <v>362</v>
      </c>
      <c r="G559" s="3" t="s">
        <v>362</v>
      </c>
      <c r="H559" s="4">
        <v>1.0</v>
      </c>
      <c r="I559" s="4">
        <v>1.0</v>
      </c>
      <c r="J559" s="3"/>
      <c r="K559" s="3" t="s">
        <v>1762</v>
      </c>
      <c r="L559" s="3" t="s">
        <v>1763</v>
      </c>
      <c r="M559" s="3" t="s">
        <v>22</v>
      </c>
      <c r="N559" s="5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14</v>
      </c>
      <c r="B560" s="3" t="s">
        <v>1758</v>
      </c>
      <c r="C560" s="3" t="s">
        <v>1759</v>
      </c>
      <c r="D560" s="3" t="s">
        <v>1760</v>
      </c>
      <c r="E560" s="3" t="s">
        <v>1761</v>
      </c>
      <c r="F560" s="3" t="s">
        <v>466</v>
      </c>
      <c r="G560" s="3" t="s">
        <v>1764</v>
      </c>
      <c r="H560" s="4">
        <v>2.0</v>
      </c>
      <c r="I560" s="4">
        <v>2.0</v>
      </c>
      <c r="J560" s="3"/>
      <c r="K560" s="3" t="s">
        <v>1762</v>
      </c>
      <c r="L560" s="3" t="s">
        <v>1763</v>
      </c>
      <c r="M560" s="3" t="s">
        <v>22</v>
      </c>
      <c r="N560" s="5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5" t="s">
        <v>14</v>
      </c>
      <c r="B561" s="15" t="s">
        <v>1765</v>
      </c>
      <c r="C561" s="15" t="s">
        <v>1766</v>
      </c>
      <c r="D561" s="15" t="s">
        <v>1767</v>
      </c>
      <c r="E561" s="15" t="s">
        <v>1768</v>
      </c>
      <c r="F561" s="15" t="s">
        <v>36</v>
      </c>
      <c r="G561" s="15" t="s">
        <v>1113</v>
      </c>
      <c r="H561" s="18" t="s">
        <v>36</v>
      </c>
      <c r="I561" s="18">
        <v>1.0</v>
      </c>
      <c r="J561" s="15" t="s">
        <v>80</v>
      </c>
      <c r="K561" s="15" t="s">
        <v>1769</v>
      </c>
      <c r="L561" s="15" t="s">
        <v>1770</v>
      </c>
      <c r="M561" s="15" t="s">
        <v>22</v>
      </c>
      <c r="N561" s="20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5" t="s">
        <v>14</v>
      </c>
      <c r="B562" s="15" t="s">
        <v>1765</v>
      </c>
      <c r="C562" s="15" t="s">
        <v>1766</v>
      </c>
      <c r="D562" s="15" t="s">
        <v>1767</v>
      </c>
      <c r="E562" s="15" t="s">
        <v>1768</v>
      </c>
      <c r="F562" s="15" t="s">
        <v>362</v>
      </c>
      <c r="G562" s="15" t="s">
        <v>566</v>
      </c>
      <c r="H562" s="18">
        <v>1.0</v>
      </c>
      <c r="I562" s="18">
        <v>2.0</v>
      </c>
      <c r="J562" s="15"/>
      <c r="K562" s="15" t="s">
        <v>1769</v>
      </c>
      <c r="L562" s="15" t="s">
        <v>1770</v>
      </c>
      <c r="M562" s="15" t="s">
        <v>22</v>
      </c>
      <c r="N562" s="20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5" t="s">
        <v>14</v>
      </c>
      <c r="B563" s="15" t="s">
        <v>1765</v>
      </c>
      <c r="C563" s="15" t="s">
        <v>1766</v>
      </c>
      <c r="D563" s="15" t="s">
        <v>1767</v>
      </c>
      <c r="E563" s="15" t="s">
        <v>1768</v>
      </c>
      <c r="F563" s="15" t="s">
        <v>629</v>
      </c>
      <c r="G563" s="15" t="s">
        <v>630</v>
      </c>
      <c r="H563" s="18">
        <v>2.0</v>
      </c>
      <c r="I563" s="18">
        <v>3.0</v>
      </c>
      <c r="J563" s="15"/>
      <c r="K563" s="15" t="s">
        <v>1769</v>
      </c>
      <c r="L563" s="15" t="s">
        <v>1770</v>
      </c>
      <c r="M563" s="15" t="s">
        <v>22</v>
      </c>
      <c r="N563" s="20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3" t="s">
        <v>14</v>
      </c>
      <c r="B564" s="3" t="s">
        <v>1771</v>
      </c>
      <c r="C564" s="3" t="s">
        <v>1772</v>
      </c>
      <c r="D564" s="3" t="s">
        <v>1773</v>
      </c>
      <c r="E564" s="3" t="s">
        <v>1774</v>
      </c>
      <c r="F564" s="3" t="s">
        <v>362</v>
      </c>
      <c r="G564" s="3" t="s">
        <v>566</v>
      </c>
      <c r="H564" s="4">
        <v>1.0</v>
      </c>
      <c r="I564" s="4">
        <v>1.0</v>
      </c>
      <c r="J564" s="3" t="s">
        <v>72</v>
      </c>
      <c r="K564" s="3" t="s">
        <v>1775</v>
      </c>
      <c r="L564" s="3" t="s">
        <v>1776</v>
      </c>
      <c r="M564" s="3" t="s">
        <v>22</v>
      </c>
      <c r="N564" s="5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14</v>
      </c>
      <c r="B565" s="3" t="s">
        <v>1771</v>
      </c>
      <c r="C565" s="3" t="s">
        <v>1772</v>
      </c>
      <c r="D565" s="3" t="s">
        <v>1773</v>
      </c>
      <c r="E565" s="3" t="s">
        <v>1774</v>
      </c>
      <c r="F565" s="3" t="s">
        <v>1396</v>
      </c>
      <c r="G565" s="3" t="s">
        <v>1397</v>
      </c>
      <c r="H565" s="4">
        <v>2.0</v>
      </c>
      <c r="I565" s="4">
        <v>2.0</v>
      </c>
      <c r="J565" s="3"/>
      <c r="K565" s="3" t="s">
        <v>1775</v>
      </c>
      <c r="L565" s="3" t="s">
        <v>1776</v>
      </c>
      <c r="M565" s="3" t="s">
        <v>22</v>
      </c>
      <c r="N565" s="5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14</v>
      </c>
      <c r="B566" s="3" t="s">
        <v>1777</v>
      </c>
      <c r="C566" s="3" t="s">
        <v>1778</v>
      </c>
      <c r="D566" s="3" t="s">
        <v>1777</v>
      </c>
      <c r="E566" s="3" t="s">
        <v>1779</v>
      </c>
      <c r="F566" s="3" t="s">
        <v>1777</v>
      </c>
      <c r="G566" s="3" t="s">
        <v>362</v>
      </c>
      <c r="H566" s="4">
        <v>1.0</v>
      </c>
      <c r="I566" s="4">
        <v>1.0</v>
      </c>
      <c r="J566" s="3" t="s">
        <v>80</v>
      </c>
      <c r="K566" s="3" t="s">
        <v>1780</v>
      </c>
      <c r="L566" s="3" t="s">
        <v>1781</v>
      </c>
      <c r="M566" s="3" t="s">
        <v>22</v>
      </c>
      <c r="N566" s="5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14</v>
      </c>
      <c r="B567" s="3" t="s">
        <v>1777</v>
      </c>
      <c r="C567" s="3" t="s">
        <v>1778</v>
      </c>
      <c r="D567" s="3" t="s">
        <v>1777</v>
      </c>
      <c r="E567" s="3" t="s">
        <v>1779</v>
      </c>
      <c r="F567" s="3" t="s">
        <v>36</v>
      </c>
      <c r="G567" s="3" t="s">
        <v>996</v>
      </c>
      <c r="H567" s="4" t="s">
        <v>36</v>
      </c>
      <c r="I567" s="4">
        <v>2.0</v>
      </c>
      <c r="J567" s="3"/>
      <c r="K567" s="3" t="s">
        <v>1780</v>
      </c>
      <c r="L567" s="3" t="s">
        <v>1781</v>
      </c>
      <c r="M567" s="3" t="s">
        <v>22</v>
      </c>
      <c r="N567" s="5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5" t="s">
        <v>14</v>
      </c>
      <c r="B568" s="15" t="s">
        <v>1782</v>
      </c>
      <c r="C568" s="15" t="s">
        <v>1783</v>
      </c>
      <c r="D568" s="15" t="s">
        <v>1784</v>
      </c>
      <c r="E568" s="15" t="s">
        <v>1785</v>
      </c>
      <c r="F568" s="15"/>
      <c r="G568" s="15"/>
      <c r="H568" s="18"/>
      <c r="I568" s="18"/>
      <c r="J568" s="15"/>
      <c r="K568" s="15" t="s">
        <v>1786</v>
      </c>
      <c r="L568" s="15" t="s">
        <v>1787</v>
      </c>
      <c r="M568" s="15" t="s">
        <v>22</v>
      </c>
      <c r="N568" s="15" t="s">
        <v>560</v>
      </c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3" t="s">
        <v>14</v>
      </c>
      <c r="B569" s="3" t="s">
        <v>1040</v>
      </c>
      <c r="C569" s="3" t="s">
        <v>1041</v>
      </c>
      <c r="D569" s="3" t="s">
        <v>1040</v>
      </c>
      <c r="E569" s="3" t="s">
        <v>1041</v>
      </c>
      <c r="F569" s="3" t="s">
        <v>1040</v>
      </c>
      <c r="G569" s="3" t="s">
        <v>1041</v>
      </c>
      <c r="H569" s="4">
        <v>1.0</v>
      </c>
      <c r="I569" s="4">
        <v>1.0</v>
      </c>
      <c r="J569" s="3"/>
      <c r="K569" s="3" t="s">
        <v>1788</v>
      </c>
      <c r="L569" s="3" t="s">
        <v>1789</v>
      </c>
      <c r="M569" s="3" t="s">
        <v>22</v>
      </c>
      <c r="N569" s="5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5" t="s">
        <v>14</v>
      </c>
      <c r="B570" s="15" t="s">
        <v>1790</v>
      </c>
      <c r="C570" s="15" t="s">
        <v>1791</v>
      </c>
      <c r="D570" s="15" t="s">
        <v>1792</v>
      </c>
      <c r="E570" s="15" t="s">
        <v>1793</v>
      </c>
      <c r="F570" s="15" t="s">
        <v>36</v>
      </c>
      <c r="G570" s="15" t="s">
        <v>1113</v>
      </c>
      <c r="H570" s="18" t="s">
        <v>36</v>
      </c>
      <c r="I570" s="18">
        <v>1.0</v>
      </c>
      <c r="J570" s="15"/>
      <c r="K570" s="15" t="s">
        <v>1794</v>
      </c>
      <c r="L570" s="15" t="s">
        <v>1795</v>
      </c>
      <c r="M570" s="15" t="s">
        <v>22</v>
      </c>
      <c r="N570" s="20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5" t="s">
        <v>14</v>
      </c>
      <c r="B571" s="15" t="s">
        <v>1790</v>
      </c>
      <c r="C571" s="15" t="s">
        <v>1791</v>
      </c>
      <c r="D571" s="15" t="s">
        <v>1792</v>
      </c>
      <c r="E571" s="15" t="s">
        <v>1793</v>
      </c>
      <c r="F571" s="15" t="s">
        <v>1796</v>
      </c>
      <c r="G571" s="15" t="s">
        <v>1796</v>
      </c>
      <c r="H571" s="18">
        <v>1.0</v>
      </c>
      <c r="I571" s="18">
        <v>2.0</v>
      </c>
      <c r="J571" s="15"/>
      <c r="K571" s="15" t="s">
        <v>1794</v>
      </c>
      <c r="L571" s="15" t="s">
        <v>1795</v>
      </c>
      <c r="M571" s="15" t="s">
        <v>22</v>
      </c>
      <c r="N571" s="20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5" t="s">
        <v>14</v>
      </c>
      <c r="B572" s="15" t="s">
        <v>1790</v>
      </c>
      <c r="C572" s="15" t="s">
        <v>1791</v>
      </c>
      <c r="D572" s="15" t="s">
        <v>1792</v>
      </c>
      <c r="E572" s="15" t="s">
        <v>1793</v>
      </c>
      <c r="F572" s="15" t="s">
        <v>1331</v>
      </c>
      <c r="G572" s="15" t="s">
        <v>1181</v>
      </c>
      <c r="H572" s="18">
        <v>2.0</v>
      </c>
      <c r="I572" s="18">
        <v>3.0</v>
      </c>
      <c r="J572" s="15"/>
      <c r="K572" s="15" t="s">
        <v>1794</v>
      </c>
      <c r="L572" s="15" t="s">
        <v>1795</v>
      </c>
      <c r="M572" s="15" t="s">
        <v>22</v>
      </c>
      <c r="N572" s="20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3" t="s">
        <v>14</v>
      </c>
      <c r="B573" s="3" t="s">
        <v>1797</v>
      </c>
      <c r="C573" s="3" t="s">
        <v>1798</v>
      </c>
      <c r="D573" s="3" t="s">
        <v>1797</v>
      </c>
      <c r="E573" s="3" t="s">
        <v>1799</v>
      </c>
      <c r="F573" s="3" t="s">
        <v>1797</v>
      </c>
      <c r="G573" s="3" t="s">
        <v>1800</v>
      </c>
      <c r="H573" s="4">
        <v>1.0</v>
      </c>
      <c r="I573" s="4">
        <v>1.0</v>
      </c>
      <c r="J573" s="3" t="s">
        <v>80</v>
      </c>
      <c r="K573" s="3" t="s">
        <v>1801</v>
      </c>
      <c r="L573" s="3" t="s">
        <v>1802</v>
      </c>
      <c r="M573" s="3" t="s">
        <v>22</v>
      </c>
      <c r="N573" s="5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14</v>
      </c>
      <c r="B574" s="3" t="s">
        <v>1797</v>
      </c>
      <c r="C574" s="3" t="s">
        <v>1798</v>
      </c>
      <c r="D574" s="3" t="s">
        <v>1797</v>
      </c>
      <c r="E574" s="3" t="s">
        <v>1799</v>
      </c>
      <c r="F574" s="3" t="s">
        <v>36</v>
      </c>
      <c r="G574" s="3" t="s">
        <v>1235</v>
      </c>
      <c r="H574" s="4" t="s">
        <v>36</v>
      </c>
      <c r="I574" s="4">
        <v>2.0</v>
      </c>
      <c r="J574" s="3"/>
      <c r="K574" s="3" t="s">
        <v>1801</v>
      </c>
      <c r="L574" s="3" t="s">
        <v>1802</v>
      </c>
      <c r="M574" s="3" t="s">
        <v>22</v>
      </c>
      <c r="N574" s="5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14</v>
      </c>
      <c r="B575" s="3" t="s">
        <v>1803</v>
      </c>
      <c r="C575" s="3" t="s">
        <v>1804</v>
      </c>
      <c r="D575" s="3" t="s">
        <v>1805</v>
      </c>
      <c r="E575" s="3" t="s">
        <v>1806</v>
      </c>
      <c r="F575" s="3" t="s">
        <v>1807</v>
      </c>
      <c r="G575" s="3" t="s">
        <v>1808</v>
      </c>
      <c r="H575" s="4">
        <v>1.0</v>
      </c>
      <c r="I575" s="4">
        <v>1.0</v>
      </c>
      <c r="J575" s="3" t="s">
        <v>80</v>
      </c>
      <c r="K575" s="3" t="s">
        <v>1809</v>
      </c>
      <c r="L575" s="3" t="s">
        <v>1810</v>
      </c>
      <c r="M575" s="3" t="s">
        <v>22</v>
      </c>
      <c r="N575" s="5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14</v>
      </c>
      <c r="B576" s="3" t="s">
        <v>1803</v>
      </c>
      <c r="C576" s="3" t="s">
        <v>1804</v>
      </c>
      <c r="D576" s="3" t="s">
        <v>1805</v>
      </c>
      <c r="E576" s="3" t="s">
        <v>1806</v>
      </c>
      <c r="F576" s="3" t="s">
        <v>36</v>
      </c>
      <c r="G576" s="3" t="s">
        <v>62</v>
      </c>
      <c r="H576" s="4" t="s">
        <v>36</v>
      </c>
      <c r="I576" s="4">
        <v>2.0</v>
      </c>
      <c r="J576" s="3"/>
      <c r="K576" s="3" t="s">
        <v>1809</v>
      </c>
      <c r="L576" s="3" t="s">
        <v>1810</v>
      </c>
      <c r="M576" s="3" t="s">
        <v>22</v>
      </c>
      <c r="N576" s="5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14</v>
      </c>
      <c r="B577" s="3" t="s">
        <v>1803</v>
      </c>
      <c r="C577" s="3" t="s">
        <v>1804</v>
      </c>
      <c r="D577" s="3" t="s">
        <v>1805</v>
      </c>
      <c r="E577" s="3" t="s">
        <v>1806</v>
      </c>
      <c r="F577" s="3" t="s">
        <v>1811</v>
      </c>
      <c r="G577" s="3" t="s">
        <v>1117</v>
      </c>
      <c r="H577" s="4">
        <v>2.0</v>
      </c>
      <c r="I577" s="4">
        <v>3.0</v>
      </c>
      <c r="J577" s="3"/>
      <c r="K577" s="3" t="s">
        <v>1809</v>
      </c>
      <c r="L577" s="3" t="s">
        <v>1810</v>
      </c>
      <c r="M577" s="3" t="s">
        <v>22</v>
      </c>
      <c r="N577" s="5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14</v>
      </c>
      <c r="B578" s="3" t="s">
        <v>1812</v>
      </c>
      <c r="C578" s="3" t="s">
        <v>1813</v>
      </c>
      <c r="D578" s="3" t="s">
        <v>1814</v>
      </c>
      <c r="E578" s="3" t="s">
        <v>1815</v>
      </c>
      <c r="F578" s="3" t="s">
        <v>1807</v>
      </c>
      <c r="G578" s="3" t="s">
        <v>784</v>
      </c>
      <c r="H578" s="4">
        <v>1.0</v>
      </c>
      <c r="I578" s="4">
        <v>1.0</v>
      </c>
      <c r="J578" s="3"/>
      <c r="K578" s="3" t="s">
        <v>1816</v>
      </c>
      <c r="L578" s="3" t="s">
        <v>1817</v>
      </c>
      <c r="M578" s="3" t="s">
        <v>22</v>
      </c>
      <c r="N578" s="5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14</v>
      </c>
      <c r="B579" s="3" t="s">
        <v>1812</v>
      </c>
      <c r="C579" s="3" t="s">
        <v>1813</v>
      </c>
      <c r="D579" s="3" t="s">
        <v>1814</v>
      </c>
      <c r="E579" s="3" t="s">
        <v>1815</v>
      </c>
      <c r="F579" s="3" t="s">
        <v>326</v>
      </c>
      <c r="G579" s="3" t="s">
        <v>1470</v>
      </c>
      <c r="H579" s="4">
        <v>2.0</v>
      </c>
      <c r="I579" s="4">
        <v>2.0</v>
      </c>
      <c r="J579" s="3"/>
      <c r="K579" s="3" t="s">
        <v>1816</v>
      </c>
      <c r="L579" s="3" t="s">
        <v>1817</v>
      </c>
      <c r="M579" s="3" t="s">
        <v>22</v>
      </c>
      <c r="N579" s="5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5" t="s">
        <v>14</v>
      </c>
      <c r="B580" s="15" t="s">
        <v>1818</v>
      </c>
      <c r="C580" s="15" t="s">
        <v>1819</v>
      </c>
      <c r="D580" s="15" t="s">
        <v>1820</v>
      </c>
      <c r="E580" s="15" t="s">
        <v>1821</v>
      </c>
      <c r="F580" s="15" t="s">
        <v>36</v>
      </c>
      <c r="G580" s="15" t="s">
        <v>49</v>
      </c>
      <c r="H580" s="18" t="s">
        <v>36</v>
      </c>
      <c r="I580" s="18">
        <v>1.0</v>
      </c>
      <c r="J580" s="15" t="s">
        <v>80</v>
      </c>
      <c r="K580" s="15" t="s">
        <v>1822</v>
      </c>
      <c r="L580" s="15" t="s">
        <v>1386</v>
      </c>
      <c r="M580" s="15" t="s">
        <v>22</v>
      </c>
      <c r="N580" s="20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5" t="s">
        <v>14</v>
      </c>
      <c r="B581" s="15" t="s">
        <v>1818</v>
      </c>
      <c r="C581" s="15" t="s">
        <v>1819</v>
      </c>
      <c r="D581" s="15" t="s">
        <v>1820</v>
      </c>
      <c r="E581" s="15" t="s">
        <v>1821</v>
      </c>
      <c r="F581" s="15" t="s">
        <v>1823</v>
      </c>
      <c r="G581" s="15" t="s">
        <v>495</v>
      </c>
      <c r="H581" s="18">
        <v>1.0</v>
      </c>
      <c r="I581" s="18">
        <v>2.0</v>
      </c>
      <c r="J581" s="15"/>
      <c r="K581" s="15" t="s">
        <v>1822</v>
      </c>
      <c r="L581" s="15" t="s">
        <v>1386</v>
      </c>
      <c r="M581" s="15" t="s">
        <v>22</v>
      </c>
      <c r="N581" s="20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5" t="s">
        <v>14</v>
      </c>
      <c r="B582" s="15" t="s">
        <v>1818</v>
      </c>
      <c r="C582" s="15" t="s">
        <v>1819</v>
      </c>
      <c r="D582" s="15" t="s">
        <v>1820</v>
      </c>
      <c r="E582" s="15" t="s">
        <v>1821</v>
      </c>
      <c r="F582" s="15" t="s">
        <v>1118</v>
      </c>
      <c r="G582" s="15" t="s">
        <v>1119</v>
      </c>
      <c r="H582" s="18">
        <v>2.0</v>
      </c>
      <c r="I582" s="18">
        <v>3.0</v>
      </c>
      <c r="J582" s="15"/>
      <c r="K582" s="15" t="s">
        <v>1822</v>
      </c>
      <c r="L582" s="15" t="s">
        <v>1386</v>
      </c>
      <c r="M582" s="15" t="s">
        <v>22</v>
      </c>
      <c r="N582" s="20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3" t="s">
        <v>14</v>
      </c>
      <c r="B583" s="3" t="s">
        <v>1824</v>
      </c>
      <c r="C583" s="3" t="s">
        <v>1825</v>
      </c>
      <c r="D583" s="3" t="s">
        <v>1826</v>
      </c>
      <c r="E583" s="3" t="s">
        <v>1827</v>
      </c>
      <c r="F583" s="3" t="s">
        <v>1186</v>
      </c>
      <c r="G583" s="3" t="s">
        <v>1217</v>
      </c>
      <c r="H583" s="4">
        <v>1.0</v>
      </c>
      <c r="I583" s="4">
        <v>1.0</v>
      </c>
      <c r="J583" s="3"/>
      <c r="K583" s="3" t="s">
        <v>1828</v>
      </c>
      <c r="L583" s="3" t="s">
        <v>1829</v>
      </c>
      <c r="M583" s="3" t="s">
        <v>22</v>
      </c>
      <c r="N583" s="5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14</v>
      </c>
      <c r="B584" s="3" t="s">
        <v>1824</v>
      </c>
      <c r="C584" s="3" t="s">
        <v>1825</v>
      </c>
      <c r="D584" s="3" t="s">
        <v>1826</v>
      </c>
      <c r="E584" s="3" t="s">
        <v>1827</v>
      </c>
      <c r="F584" s="3" t="s">
        <v>1830</v>
      </c>
      <c r="G584" s="3" t="s">
        <v>918</v>
      </c>
      <c r="H584" s="4">
        <v>2.0</v>
      </c>
      <c r="I584" s="4">
        <v>2.0</v>
      </c>
      <c r="J584" s="3"/>
      <c r="K584" s="3" t="s">
        <v>1828</v>
      </c>
      <c r="L584" s="3" t="s">
        <v>1829</v>
      </c>
      <c r="M584" s="3" t="s">
        <v>22</v>
      </c>
      <c r="N584" s="5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14</v>
      </c>
      <c r="B585" s="3" t="s">
        <v>1824</v>
      </c>
      <c r="C585" s="3" t="s">
        <v>1825</v>
      </c>
      <c r="D585" s="3" t="s">
        <v>1826</v>
      </c>
      <c r="E585" s="3" t="s">
        <v>1827</v>
      </c>
      <c r="F585" s="3" t="s">
        <v>190</v>
      </c>
      <c r="G585" s="3" t="s">
        <v>190</v>
      </c>
      <c r="H585" s="4">
        <v>3.0</v>
      </c>
      <c r="I585" s="4">
        <v>3.0</v>
      </c>
      <c r="J585" s="3"/>
      <c r="K585" s="3" t="s">
        <v>1828</v>
      </c>
      <c r="L585" s="3" t="s">
        <v>1829</v>
      </c>
      <c r="M585" s="3" t="s">
        <v>22</v>
      </c>
      <c r="N585" s="5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5" t="s">
        <v>14</v>
      </c>
      <c r="B586" s="15" t="s">
        <v>1831</v>
      </c>
      <c r="C586" s="15" t="s">
        <v>1832</v>
      </c>
      <c r="D586" s="15" t="s">
        <v>1833</v>
      </c>
      <c r="E586" s="15" t="s">
        <v>1834</v>
      </c>
      <c r="F586" s="15"/>
      <c r="G586" s="15"/>
      <c r="H586" s="18"/>
      <c r="I586" s="18"/>
      <c r="J586" s="15"/>
      <c r="K586" s="15" t="s">
        <v>1835</v>
      </c>
      <c r="L586" s="15" t="s">
        <v>1836</v>
      </c>
      <c r="M586" s="15" t="s">
        <v>22</v>
      </c>
      <c r="N586" s="15" t="s">
        <v>560</v>
      </c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5" t="s">
        <v>14</v>
      </c>
      <c r="B587" s="15" t="s">
        <v>1837</v>
      </c>
      <c r="C587" s="15" t="s">
        <v>1838</v>
      </c>
      <c r="D587" s="15" t="s">
        <v>1839</v>
      </c>
      <c r="E587" s="15" t="s">
        <v>1840</v>
      </c>
      <c r="F587" s="15"/>
      <c r="G587" s="15"/>
      <c r="H587" s="18"/>
      <c r="I587" s="18"/>
      <c r="J587" s="15"/>
      <c r="K587" s="15" t="s">
        <v>1841</v>
      </c>
      <c r="L587" s="15" t="s">
        <v>1842</v>
      </c>
      <c r="M587" s="15" t="s">
        <v>22</v>
      </c>
      <c r="N587" s="15" t="s">
        <v>560</v>
      </c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5" t="s">
        <v>14</v>
      </c>
      <c r="B588" s="15" t="s">
        <v>1843</v>
      </c>
      <c r="C588" s="15" t="s">
        <v>1844</v>
      </c>
      <c r="D588" s="15" t="s">
        <v>1845</v>
      </c>
      <c r="E588" s="15" t="s">
        <v>1846</v>
      </c>
      <c r="F588" s="15"/>
      <c r="G588" s="15"/>
      <c r="H588" s="18"/>
      <c r="I588" s="18"/>
      <c r="J588" s="15"/>
      <c r="K588" s="15" t="s">
        <v>1847</v>
      </c>
      <c r="L588" s="15" t="s">
        <v>1848</v>
      </c>
      <c r="M588" s="15" t="s">
        <v>22</v>
      </c>
      <c r="N588" s="15" t="s">
        <v>560</v>
      </c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3" t="s">
        <v>14</v>
      </c>
      <c r="B589" s="3" t="s">
        <v>1849</v>
      </c>
      <c r="C589" s="3" t="s">
        <v>1850</v>
      </c>
      <c r="D589" s="3" t="s">
        <v>1851</v>
      </c>
      <c r="E589" s="3" t="s">
        <v>1852</v>
      </c>
      <c r="F589" s="3" t="s">
        <v>801</v>
      </c>
      <c r="G589" s="3" t="s">
        <v>334</v>
      </c>
      <c r="H589" s="4">
        <v>1.0</v>
      </c>
      <c r="I589" s="4">
        <v>1.0</v>
      </c>
      <c r="J589" s="3"/>
      <c r="K589" s="3" t="s">
        <v>1853</v>
      </c>
      <c r="L589" s="3" t="s">
        <v>1854</v>
      </c>
      <c r="M589" s="3" t="s">
        <v>22</v>
      </c>
      <c r="N589" s="5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14</v>
      </c>
      <c r="B590" s="3" t="s">
        <v>1849</v>
      </c>
      <c r="C590" s="3" t="s">
        <v>1850</v>
      </c>
      <c r="D590" s="3" t="s">
        <v>1851</v>
      </c>
      <c r="E590" s="3" t="s">
        <v>1852</v>
      </c>
      <c r="F590" s="3" t="s">
        <v>1855</v>
      </c>
      <c r="G590" s="3" t="s">
        <v>1855</v>
      </c>
      <c r="H590" s="4">
        <v>2.0</v>
      </c>
      <c r="I590" s="4">
        <v>2.0</v>
      </c>
      <c r="J590" s="3"/>
      <c r="K590" s="3" t="s">
        <v>1853</v>
      </c>
      <c r="L590" s="3" t="s">
        <v>1854</v>
      </c>
      <c r="M590" s="3" t="s">
        <v>22</v>
      </c>
      <c r="N590" s="5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 t="s">
        <v>14</v>
      </c>
      <c r="B591" s="3" t="s">
        <v>1849</v>
      </c>
      <c r="C591" s="3" t="s">
        <v>1850</v>
      </c>
      <c r="D591" s="3" t="s">
        <v>1851</v>
      </c>
      <c r="E591" s="3" t="s">
        <v>1852</v>
      </c>
      <c r="F591" s="3" t="s">
        <v>784</v>
      </c>
      <c r="G591" s="3" t="s">
        <v>784</v>
      </c>
      <c r="H591" s="4">
        <v>3.0</v>
      </c>
      <c r="I591" s="4">
        <v>3.0</v>
      </c>
      <c r="J591" s="3"/>
      <c r="K591" s="3" t="s">
        <v>1853</v>
      </c>
      <c r="L591" s="3" t="s">
        <v>1854</v>
      </c>
      <c r="M591" s="3" t="s">
        <v>22</v>
      </c>
      <c r="N591" s="5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5" t="s">
        <v>14</v>
      </c>
      <c r="B592" s="15" t="s">
        <v>1856</v>
      </c>
      <c r="C592" s="15" t="s">
        <v>1857</v>
      </c>
      <c r="D592" s="15" t="s">
        <v>1858</v>
      </c>
      <c r="E592" s="15" t="s">
        <v>1859</v>
      </c>
      <c r="F592" s="15"/>
      <c r="G592" s="15"/>
      <c r="H592" s="18"/>
      <c r="I592" s="18"/>
      <c r="J592" s="15"/>
      <c r="K592" s="15" t="s">
        <v>1860</v>
      </c>
      <c r="L592" s="15" t="s">
        <v>1861</v>
      </c>
      <c r="M592" s="15" t="s">
        <v>22</v>
      </c>
      <c r="N592" s="15" t="s">
        <v>560</v>
      </c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3" t="s">
        <v>14</v>
      </c>
      <c r="B593" s="3" t="s">
        <v>1862</v>
      </c>
      <c r="C593" s="3" t="s">
        <v>1863</v>
      </c>
      <c r="D593" s="3" t="s">
        <v>1864</v>
      </c>
      <c r="E593" s="3" t="s">
        <v>1865</v>
      </c>
      <c r="F593" s="3" t="s">
        <v>918</v>
      </c>
      <c r="G593" s="3" t="s">
        <v>739</v>
      </c>
      <c r="H593" s="4">
        <v>1.0</v>
      </c>
      <c r="I593" s="4">
        <v>1.0</v>
      </c>
      <c r="J593" s="3" t="s">
        <v>80</v>
      </c>
      <c r="K593" s="3" t="s">
        <v>1866</v>
      </c>
      <c r="L593" s="3" t="s">
        <v>1867</v>
      </c>
      <c r="M593" s="3" t="s">
        <v>22</v>
      </c>
      <c r="N593" s="5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14</v>
      </c>
      <c r="B594" s="3" t="s">
        <v>1862</v>
      </c>
      <c r="C594" s="3" t="s">
        <v>1863</v>
      </c>
      <c r="D594" s="3" t="s">
        <v>1864</v>
      </c>
      <c r="E594" s="3" t="s">
        <v>1865</v>
      </c>
      <c r="F594" s="3" t="s">
        <v>36</v>
      </c>
      <c r="G594" s="3" t="s">
        <v>1868</v>
      </c>
      <c r="H594" s="4" t="s">
        <v>36</v>
      </c>
      <c r="I594" s="4">
        <v>2.0</v>
      </c>
      <c r="J594" s="3"/>
      <c r="K594" s="3" t="s">
        <v>1866</v>
      </c>
      <c r="L594" s="3" t="s">
        <v>1867</v>
      </c>
      <c r="M594" s="3" t="s">
        <v>22</v>
      </c>
      <c r="N594" s="5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14</v>
      </c>
      <c r="B595" s="3" t="s">
        <v>1862</v>
      </c>
      <c r="C595" s="3" t="s">
        <v>1863</v>
      </c>
      <c r="D595" s="3" t="s">
        <v>1864</v>
      </c>
      <c r="E595" s="3" t="s">
        <v>1865</v>
      </c>
      <c r="F595" s="3" t="s">
        <v>312</v>
      </c>
      <c r="G595" s="3" t="s">
        <v>312</v>
      </c>
      <c r="H595" s="4">
        <v>2.0</v>
      </c>
      <c r="I595" s="4">
        <v>3.0</v>
      </c>
      <c r="J595" s="3"/>
      <c r="K595" s="3" t="s">
        <v>1866</v>
      </c>
      <c r="L595" s="3" t="s">
        <v>1867</v>
      </c>
      <c r="M595" s="3" t="s">
        <v>22</v>
      </c>
      <c r="N595" s="5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14</v>
      </c>
      <c r="B596" s="3" t="s">
        <v>1869</v>
      </c>
      <c r="C596" s="3" t="s">
        <v>1870</v>
      </c>
      <c r="D596" s="3" t="s">
        <v>1869</v>
      </c>
      <c r="E596" s="3" t="s">
        <v>1871</v>
      </c>
      <c r="F596" s="3" t="s">
        <v>1869</v>
      </c>
      <c r="G596" s="3" t="s">
        <v>610</v>
      </c>
      <c r="H596" s="4">
        <v>1.0</v>
      </c>
      <c r="I596" s="4">
        <v>1.0</v>
      </c>
      <c r="J596" s="3" t="s">
        <v>80</v>
      </c>
      <c r="K596" s="3" t="s">
        <v>1872</v>
      </c>
      <c r="L596" s="3" t="s">
        <v>1873</v>
      </c>
      <c r="M596" s="3" t="s">
        <v>22</v>
      </c>
      <c r="N596" s="5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14</v>
      </c>
      <c r="B597" s="3" t="s">
        <v>1869</v>
      </c>
      <c r="C597" s="3" t="s">
        <v>1870</v>
      </c>
      <c r="D597" s="3" t="s">
        <v>1869</v>
      </c>
      <c r="E597" s="3" t="s">
        <v>1871</v>
      </c>
      <c r="F597" s="3" t="s">
        <v>36</v>
      </c>
      <c r="G597" s="3" t="s">
        <v>1874</v>
      </c>
      <c r="H597" s="4" t="s">
        <v>36</v>
      </c>
      <c r="I597" s="4">
        <v>2.0</v>
      </c>
      <c r="J597" s="3"/>
      <c r="K597" s="3" t="s">
        <v>1872</v>
      </c>
      <c r="L597" s="3" t="s">
        <v>1873</v>
      </c>
      <c r="M597" s="3" t="s">
        <v>22</v>
      </c>
      <c r="N597" s="5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5" t="s">
        <v>14</v>
      </c>
      <c r="B598" s="15" t="s">
        <v>1875</v>
      </c>
      <c r="C598" s="15" t="s">
        <v>1876</v>
      </c>
      <c r="D598" s="15" t="s">
        <v>1877</v>
      </c>
      <c r="E598" s="15" t="s">
        <v>1878</v>
      </c>
      <c r="F598" s="15" t="s">
        <v>1879</v>
      </c>
      <c r="G598" s="15" t="s">
        <v>1879</v>
      </c>
      <c r="H598" s="18">
        <v>1.0</v>
      </c>
      <c r="I598" s="18">
        <v>1.0</v>
      </c>
      <c r="J598" s="15"/>
      <c r="K598" s="15" t="s">
        <v>1880</v>
      </c>
      <c r="L598" s="15" t="s">
        <v>1881</v>
      </c>
      <c r="M598" s="15" t="s">
        <v>22</v>
      </c>
      <c r="N598" s="20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5" t="s">
        <v>14</v>
      </c>
      <c r="B599" s="15" t="s">
        <v>1875</v>
      </c>
      <c r="C599" s="15" t="s">
        <v>1876</v>
      </c>
      <c r="D599" s="15" t="s">
        <v>1877</v>
      </c>
      <c r="E599" s="15" t="s">
        <v>1878</v>
      </c>
      <c r="F599" s="15" t="s">
        <v>1882</v>
      </c>
      <c r="G599" s="15" t="s">
        <v>1883</v>
      </c>
      <c r="H599" s="18">
        <v>2.0</v>
      </c>
      <c r="I599" s="18">
        <v>2.0</v>
      </c>
      <c r="J599" s="15"/>
      <c r="K599" s="15" t="s">
        <v>1880</v>
      </c>
      <c r="L599" s="15" t="s">
        <v>1881</v>
      </c>
      <c r="M599" s="15" t="s">
        <v>22</v>
      </c>
      <c r="N599" s="20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3" t="s">
        <v>14</v>
      </c>
      <c r="B600" s="3" t="s">
        <v>1884</v>
      </c>
      <c r="C600" s="3" t="s">
        <v>1885</v>
      </c>
      <c r="D600" s="3" t="s">
        <v>1886</v>
      </c>
      <c r="E600" s="3" t="s">
        <v>1887</v>
      </c>
      <c r="F600" s="3" t="s">
        <v>471</v>
      </c>
      <c r="G600" s="3" t="s">
        <v>219</v>
      </c>
      <c r="H600" s="4">
        <v>1.0</v>
      </c>
      <c r="I600" s="4">
        <v>1.0</v>
      </c>
      <c r="J600" s="3"/>
      <c r="K600" s="3" t="s">
        <v>1888</v>
      </c>
      <c r="L600" s="3" t="s">
        <v>1889</v>
      </c>
      <c r="M600" s="3" t="s">
        <v>22</v>
      </c>
      <c r="N600" s="5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14</v>
      </c>
      <c r="B601" s="3" t="s">
        <v>1884</v>
      </c>
      <c r="C601" s="3" t="s">
        <v>1885</v>
      </c>
      <c r="D601" s="3" t="s">
        <v>1886</v>
      </c>
      <c r="E601" s="3" t="s">
        <v>1887</v>
      </c>
      <c r="F601" s="3" t="s">
        <v>918</v>
      </c>
      <c r="G601" s="3" t="s">
        <v>576</v>
      </c>
      <c r="H601" s="4">
        <v>2.0</v>
      </c>
      <c r="I601" s="4">
        <v>2.0</v>
      </c>
      <c r="J601" s="3"/>
      <c r="K601" s="3" t="s">
        <v>1888</v>
      </c>
      <c r="L601" s="3" t="s">
        <v>1889</v>
      </c>
      <c r="M601" s="3" t="s">
        <v>22</v>
      </c>
      <c r="N601" s="5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14</v>
      </c>
      <c r="B602" s="3" t="s">
        <v>1890</v>
      </c>
      <c r="C602" s="3" t="s">
        <v>1891</v>
      </c>
      <c r="D602" s="3" t="s">
        <v>1892</v>
      </c>
      <c r="E602" s="3" t="s">
        <v>1893</v>
      </c>
      <c r="F602" s="3" t="s">
        <v>276</v>
      </c>
      <c r="G602" s="3" t="s">
        <v>276</v>
      </c>
      <c r="H602" s="4">
        <v>1.0</v>
      </c>
      <c r="I602" s="4">
        <v>1.0</v>
      </c>
      <c r="J602" s="3" t="s">
        <v>1894</v>
      </c>
      <c r="K602" s="3" t="s">
        <v>1895</v>
      </c>
      <c r="L602" s="3" t="s">
        <v>1896</v>
      </c>
      <c r="M602" s="3" t="s">
        <v>22</v>
      </c>
      <c r="N602" s="5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14</v>
      </c>
      <c r="B603" s="3" t="s">
        <v>1890</v>
      </c>
      <c r="C603" s="3" t="s">
        <v>1891</v>
      </c>
      <c r="D603" s="3" t="s">
        <v>1892</v>
      </c>
      <c r="E603" s="3" t="s">
        <v>1893</v>
      </c>
      <c r="F603" s="3" t="s">
        <v>36</v>
      </c>
      <c r="G603" s="3" t="s">
        <v>1897</v>
      </c>
      <c r="H603" s="4" t="s">
        <v>36</v>
      </c>
      <c r="I603" s="4">
        <v>2.0</v>
      </c>
      <c r="J603" s="3"/>
      <c r="K603" s="3" t="s">
        <v>1895</v>
      </c>
      <c r="L603" s="3" t="s">
        <v>1896</v>
      </c>
      <c r="M603" s="3" t="s">
        <v>22</v>
      </c>
      <c r="N603" s="5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14</v>
      </c>
      <c r="B604" s="3" t="s">
        <v>1890</v>
      </c>
      <c r="C604" s="3" t="s">
        <v>1891</v>
      </c>
      <c r="D604" s="3" t="s">
        <v>1892</v>
      </c>
      <c r="E604" s="3" t="s">
        <v>1893</v>
      </c>
      <c r="F604" s="3" t="s">
        <v>1898</v>
      </c>
      <c r="G604" s="3" t="s">
        <v>1899</v>
      </c>
      <c r="H604" s="4">
        <v>2.0</v>
      </c>
      <c r="I604" s="4">
        <v>3.0</v>
      </c>
      <c r="J604" s="3"/>
      <c r="K604" s="3" t="s">
        <v>1895</v>
      </c>
      <c r="L604" s="3" t="s">
        <v>1896</v>
      </c>
      <c r="M604" s="3" t="s">
        <v>22</v>
      </c>
      <c r="N604" s="5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5" t="s">
        <v>14</v>
      </c>
      <c r="B605" s="15" t="s">
        <v>1900</v>
      </c>
      <c r="C605" s="15" t="s">
        <v>1901</v>
      </c>
      <c r="D605" s="15" t="s">
        <v>1902</v>
      </c>
      <c r="E605" s="15" t="s">
        <v>1903</v>
      </c>
      <c r="F605" s="15" t="s">
        <v>30</v>
      </c>
      <c r="G605" s="15" t="s">
        <v>1904</v>
      </c>
      <c r="H605" s="18">
        <v>1.0</v>
      </c>
      <c r="I605" s="18">
        <v>1.0</v>
      </c>
      <c r="J605" s="15" t="s">
        <v>72</v>
      </c>
      <c r="K605" s="15" t="s">
        <v>1905</v>
      </c>
      <c r="L605" s="15" t="s">
        <v>1906</v>
      </c>
      <c r="M605" s="15" t="s">
        <v>22</v>
      </c>
      <c r="N605" s="20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5" t="s">
        <v>14</v>
      </c>
      <c r="B606" s="15" t="s">
        <v>1900</v>
      </c>
      <c r="C606" s="15" t="s">
        <v>1901</v>
      </c>
      <c r="D606" s="15" t="s">
        <v>1902</v>
      </c>
      <c r="E606" s="15" t="s">
        <v>1903</v>
      </c>
      <c r="F606" s="15" t="s">
        <v>1907</v>
      </c>
      <c r="G606" s="15" t="s">
        <v>36</v>
      </c>
      <c r="H606" s="18">
        <v>2.0</v>
      </c>
      <c r="I606" s="18" t="s">
        <v>36</v>
      </c>
      <c r="J606" s="15"/>
      <c r="K606" s="15" t="s">
        <v>1905</v>
      </c>
      <c r="L606" s="15" t="s">
        <v>1906</v>
      </c>
      <c r="M606" s="15" t="s">
        <v>22</v>
      </c>
      <c r="N606" s="20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5" t="s">
        <v>14</v>
      </c>
      <c r="B607" s="15" t="s">
        <v>1900</v>
      </c>
      <c r="C607" s="15" t="s">
        <v>1901</v>
      </c>
      <c r="D607" s="15" t="s">
        <v>1902</v>
      </c>
      <c r="E607" s="15" t="s">
        <v>1903</v>
      </c>
      <c r="F607" s="15" t="s">
        <v>168</v>
      </c>
      <c r="G607" s="15" t="s">
        <v>158</v>
      </c>
      <c r="H607" s="18">
        <v>3.0</v>
      </c>
      <c r="I607" s="18">
        <v>2.0</v>
      </c>
      <c r="J607" s="15"/>
      <c r="K607" s="15" t="s">
        <v>1905</v>
      </c>
      <c r="L607" s="15" t="s">
        <v>1906</v>
      </c>
      <c r="M607" s="15" t="s">
        <v>22</v>
      </c>
      <c r="N607" s="20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5" t="s">
        <v>14</v>
      </c>
      <c r="B608" s="15" t="s">
        <v>1900</v>
      </c>
      <c r="C608" s="15" t="s">
        <v>1901</v>
      </c>
      <c r="D608" s="15" t="s">
        <v>1902</v>
      </c>
      <c r="E608" s="15" t="s">
        <v>1903</v>
      </c>
      <c r="F608" s="15" t="s">
        <v>1908</v>
      </c>
      <c r="G608" s="15" t="s">
        <v>1909</v>
      </c>
      <c r="H608" s="18">
        <v>4.0</v>
      </c>
      <c r="I608" s="18">
        <v>3.0</v>
      </c>
      <c r="J608" s="15"/>
      <c r="K608" s="15" t="s">
        <v>1905</v>
      </c>
      <c r="L608" s="15" t="s">
        <v>1906</v>
      </c>
      <c r="M608" s="15" t="s">
        <v>22</v>
      </c>
      <c r="N608" s="20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5" t="s">
        <v>14</v>
      </c>
      <c r="B609" s="15" t="s">
        <v>1910</v>
      </c>
      <c r="C609" s="15" t="s">
        <v>1911</v>
      </c>
      <c r="D609" s="15" t="s">
        <v>1912</v>
      </c>
      <c r="E609" s="15" t="s">
        <v>1913</v>
      </c>
      <c r="F609" s="15" t="s">
        <v>1914</v>
      </c>
      <c r="G609" s="15" t="s">
        <v>1915</v>
      </c>
      <c r="H609" s="18">
        <v>1.0</v>
      </c>
      <c r="I609" s="18">
        <v>1.0</v>
      </c>
      <c r="J609" s="15"/>
      <c r="K609" s="15" t="s">
        <v>1916</v>
      </c>
      <c r="L609" s="15" t="s">
        <v>1917</v>
      </c>
      <c r="M609" s="15" t="s">
        <v>22</v>
      </c>
      <c r="N609" s="20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5" t="s">
        <v>14</v>
      </c>
      <c r="B610" s="15" t="s">
        <v>1910</v>
      </c>
      <c r="C610" s="15" t="s">
        <v>1911</v>
      </c>
      <c r="D610" s="15" t="s">
        <v>1912</v>
      </c>
      <c r="E610" s="15" t="s">
        <v>1913</v>
      </c>
      <c r="F610" s="15" t="s">
        <v>55</v>
      </c>
      <c r="G610" s="15" t="s">
        <v>56</v>
      </c>
      <c r="H610" s="18">
        <v>2.0</v>
      </c>
      <c r="I610" s="18">
        <v>2.0</v>
      </c>
      <c r="J610" s="15"/>
      <c r="K610" s="15" t="s">
        <v>1916</v>
      </c>
      <c r="L610" s="15" t="s">
        <v>1917</v>
      </c>
      <c r="M610" s="15" t="s">
        <v>22</v>
      </c>
      <c r="N610" s="20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5" t="s">
        <v>14</v>
      </c>
      <c r="B611" s="15" t="s">
        <v>1910</v>
      </c>
      <c r="C611" s="15" t="s">
        <v>1911</v>
      </c>
      <c r="D611" s="15" t="s">
        <v>1912</v>
      </c>
      <c r="E611" s="15" t="s">
        <v>1913</v>
      </c>
      <c r="F611" s="15" t="s">
        <v>1918</v>
      </c>
      <c r="G611" s="15" t="s">
        <v>724</v>
      </c>
      <c r="H611" s="18">
        <v>3.0</v>
      </c>
      <c r="I611" s="18">
        <v>3.0</v>
      </c>
      <c r="J611" s="15"/>
      <c r="K611" s="15" t="s">
        <v>1916</v>
      </c>
      <c r="L611" s="15" t="s">
        <v>1917</v>
      </c>
      <c r="M611" s="15" t="s">
        <v>22</v>
      </c>
      <c r="N611" s="20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5" t="s">
        <v>14</v>
      </c>
      <c r="B612" s="15" t="s">
        <v>1910</v>
      </c>
      <c r="C612" s="15" t="s">
        <v>1911</v>
      </c>
      <c r="D612" s="15" t="s">
        <v>1912</v>
      </c>
      <c r="E612" s="15" t="s">
        <v>1913</v>
      </c>
      <c r="F612" s="15" t="s">
        <v>1919</v>
      </c>
      <c r="G612" s="15" t="s">
        <v>644</v>
      </c>
      <c r="H612" s="18">
        <v>4.0</v>
      </c>
      <c r="I612" s="18">
        <v>4.0</v>
      </c>
      <c r="J612" s="15"/>
      <c r="K612" s="15" t="s">
        <v>1916</v>
      </c>
      <c r="L612" s="15" t="s">
        <v>1917</v>
      </c>
      <c r="M612" s="15" t="s">
        <v>22</v>
      </c>
      <c r="N612" s="20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3" t="s">
        <v>14</v>
      </c>
      <c r="B613" s="3" t="s">
        <v>1920</v>
      </c>
      <c r="C613" s="3" t="s">
        <v>1921</v>
      </c>
      <c r="D613" s="3" t="s">
        <v>1920</v>
      </c>
      <c r="E613" s="3" t="s">
        <v>1922</v>
      </c>
      <c r="F613" s="3" t="s">
        <v>1920</v>
      </c>
      <c r="G613" s="3" t="s">
        <v>1923</v>
      </c>
      <c r="H613" s="4">
        <v>1.0</v>
      </c>
      <c r="I613" s="4">
        <v>1.0</v>
      </c>
      <c r="J613" s="3" t="s">
        <v>80</v>
      </c>
      <c r="K613" s="3" t="s">
        <v>1924</v>
      </c>
      <c r="L613" s="3" t="s">
        <v>1925</v>
      </c>
      <c r="M613" s="3" t="s">
        <v>22</v>
      </c>
      <c r="N613" s="5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14</v>
      </c>
      <c r="B614" s="3" t="s">
        <v>1920</v>
      </c>
      <c r="C614" s="3" t="s">
        <v>1921</v>
      </c>
      <c r="D614" s="3" t="s">
        <v>1920</v>
      </c>
      <c r="E614" s="3" t="s">
        <v>1922</v>
      </c>
      <c r="F614" s="3" t="s">
        <v>36</v>
      </c>
      <c r="G614" s="3" t="s">
        <v>103</v>
      </c>
      <c r="H614" s="4" t="s">
        <v>36</v>
      </c>
      <c r="I614" s="4">
        <v>2.0</v>
      </c>
      <c r="J614" s="3"/>
      <c r="K614" s="3" t="s">
        <v>1924</v>
      </c>
      <c r="L614" s="3" t="s">
        <v>1925</v>
      </c>
      <c r="M614" s="3" t="s">
        <v>22</v>
      </c>
      <c r="N614" s="5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5" t="s">
        <v>14</v>
      </c>
      <c r="B615" s="15" t="s">
        <v>1926</v>
      </c>
      <c r="C615" s="15" t="s">
        <v>1927</v>
      </c>
      <c r="D615" s="15" t="s">
        <v>1928</v>
      </c>
      <c r="E615" s="15" t="s">
        <v>1929</v>
      </c>
      <c r="F615" s="15" t="s">
        <v>36</v>
      </c>
      <c r="G615" s="15" t="s">
        <v>287</v>
      </c>
      <c r="H615" s="18" t="s">
        <v>36</v>
      </c>
      <c r="I615" s="18">
        <v>1.0</v>
      </c>
      <c r="J615" s="15" t="s">
        <v>80</v>
      </c>
      <c r="K615" s="15" t="s">
        <v>1930</v>
      </c>
      <c r="L615" s="15" t="s">
        <v>1931</v>
      </c>
      <c r="M615" s="15" t="s">
        <v>22</v>
      </c>
      <c r="N615" s="20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5" t="s">
        <v>14</v>
      </c>
      <c r="B616" s="15" t="s">
        <v>1926</v>
      </c>
      <c r="C616" s="15" t="s">
        <v>1927</v>
      </c>
      <c r="D616" s="15" t="s">
        <v>1928</v>
      </c>
      <c r="E616" s="15" t="s">
        <v>1929</v>
      </c>
      <c r="F616" s="15" t="s">
        <v>1932</v>
      </c>
      <c r="G616" s="15" t="s">
        <v>1933</v>
      </c>
      <c r="H616" s="18">
        <v>1.0</v>
      </c>
      <c r="I616" s="18">
        <v>2.0</v>
      </c>
      <c r="J616" s="15"/>
      <c r="K616" s="15" t="s">
        <v>1930</v>
      </c>
      <c r="L616" s="15" t="s">
        <v>1931</v>
      </c>
      <c r="M616" s="15" t="s">
        <v>22</v>
      </c>
      <c r="N616" s="20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5" t="s">
        <v>14</v>
      </c>
      <c r="B617" s="15" t="s">
        <v>1926</v>
      </c>
      <c r="C617" s="15" t="s">
        <v>1927</v>
      </c>
      <c r="D617" s="15" t="s">
        <v>1928</v>
      </c>
      <c r="E617" s="15" t="s">
        <v>1929</v>
      </c>
      <c r="F617" s="15" t="s">
        <v>296</v>
      </c>
      <c r="G617" s="15" t="s">
        <v>758</v>
      </c>
      <c r="H617" s="18">
        <v>2.0</v>
      </c>
      <c r="I617" s="18">
        <v>3.0</v>
      </c>
      <c r="J617" s="15"/>
      <c r="K617" s="15" t="s">
        <v>1930</v>
      </c>
      <c r="L617" s="15" t="s">
        <v>1931</v>
      </c>
      <c r="M617" s="15" t="s">
        <v>22</v>
      </c>
      <c r="N617" s="20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3" t="s">
        <v>14</v>
      </c>
      <c r="B618" s="3" t="s">
        <v>1934</v>
      </c>
      <c r="C618" s="3" t="s">
        <v>1935</v>
      </c>
      <c r="D618" s="3" t="s">
        <v>1936</v>
      </c>
      <c r="E618" s="3" t="s">
        <v>1937</v>
      </c>
      <c r="F618" s="3" t="s">
        <v>108</v>
      </c>
      <c r="G618" s="3" t="s">
        <v>175</v>
      </c>
      <c r="H618" s="4">
        <v>1.0</v>
      </c>
      <c r="I618" s="4">
        <v>1.0</v>
      </c>
      <c r="J618" s="3" t="s">
        <v>80</v>
      </c>
      <c r="K618" s="3" t="s">
        <v>1938</v>
      </c>
      <c r="L618" s="3" t="s">
        <v>1939</v>
      </c>
      <c r="M618" s="3" t="s">
        <v>22</v>
      </c>
      <c r="N618" s="5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14</v>
      </c>
      <c r="B619" s="3" t="s">
        <v>1934</v>
      </c>
      <c r="C619" s="3" t="s">
        <v>1935</v>
      </c>
      <c r="D619" s="3" t="s">
        <v>1936</v>
      </c>
      <c r="E619" s="3" t="s">
        <v>1937</v>
      </c>
      <c r="F619" s="3" t="s">
        <v>1940</v>
      </c>
      <c r="G619" s="3" t="s">
        <v>1941</v>
      </c>
      <c r="H619" s="4">
        <v>2.0</v>
      </c>
      <c r="I619" s="4">
        <v>2.0</v>
      </c>
      <c r="J619" s="3"/>
      <c r="K619" s="3" t="s">
        <v>1938</v>
      </c>
      <c r="L619" s="3" t="s">
        <v>1939</v>
      </c>
      <c r="M619" s="3" t="s">
        <v>22</v>
      </c>
      <c r="N619" s="5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14</v>
      </c>
      <c r="B620" s="3" t="s">
        <v>1934</v>
      </c>
      <c r="C620" s="3" t="s">
        <v>1935</v>
      </c>
      <c r="D620" s="3" t="s">
        <v>1936</v>
      </c>
      <c r="E620" s="3" t="s">
        <v>1937</v>
      </c>
      <c r="F620" s="17" t="s">
        <v>36</v>
      </c>
      <c r="G620" s="3" t="s">
        <v>49</v>
      </c>
      <c r="H620" s="4" t="s">
        <v>36</v>
      </c>
      <c r="I620" s="4">
        <v>3.0</v>
      </c>
      <c r="J620" s="3"/>
      <c r="K620" s="3" t="s">
        <v>1938</v>
      </c>
      <c r="L620" s="3" t="s">
        <v>1939</v>
      </c>
      <c r="M620" s="3" t="s">
        <v>22</v>
      </c>
      <c r="N620" s="5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14</v>
      </c>
      <c r="B621" s="3" t="s">
        <v>1942</v>
      </c>
      <c r="C621" s="3" t="s">
        <v>1943</v>
      </c>
      <c r="D621" s="3" t="s">
        <v>1944</v>
      </c>
      <c r="E621" s="3" t="s">
        <v>1945</v>
      </c>
      <c r="F621" s="3" t="s">
        <v>131</v>
      </c>
      <c r="G621" s="3" t="s">
        <v>131</v>
      </c>
      <c r="H621" s="4">
        <v>1.0</v>
      </c>
      <c r="I621" s="4">
        <v>1.0</v>
      </c>
      <c r="J621" s="3"/>
      <c r="K621" s="3" t="s">
        <v>1946</v>
      </c>
      <c r="L621" s="3" t="s">
        <v>1947</v>
      </c>
      <c r="M621" s="3" t="s">
        <v>22</v>
      </c>
      <c r="N621" s="5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14</v>
      </c>
      <c r="B622" s="3" t="s">
        <v>1942</v>
      </c>
      <c r="C622" s="3" t="s">
        <v>1943</v>
      </c>
      <c r="D622" s="3" t="s">
        <v>1944</v>
      </c>
      <c r="E622" s="3" t="s">
        <v>1945</v>
      </c>
      <c r="F622" s="3" t="s">
        <v>848</v>
      </c>
      <c r="G622" s="3" t="s">
        <v>296</v>
      </c>
      <c r="H622" s="4">
        <v>2.0</v>
      </c>
      <c r="I622" s="4">
        <v>2.0</v>
      </c>
      <c r="J622" s="3"/>
      <c r="K622" s="3" t="s">
        <v>1946</v>
      </c>
      <c r="L622" s="3" t="s">
        <v>1947</v>
      </c>
      <c r="M622" s="3" t="s">
        <v>22</v>
      </c>
      <c r="N622" s="5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5" t="s">
        <v>14</v>
      </c>
      <c r="B623" s="15" t="s">
        <v>1948</v>
      </c>
      <c r="C623" s="15" t="s">
        <v>1949</v>
      </c>
      <c r="D623" s="15" t="s">
        <v>1950</v>
      </c>
      <c r="E623" s="15" t="s">
        <v>1951</v>
      </c>
      <c r="F623" s="15"/>
      <c r="G623" s="15"/>
      <c r="H623" s="18"/>
      <c r="I623" s="18"/>
      <c r="J623" s="15" t="s">
        <v>80</v>
      </c>
      <c r="K623" s="15" t="s">
        <v>1952</v>
      </c>
      <c r="L623" s="15" t="s">
        <v>1953</v>
      </c>
      <c r="M623" s="15" t="s">
        <v>22</v>
      </c>
      <c r="N623" s="15" t="s">
        <v>560</v>
      </c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3" t="s">
        <v>14</v>
      </c>
      <c r="B624" s="3" t="s">
        <v>1954</v>
      </c>
      <c r="C624" s="3" t="s">
        <v>1955</v>
      </c>
      <c r="D624" s="3" t="s">
        <v>1956</v>
      </c>
      <c r="E624" s="3" t="s">
        <v>1957</v>
      </c>
      <c r="F624" s="3" t="s">
        <v>425</v>
      </c>
      <c r="G624" s="3" t="s">
        <v>425</v>
      </c>
      <c r="H624" s="4">
        <v>1.0</v>
      </c>
      <c r="I624" s="4">
        <v>1.0</v>
      </c>
      <c r="J624" s="3" t="s">
        <v>80</v>
      </c>
      <c r="K624" s="3" t="s">
        <v>1958</v>
      </c>
      <c r="L624" s="3" t="s">
        <v>1959</v>
      </c>
      <c r="M624" s="3" t="s">
        <v>22</v>
      </c>
      <c r="N624" s="5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14</v>
      </c>
      <c r="B625" s="3" t="s">
        <v>1954</v>
      </c>
      <c r="C625" s="3" t="s">
        <v>1955</v>
      </c>
      <c r="D625" s="3" t="s">
        <v>1956</v>
      </c>
      <c r="E625" s="3" t="s">
        <v>1957</v>
      </c>
      <c r="F625" s="3" t="s">
        <v>36</v>
      </c>
      <c r="G625" s="3" t="s">
        <v>1897</v>
      </c>
      <c r="H625" s="4" t="s">
        <v>36</v>
      </c>
      <c r="I625" s="4">
        <v>2.0</v>
      </c>
      <c r="J625" s="3"/>
      <c r="K625" s="3" t="s">
        <v>1958</v>
      </c>
      <c r="L625" s="3" t="s">
        <v>1959</v>
      </c>
      <c r="M625" s="3" t="s">
        <v>22</v>
      </c>
      <c r="N625" s="5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14</v>
      </c>
      <c r="B626" s="3" t="s">
        <v>1954</v>
      </c>
      <c r="C626" s="3" t="s">
        <v>1955</v>
      </c>
      <c r="D626" s="3" t="s">
        <v>1956</v>
      </c>
      <c r="E626" s="3" t="s">
        <v>1957</v>
      </c>
      <c r="F626" s="3" t="s">
        <v>1960</v>
      </c>
      <c r="G626" s="3" t="s">
        <v>75</v>
      </c>
      <c r="H626" s="4">
        <v>2.0</v>
      </c>
      <c r="I626" s="4">
        <v>3.0</v>
      </c>
      <c r="J626" s="3"/>
      <c r="K626" s="3" t="s">
        <v>1958</v>
      </c>
      <c r="L626" s="3" t="s">
        <v>1959</v>
      </c>
      <c r="M626" s="3" t="s">
        <v>22</v>
      </c>
      <c r="N626" s="5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14</v>
      </c>
      <c r="B627" s="3" t="s">
        <v>1961</v>
      </c>
      <c r="C627" s="3" t="s">
        <v>1962</v>
      </c>
      <c r="D627" s="3" t="s">
        <v>1963</v>
      </c>
      <c r="E627" s="3" t="s">
        <v>1964</v>
      </c>
      <c r="F627" s="3" t="s">
        <v>128</v>
      </c>
      <c r="G627" s="3" t="s">
        <v>1965</v>
      </c>
      <c r="H627" s="4">
        <v>1.0</v>
      </c>
      <c r="I627" s="4">
        <v>1.0</v>
      </c>
      <c r="J627" s="3"/>
      <c r="K627" s="3" t="s">
        <v>1966</v>
      </c>
      <c r="L627" s="3" t="s">
        <v>1967</v>
      </c>
      <c r="M627" s="3" t="s">
        <v>22</v>
      </c>
      <c r="N627" s="5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14</v>
      </c>
      <c r="B628" s="3" t="s">
        <v>1961</v>
      </c>
      <c r="C628" s="3" t="s">
        <v>1962</v>
      </c>
      <c r="D628" s="3" t="s">
        <v>1963</v>
      </c>
      <c r="E628" s="3" t="s">
        <v>1964</v>
      </c>
      <c r="F628" s="3" t="s">
        <v>1968</v>
      </c>
      <c r="G628" s="3" t="s">
        <v>36</v>
      </c>
      <c r="H628" s="4">
        <v>2.0</v>
      </c>
      <c r="I628" s="4" t="s">
        <v>36</v>
      </c>
      <c r="J628" s="3"/>
      <c r="K628" s="3" t="s">
        <v>1966</v>
      </c>
      <c r="L628" s="3" t="s">
        <v>1967</v>
      </c>
      <c r="M628" s="3" t="s">
        <v>22</v>
      </c>
      <c r="N628" s="5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14</v>
      </c>
      <c r="B629" s="3" t="s">
        <v>1961</v>
      </c>
      <c r="C629" s="3" t="s">
        <v>1962</v>
      </c>
      <c r="D629" s="3" t="s">
        <v>1963</v>
      </c>
      <c r="E629" s="3" t="s">
        <v>1964</v>
      </c>
      <c r="F629" s="3" t="s">
        <v>784</v>
      </c>
      <c r="G629" s="3" t="s">
        <v>784</v>
      </c>
      <c r="H629" s="4">
        <v>3.0</v>
      </c>
      <c r="I629" s="4">
        <v>2.0</v>
      </c>
      <c r="J629" s="3"/>
      <c r="K629" s="3" t="s">
        <v>1966</v>
      </c>
      <c r="L629" s="3" t="s">
        <v>1967</v>
      </c>
      <c r="M629" s="3" t="s">
        <v>22</v>
      </c>
      <c r="N629" s="5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5" t="s">
        <v>14</v>
      </c>
      <c r="B630" s="15" t="s">
        <v>1969</v>
      </c>
      <c r="C630" s="15" t="s">
        <v>1970</v>
      </c>
      <c r="D630" s="15" t="s">
        <v>1971</v>
      </c>
      <c r="E630" s="15" t="s">
        <v>1972</v>
      </c>
      <c r="F630" s="15" t="s">
        <v>546</v>
      </c>
      <c r="G630" s="15" t="s">
        <v>1973</v>
      </c>
      <c r="H630" s="18">
        <v>1.0</v>
      </c>
      <c r="I630" s="18">
        <v>1.0</v>
      </c>
      <c r="J630" s="15" t="s">
        <v>80</v>
      </c>
      <c r="K630" s="15" t="s">
        <v>1974</v>
      </c>
      <c r="L630" s="15" t="s">
        <v>1975</v>
      </c>
      <c r="M630" s="15" t="s">
        <v>22</v>
      </c>
      <c r="N630" s="20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5" t="s">
        <v>14</v>
      </c>
      <c r="B631" s="15" t="s">
        <v>1969</v>
      </c>
      <c r="C631" s="15" t="s">
        <v>1970</v>
      </c>
      <c r="D631" s="15" t="s">
        <v>1971</v>
      </c>
      <c r="E631" s="15" t="s">
        <v>1972</v>
      </c>
      <c r="F631" s="15" t="s">
        <v>190</v>
      </c>
      <c r="G631" s="15" t="s">
        <v>49</v>
      </c>
      <c r="H631" s="18">
        <v>2.0</v>
      </c>
      <c r="I631" s="18">
        <v>2.0</v>
      </c>
      <c r="J631" s="15"/>
      <c r="K631" s="15" t="s">
        <v>1974</v>
      </c>
      <c r="L631" s="15" t="s">
        <v>1975</v>
      </c>
      <c r="M631" s="15" t="s">
        <v>22</v>
      </c>
      <c r="N631" s="20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3" t="s">
        <v>14</v>
      </c>
      <c r="B632" s="3" t="s">
        <v>1976</v>
      </c>
      <c r="C632" s="3" t="s">
        <v>1977</v>
      </c>
      <c r="D632" s="3" t="s">
        <v>1978</v>
      </c>
      <c r="E632" s="3" t="s">
        <v>1979</v>
      </c>
      <c r="F632" s="3" t="s">
        <v>549</v>
      </c>
      <c r="G632" s="3" t="s">
        <v>549</v>
      </c>
      <c r="H632" s="4">
        <v>1.0</v>
      </c>
      <c r="I632" s="4">
        <v>1.0</v>
      </c>
      <c r="J632" s="3"/>
      <c r="K632" s="3" t="s">
        <v>1980</v>
      </c>
      <c r="L632" s="3" t="s">
        <v>1981</v>
      </c>
      <c r="M632" s="3" t="s">
        <v>22</v>
      </c>
      <c r="N632" s="5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14</v>
      </c>
      <c r="B633" s="3" t="s">
        <v>1976</v>
      </c>
      <c r="C633" s="3" t="s">
        <v>1977</v>
      </c>
      <c r="D633" s="3" t="s">
        <v>1978</v>
      </c>
      <c r="E633" s="3" t="s">
        <v>1979</v>
      </c>
      <c r="F633" s="3" t="s">
        <v>1982</v>
      </c>
      <c r="G633" s="3" t="s">
        <v>1983</v>
      </c>
      <c r="H633" s="4">
        <v>2.0</v>
      </c>
      <c r="I633" s="4">
        <v>2.0</v>
      </c>
      <c r="J633" s="3"/>
      <c r="K633" s="3" t="s">
        <v>1980</v>
      </c>
      <c r="L633" s="3" t="s">
        <v>1981</v>
      </c>
      <c r="M633" s="3" t="s">
        <v>22</v>
      </c>
      <c r="N633" s="5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14</v>
      </c>
      <c r="B634" s="3" t="s">
        <v>1984</v>
      </c>
      <c r="C634" s="3" t="s">
        <v>1985</v>
      </c>
      <c r="D634" s="3" t="s">
        <v>1986</v>
      </c>
      <c r="E634" s="3" t="s">
        <v>1987</v>
      </c>
      <c r="F634" s="3" t="s">
        <v>976</v>
      </c>
      <c r="G634" s="3" t="s">
        <v>977</v>
      </c>
      <c r="H634" s="4">
        <v>1.0</v>
      </c>
      <c r="I634" s="4">
        <v>1.0</v>
      </c>
      <c r="J634" s="3"/>
      <c r="K634" s="3" t="s">
        <v>1988</v>
      </c>
      <c r="L634" s="3" t="s">
        <v>1989</v>
      </c>
      <c r="M634" s="3" t="s">
        <v>22</v>
      </c>
      <c r="N634" s="5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14</v>
      </c>
      <c r="B635" s="3" t="s">
        <v>1984</v>
      </c>
      <c r="C635" s="3" t="s">
        <v>1985</v>
      </c>
      <c r="D635" s="3" t="s">
        <v>1986</v>
      </c>
      <c r="E635" s="3" t="s">
        <v>1987</v>
      </c>
      <c r="F635" s="3" t="s">
        <v>402</v>
      </c>
      <c r="G635" s="3" t="s">
        <v>402</v>
      </c>
      <c r="H635" s="4">
        <v>2.0</v>
      </c>
      <c r="I635" s="4">
        <v>2.0</v>
      </c>
      <c r="J635" s="3"/>
      <c r="K635" s="3" t="s">
        <v>1988</v>
      </c>
      <c r="L635" s="3" t="s">
        <v>1989</v>
      </c>
      <c r="M635" s="3" t="s">
        <v>22</v>
      </c>
      <c r="N635" s="5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14</v>
      </c>
      <c r="B636" s="3" t="s">
        <v>1990</v>
      </c>
      <c r="C636" s="3" t="s">
        <v>1991</v>
      </c>
      <c r="D636" s="3" t="s">
        <v>1992</v>
      </c>
      <c r="E636" s="3" t="s">
        <v>1993</v>
      </c>
      <c r="F636" s="3" t="s">
        <v>1994</v>
      </c>
      <c r="G636" s="3" t="s">
        <v>437</v>
      </c>
      <c r="H636" s="4">
        <v>1.0</v>
      </c>
      <c r="I636" s="4">
        <v>1.0</v>
      </c>
      <c r="J636" s="3" t="s">
        <v>80</v>
      </c>
      <c r="K636" s="3" t="s">
        <v>1995</v>
      </c>
      <c r="L636" s="3" t="s">
        <v>1996</v>
      </c>
      <c r="M636" s="3" t="s">
        <v>22</v>
      </c>
      <c r="N636" s="5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14</v>
      </c>
      <c r="B637" s="3" t="s">
        <v>1990</v>
      </c>
      <c r="C637" s="3" t="s">
        <v>1991</v>
      </c>
      <c r="D637" s="3" t="s">
        <v>1992</v>
      </c>
      <c r="E637" s="3" t="s">
        <v>1993</v>
      </c>
      <c r="F637" s="3" t="s">
        <v>36</v>
      </c>
      <c r="G637" s="3" t="s">
        <v>222</v>
      </c>
      <c r="H637" s="4" t="s">
        <v>36</v>
      </c>
      <c r="I637" s="4">
        <v>2.0</v>
      </c>
      <c r="J637" s="3"/>
      <c r="K637" s="3" t="s">
        <v>1995</v>
      </c>
      <c r="L637" s="3" t="s">
        <v>1996</v>
      </c>
      <c r="M637" s="3" t="s">
        <v>22</v>
      </c>
      <c r="N637" s="5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14</v>
      </c>
      <c r="B638" s="3" t="s">
        <v>1990</v>
      </c>
      <c r="C638" s="3" t="s">
        <v>1991</v>
      </c>
      <c r="D638" s="3" t="s">
        <v>1992</v>
      </c>
      <c r="E638" s="3" t="s">
        <v>1993</v>
      </c>
      <c r="F638" s="3" t="s">
        <v>36</v>
      </c>
      <c r="G638" s="3" t="s">
        <v>49</v>
      </c>
      <c r="H638" s="4" t="s">
        <v>36</v>
      </c>
      <c r="I638" s="4">
        <v>3.0</v>
      </c>
      <c r="J638" s="3"/>
      <c r="K638" s="3" t="s">
        <v>1995</v>
      </c>
      <c r="L638" s="3" t="s">
        <v>1996</v>
      </c>
      <c r="M638" s="3" t="s">
        <v>22</v>
      </c>
      <c r="N638" s="5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14</v>
      </c>
      <c r="B639" s="3" t="s">
        <v>1990</v>
      </c>
      <c r="C639" s="3" t="s">
        <v>1991</v>
      </c>
      <c r="D639" s="3" t="s">
        <v>1992</v>
      </c>
      <c r="E639" s="3" t="s">
        <v>1993</v>
      </c>
      <c r="F639" s="3" t="s">
        <v>181</v>
      </c>
      <c r="G639" s="3" t="s">
        <v>428</v>
      </c>
      <c r="H639" s="4">
        <v>2.0</v>
      </c>
      <c r="I639" s="4">
        <v>4.0</v>
      </c>
      <c r="J639" s="3"/>
      <c r="K639" s="3" t="s">
        <v>1995</v>
      </c>
      <c r="L639" s="3" t="s">
        <v>1996</v>
      </c>
      <c r="M639" s="3" t="s">
        <v>22</v>
      </c>
      <c r="N639" s="5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14</v>
      </c>
      <c r="B640" s="3" t="s">
        <v>1997</v>
      </c>
      <c r="C640" s="3" t="s">
        <v>1998</v>
      </c>
      <c r="D640" s="3" t="s">
        <v>1999</v>
      </c>
      <c r="E640" s="3" t="s">
        <v>2000</v>
      </c>
      <c r="F640" s="3" t="s">
        <v>1994</v>
      </c>
      <c r="G640" s="3" t="s">
        <v>1599</v>
      </c>
      <c r="H640" s="4">
        <v>1.0</v>
      </c>
      <c r="I640" s="4">
        <v>1.0</v>
      </c>
      <c r="J640" s="3"/>
      <c r="K640" s="3" t="s">
        <v>2001</v>
      </c>
      <c r="L640" s="3" t="s">
        <v>2002</v>
      </c>
      <c r="M640" s="3" t="s">
        <v>22</v>
      </c>
      <c r="N640" s="5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14</v>
      </c>
      <c r="B641" s="3" t="s">
        <v>1997</v>
      </c>
      <c r="C641" s="3" t="s">
        <v>1998</v>
      </c>
      <c r="D641" s="3" t="s">
        <v>1999</v>
      </c>
      <c r="E641" s="3" t="s">
        <v>2000</v>
      </c>
      <c r="F641" s="3" t="s">
        <v>2003</v>
      </c>
      <c r="G641" s="3" t="s">
        <v>2004</v>
      </c>
      <c r="H641" s="4">
        <v>2.0</v>
      </c>
      <c r="I641" s="4">
        <v>2.0</v>
      </c>
      <c r="J641" s="3"/>
      <c r="K641" s="3" t="s">
        <v>2001</v>
      </c>
      <c r="L641" s="3" t="s">
        <v>2002</v>
      </c>
      <c r="M641" s="3" t="s">
        <v>22</v>
      </c>
      <c r="N641" s="5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14</v>
      </c>
      <c r="B642" s="3" t="s">
        <v>2005</v>
      </c>
      <c r="C642" s="3" t="s">
        <v>2005</v>
      </c>
      <c r="D642" s="3" t="s">
        <v>2006</v>
      </c>
      <c r="E642" s="3" t="s">
        <v>2006</v>
      </c>
      <c r="F642" s="3" t="s">
        <v>1032</v>
      </c>
      <c r="G642" s="3" t="s">
        <v>1032</v>
      </c>
      <c r="H642" s="4">
        <v>1.0</v>
      </c>
      <c r="I642" s="4">
        <v>1.0</v>
      </c>
      <c r="J642" s="3"/>
      <c r="K642" s="3" t="s">
        <v>2007</v>
      </c>
      <c r="L642" s="3" t="s">
        <v>2008</v>
      </c>
      <c r="M642" s="3" t="s">
        <v>22</v>
      </c>
      <c r="N642" s="5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14</v>
      </c>
      <c r="B643" s="3" t="s">
        <v>2005</v>
      </c>
      <c r="C643" s="3" t="s">
        <v>2005</v>
      </c>
      <c r="D643" s="3" t="s">
        <v>2006</v>
      </c>
      <c r="E643" s="3" t="s">
        <v>2006</v>
      </c>
      <c r="F643" s="3" t="s">
        <v>1426</v>
      </c>
      <c r="G643" s="3" t="s">
        <v>1426</v>
      </c>
      <c r="H643" s="4">
        <v>2.0</v>
      </c>
      <c r="I643" s="4">
        <v>2.0</v>
      </c>
      <c r="J643" s="3"/>
      <c r="K643" s="3" t="s">
        <v>2007</v>
      </c>
      <c r="L643" s="3" t="s">
        <v>2008</v>
      </c>
      <c r="M643" s="3" t="s">
        <v>22</v>
      </c>
      <c r="N643" s="5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14</v>
      </c>
      <c r="B644" s="3" t="s">
        <v>2009</v>
      </c>
      <c r="C644" s="3" t="s">
        <v>2010</v>
      </c>
      <c r="D644" s="3" t="s">
        <v>2011</v>
      </c>
      <c r="E644" s="3" t="s">
        <v>2012</v>
      </c>
      <c r="F644" s="3" t="s">
        <v>2013</v>
      </c>
      <c r="G644" s="3" t="s">
        <v>1703</v>
      </c>
      <c r="H644" s="4">
        <v>1.0</v>
      </c>
      <c r="I644" s="4">
        <v>1.0</v>
      </c>
      <c r="J644" s="3" t="s">
        <v>72</v>
      </c>
      <c r="K644" s="3" t="s">
        <v>2014</v>
      </c>
      <c r="L644" s="3" t="s">
        <v>2015</v>
      </c>
      <c r="M644" s="3" t="s">
        <v>22</v>
      </c>
      <c r="N644" s="5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14</v>
      </c>
      <c r="B645" s="3" t="s">
        <v>2009</v>
      </c>
      <c r="C645" s="3" t="s">
        <v>2010</v>
      </c>
      <c r="D645" s="3" t="s">
        <v>2011</v>
      </c>
      <c r="E645" s="3" t="s">
        <v>2012</v>
      </c>
      <c r="F645" s="3" t="s">
        <v>1060</v>
      </c>
      <c r="G645" s="3" t="s">
        <v>1060</v>
      </c>
      <c r="H645" s="4">
        <v>2.0</v>
      </c>
      <c r="I645" s="4">
        <v>2.0</v>
      </c>
      <c r="J645" s="3"/>
      <c r="K645" s="3" t="s">
        <v>2014</v>
      </c>
      <c r="L645" s="3" t="s">
        <v>2015</v>
      </c>
      <c r="M645" s="3" t="s">
        <v>22</v>
      </c>
      <c r="N645" s="5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14</v>
      </c>
      <c r="B646" s="3" t="s">
        <v>2009</v>
      </c>
      <c r="C646" s="3" t="s">
        <v>2010</v>
      </c>
      <c r="D646" s="3" t="s">
        <v>2011</v>
      </c>
      <c r="E646" s="3" t="s">
        <v>2012</v>
      </c>
      <c r="F646" s="3" t="s">
        <v>1426</v>
      </c>
      <c r="G646" s="3" t="s">
        <v>1426</v>
      </c>
      <c r="H646" s="4">
        <v>3.0</v>
      </c>
      <c r="I646" s="4">
        <v>3.0</v>
      </c>
      <c r="J646" s="3"/>
      <c r="K646" s="3" t="s">
        <v>2014</v>
      </c>
      <c r="L646" s="3" t="s">
        <v>2015</v>
      </c>
      <c r="M646" s="3" t="s">
        <v>22</v>
      </c>
      <c r="N646" s="5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14</v>
      </c>
      <c r="B647" s="3" t="s">
        <v>2016</v>
      </c>
      <c r="C647" s="3" t="s">
        <v>2017</v>
      </c>
      <c r="D647" s="3" t="s">
        <v>2018</v>
      </c>
      <c r="E647" s="3" t="s">
        <v>2019</v>
      </c>
      <c r="F647" s="3" t="s">
        <v>848</v>
      </c>
      <c r="G647" s="3" t="s">
        <v>987</v>
      </c>
      <c r="H647" s="4">
        <v>1.0</v>
      </c>
      <c r="I647" s="4">
        <v>1.0</v>
      </c>
      <c r="J647" s="3" t="s">
        <v>80</v>
      </c>
      <c r="K647" s="3" t="s">
        <v>2020</v>
      </c>
      <c r="L647" s="3" t="s">
        <v>2021</v>
      </c>
      <c r="M647" s="3" t="s">
        <v>22</v>
      </c>
      <c r="N647" s="5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14</v>
      </c>
      <c r="B648" s="3" t="s">
        <v>2016</v>
      </c>
      <c r="C648" s="3" t="s">
        <v>2017</v>
      </c>
      <c r="D648" s="3" t="s">
        <v>2018</v>
      </c>
      <c r="E648" s="3" t="s">
        <v>2019</v>
      </c>
      <c r="F648" s="3" t="s">
        <v>1491</v>
      </c>
      <c r="G648" s="3" t="s">
        <v>575</v>
      </c>
      <c r="H648" s="4">
        <v>2.0</v>
      </c>
      <c r="I648" s="4">
        <v>2.0</v>
      </c>
      <c r="J648" s="3"/>
      <c r="K648" s="3" t="s">
        <v>2020</v>
      </c>
      <c r="L648" s="3" t="s">
        <v>2021</v>
      </c>
      <c r="M648" s="3" t="s">
        <v>22</v>
      </c>
      <c r="N648" s="5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14</v>
      </c>
      <c r="B649" s="3" t="s">
        <v>2016</v>
      </c>
      <c r="C649" s="3" t="s">
        <v>2017</v>
      </c>
      <c r="D649" s="3" t="s">
        <v>2018</v>
      </c>
      <c r="E649" s="3" t="s">
        <v>2019</v>
      </c>
      <c r="F649" s="3" t="s">
        <v>2022</v>
      </c>
      <c r="G649" s="3" t="s">
        <v>2023</v>
      </c>
      <c r="H649" s="4">
        <v>3.0</v>
      </c>
      <c r="I649" s="4">
        <v>3.0</v>
      </c>
      <c r="J649" s="3"/>
      <c r="K649" s="3" t="s">
        <v>2020</v>
      </c>
      <c r="L649" s="3" t="s">
        <v>2021</v>
      </c>
      <c r="M649" s="3" t="s">
        <v>22</v>
      </c>
      <c r="N649" s="5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14</v>
      </c>
      <c r="B650" s="3" t="s">
        <v>2016</v>
      </c>
      <c r="C650" s="3" t="s">
        <v>2017</v>
      </c>
      <c r="D650" s="3" t="s">
        <v>2018</v>
      </c>
      <c r="E650" s="3" t="s">
        <v>2019</v>
      </c>
      <c r="F650" s="3" t="s">
        <v>36</v>
      </c>
      <c r="G650" s="3" t="s">
        <v>2024</v>
      </c>
      <c r="H650" s="4" t="s">
        <v>36</v>
      </c>
      <c r="I650" s="4">
        <v>4.0</v>
      </c>
      <c r="J650" s="3"/>
      <c r="K650" s="3" t="s">
        <v>2020</v>
      </c>
      <c r="L650" s="3" t="s">
        <v>2021</v>
      </c>
      <c r="M650" s="3" t="s">
        <v>22</v>
      </c>
      <c r="N650" s="5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14</v>
      </c>
      <c r="B651" s="3" t="s">
        <v>2016</v>
      </c>
      <c r="C651" s="3" t="s">
        <v>2017</v>
      </c>
      <c r="D651" s="3" t="s">
        <v>2018</v>
      </c>
      <c r="E651" s="3" t="s">
        <v>2019</v>
      </c>
      <c r="F651" s="17" t="s">
        <v>36</v>
      </c>
      <c r="G651" s="3" t="s">
        <v>128</v>
      </c>
      <c r="H651" s="4" t="s">
        <v>36</v>
      </c>
      <c r="I651" s="4">
        <v>5.0</v>
      </c>
      <c r="J651" s="3"/>
      <c r="K651" s="3" t="s">
        <v>2020</v>
      </c>
      <c r="L651" s="3" t="s">
        <v>2021</v>
      </c>
      <c r="M651" s="3" t="s">
        <v>22</v>
      </c>
      <c r="N651" s="5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14</v>
      </c>
      <c r="B652" s="3" t="s">
        <v>984</v>
      </c>
      <c r="C652" s="3" t="s">
        <v>2025</v>
      </c>
      <c r="D652" s="3" t="s">
        <v>984</v>
      </c>
      <c r="E652" s="3" t="s">
        <v>2026</v>
      </c>
      <c r="F652" s="3" t="s">
        <v>984</v>
      </c>
      <c r="G652" s="3" t="s">
        <v>984</v>
      </c>
      <c r="H652" s="4">
        <v>1.0</v>
      </c>
      <c r="I652" s="4">
        <v>1.0</v>
      </c>
      <c r="J652" s="3" t="s">
        <v>80</v>
      </c>
      <c r="K652" s="3" t="s">
        <v>2027</v>
      </c>
      <c r="L652" s="3" t="s">
        <v>2028</v>
      </c>
      <c r="M652" s="3" t="s">
        <v>22</v>
      </c>
      <c r="N652" s="5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14</v>
      </c>
      <c r="B653" s="3" t="s">
        <v>984</v>
      </c>
      <c r="C653" s="3" t="s">
        <v>2025</v>
      </c>
      <c r="D653" s="3" t="s">
        <v>984</v>
      </c>
      <c r="E653" s="3" t="s">
        <v>2026</v>
      </c>
      <c r="F653" s="3" t="s">
        <v>36</v>
      </c>
      <c r="G653" s="3" t="s">
        <v>1137</v>
      </c>
      <c r="H653" s="4" t="s">
        <v>36</v>
      </c>
      <c r="I653" s="4">
        <v>2.0</v>
      </c>
      <c r="J653" s="3"/>
      <c r="K653" s="3" t="s">
        <v>2027</v>
      </c>
      <c r="L653" s="3" t="s">
        <v>2028</v>
      </c>
      <c r="M653" s="3" t="s">
        <v>22</v>
      </c>
      <c r="N653" s="5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14</v>
      </c>
      <c r="B654" s="3" t="s">
        <v>2029</v>
      </c>
      <c r="C654" s="3" t="s">
        <v>2030</v>
      </c>
      <c r="D654" s="3" t="s">
        <v>2031</v>
      </c>
      <c r="E654" s="3" t="s">
        <v>2032</v>
      </c>
      <c r="F654" s="3" t="s">
        <v>128</v>
      </c>
      <c r="G654" s="17" t="s">
        <v>36</v>
      </c>
      <c r="H654" s="4">
        <v>1.0</v>
      </c>
      <c r="I654" s="17" t="s">
        <v>36</v>
      </c>
      <c r="J654" s="3"/>
      <c r="K654" s="3" t="s">
        <v>2033</v>
      </c>
      <c r="L654" s="3" t="s">
        <v>1514</v>
      </c>
      <c r="M654" s="3" t="s">
        <v>22</v>
      </c>
      <c r="N654" s="5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14</v>
      </c>
      <c r="B655" s="3" t="s">
        <v>2029</v>
      </c>
      <c r="C655" s="3" t="s">
        <v>2030</v>
      </c>
      <c r="D655" s="3" t="s">
        <v>2031</v>
      </c>
      <c r="E655" s="3" t="s">
        <v>2032</v>
      </c>
      <c r="F655" s="3" t="s">
        <v>2034</v>
      </c>
      <c r="G655" s="3" t="s">
        <v>899</v>
      </c>
      <c r="H655" s="4">
        <v>2.0</v>
      </c>
      <c r="I655" s="4">
        <v>1.0</v>
      </c>
      <c r="J655" s="3"/>
      <c r="K655" s="3" t="s">
        <v>2033</v>
      </c>
      <c r="L655" s="3" t="s">
        <v>1514</v>
      </c>
      <c r="M655" s="3" t="s">
        <v>22</v>
      </c>
      <c r="N655" s="5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14</v>
      </c>
      <c r="B656" s="3" t="s">
        <v>2029</v>
      </c>
      <c r="C656" s="3" t="s">
        <v>2030</v>
      </c>
      <c r="D656" s="3" t="s">
        <v>2031</v>
      </c>
      <c r="E656" s="3" t="s">
        <v>2032</v>
      </c>
      <c r="F656" s="3" t="s">
        <v>36</v>
      </c>
      <c r="G656" s="3" t="s">
        <v>591</v>
      </c>
      <c r="H656" s="4" t="s">
        <v>36</v>
      </c>
      <c r="I656" s="4">
        <v>2.0</v>
      </c>
      <c r="J656" s="3"/>
      <c r="K656" s="3" t="s">
        <v>2033</v>
      </c>
      <c r="L656" s="3" t="s">
        <v>1514</v>
      </c>
      <c r="M656" s="3" t="s">
        <v>22</v>
      </c>
      <c r="N656" s="5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14</v>
      </c>
      <c r="B657" s="3" t="s">
        <v>2035</v>
      </c>
      <c r="C657" s="3" t="s">
        <v>2036</v>
      </c>
      <c r="D657" s="3" t="s">
        <v>2037</v>
      </c>
      <c r="E657" s="3" t="s">
        <v>2038</v>
      </c>
      <c r="F657" s="3" t="s">
        <v>219</v>
      </c>
      <c r="G657" s="3" t="s">
        <v>219</v>
      </c>
      <c r="H657" s="4">
        <v>1.0</v>
      </c>
      <c r="I657" s="4">
        <v>1.0</v>
      </c>
      <c r="J657" s="3"/>
      <c r="K657" s="3" t="s">
        <v>2039</v>
      </c>
      <c r="L657" s="3" t="s">
        <v>2040</v>
      </c>
      <c r="M657" s="3" t="s">
        <v>22</v>
      </c>
      <c r="N657" s="5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14</v>
      </c>
      <c r="B658" s="3" t="s">
        <v>2035</v>
      </c>
      <c r="C658" s="3" t="s">
        <v>2036</v>
      </c>
      <c r="D658" s="3" t="s">
        <v>2037</v>
      </c>
      <c r="E658" s="3" t="s">
        <v>2038</v>
      </c>
      <c r="F658" s="3" t="s">
        <v>1982</v>
      </c>
      <c r="G658" s="3" t="s">
        <v>1983</v>
      </c>
      <c r="H658" s="4">
        <v>2.0</v>
      </c>
      <c r="I658" s="4">
        <v>2.0</v>
      </c>
      <c r="J658" s="3"/>
      <c r="K658" s="3" t="s">
        <v>2039</v>
      </c>
      <c r="L658" s="3" t="s">
        <v>2040</v>
      </c>
      <c r="M658" s="3" t="s">
        <v>22</v>
      </c>
      <c r="N658" s="5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14</v>
      </c>
      <c r="B659" s="3" t="s">
        <v>2041</v>
      </c>
      <c r="C659" s="3" t="s">
        <v>2042</v>
      </c>
      <c r="D659" s="3" t="s">
        <v>2043</v>
      </c>
      <c r="E659" s="3" t="s">
        <v>2044</v>
      </c>
      <c r="F659" s="3" t="s">
        <v>976</v>
      </c>
      <c r="G659" s="3" t="s">
        <v>977</v>
      </c>
      <c r="H659" s="4">
        <v>1.0</v>
      </c>
      <c r="I659" s="4">
        <v>1.0</v>
      </c>
      <c r="J659" s="3"/>
      <c r="K659" s="3" t="s">
        <v>2045</v>
      </c>
      <c r="L659" s="3" t="s">
        <v>2046</v>
      </c>
      <c r="M659" s="3" t="s">
        <v>22</v>
      </c>
      <c r="N659" s="5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14</v>
      </c>
      <c r="B660" s="3" t="s">
        <v>2041</v>
      </c>
      <c r="C660" s="3" t="s">
        <v>2042</v>
      </c>
      <c r="D660" s="3" t="s">
        <v>2043</v>
      </c>
      <c r="E660" s="3" t="s">
        <v>2044</v>
      </c>
      <c r="F660" s="3" t="s">
        <v>238</v>
      </c>
      <c r="G660" s="3" t="s">
        <v>238</v>
      </c>
      <c r="H660" s="4">
        <v>2.0</v>
      </c>
      <c r="I660" s="4">
        <v>2.0</v>
      </c>
      <c r="J660" s="3"/>
      <c r="K660" s="3" t="s">
        <v>2045</v>
      </c>
      <c r="L660" s="3" t="s">
        <v>2046</v>
      </c>
      <c r="M660" s="3" t="s">
        <v>22</v>
      </c>
      <c r="N660" s="5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14</v>
      </c>
      <c r="B661" s="3" t="s">
        <v>2047</v>
      </c>
      <c r="C661" s="3" t="s">
        <v>2048</v>
      </c>
      <c r="D661" s="3" t="s">
        <v>2049</v>
      </c>
      <c r="E661" s="3" t="s">
        <v>2050</v>
      </c>
      <c r="F661" s="3" t="s">
        <v>2051</v>
      </c>
      <c r="G661" s="3" t="s">
        <v>2052</v>
      </c>
      <c r="H661" s="4">
        <v>1.0</v>
      </c>
      <c r="I661" s="4">
        <v>1.0</v>
      </c>
      <c r="J661" s="3"/>
      <c r="K661" s="3" t="s">
        <v>2053</v>
      </c>
      <c r="L661" s="3" t="s">
        <v>2054</v>
      </c>
      <c r="M661" s="3" t="s">
        <v>22</v>
      </c>
      <c r="N661" s="5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14</v>
      </c>
      <c r="B662" s="3" t="s">
        <v>2047</v>
      </c>
      <c r="C662" s="3" t="s">
        <v>2048</v>
      </c>
      <c r="D662" s="3" t="s">
        <v>2049</v>
      </c>
      <c r="E662" s="3" t="s">
        <v>2050</v>
      </c>
      <c r="F662" s="3" t="s">
        <v>143</v>
      </c>
      <c r="G662" s="3" t="s">
        <v>143</v>
      </c>
      <c r="H662" s="4">
        <v>2.0</v>
      </c>
      <c r="I662" s="4">
        <v>2.0</v>
      </c>
      <c r="J662" s="3"/>
      <c r="K662" s="3" t="s">
        <v>2053</v>
      </c>
      <c r="L662" s="3" t="s">
        <v>2054</v>
      </c>
      <c r="M662" s="3" t="s">
        <v>22</v>
      </c>
      <c r="N662" s="5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5" t="s">
        <v>14</v>
      </c>
      <c r="B663" s="15" t="s">
        <v>2055</v>
      </c>
      <c r="C663" s="15" t="s">
        <v>2056</v>
      </c>
      <c r="D663" s="15" t="s">
        <v>2057</v>
      </c>
      <c r="E663" s="15" t="s">
        <v>2058</v>
      </c>
      <c r="F663" s="15" t="s">
        <v>30</v>
      </c>
      <c r="G663" s="15" t="s">
        <v>49</v>
      </c>
      <c r="H663" s="18">
        <v>1.0</v>
      </c>
      <c r="I663" s="18">
        <v>1.0</v>
      </c>
      <c r="J663" s="15" t="s">
        <v>80</v>
      </c>
      <c r="K663" s="15" t="s">
        <v>2059</v>
      </c>
      <c r="L663" s="15" t="s">
        <v>2060</v>
      </c>
      <c r="M663" s="15" t="s">
        <v>22</v>
      </c>
      <c r="N663" s="20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5" t="s">
        <v>14</v>
      </c>
      <c r="B664" s="15" t="s">
        <v>2055</v>
      </c>
      <c r="C664" s="15" t="s">
        <v>2056</v>
      </c>
      <c r="D664" s="15" t="s">
        <v>2057</v>
      </c>
      <c r="E664" s="15" t="s">
        <v>2058</v>
      </c>
      <c r="F664" s="15" t="s">
        <v>481</v>
      </c>
      <c r="G664" s="15" t="s">
        <v>2061</v>
      </c>
      <c r="H664" s="18">
        <v>2.0</v>
      </c>
      <c r="I664" s="18">
        <v>2.0</v>
      </c>
      <c r="J664" s="15"/>
      <c r="K664" s="15" t="s">
        <v>2059</v>
      </c>
      <c r="L664" s="15" t="s">
        <v>2060</v>
      </c>
      <c r="M664" s="15" t="s">
        <v>22</v>
      </c>
      <c r="N664" s="20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5" t="s">
        <v>14</v>
      </c>
      <c r="B665" s="15" t="s">
        <v>2055</v>
      </c>
      <c r="C665" s="15" t="s">
        <v>2056</v>
      </c>
      <c r="D665" s="15" t="s">
        <v>2057</v>
      </c>
      <c r="E665" s="15" t="s">
        <v>2058</v>
      </c>
      <c r="F665" s="15" t="s">
        <v>36</v>
      </c>
      <c r="G665" s="15" t="s">
        <v>49</v>
      </c>
      <c r="H665" s="18" t="s">
        <v>36</v>
      </c>
      <c r="I665" s="18">
        <v>3.0</v>
      </c>
      <c r="J665" s="15"/>
      <c r="K665" s="15" t="s">
        <v>2059</v>
      </c>
      <c r="L665" s="15" t="s">
        <v>2060</v>
      </c>
      <c r="M665" s="15" t="s">
        <v>22</v>
      </c>
      <c r="N665" s="20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3" t="s">
        <v>14</v>
      </c>
      <c r="B666" s="3" t="s">
        <v>2062</v>
      </c>
      <c r="C666" s="6" t="s">
        <v>2063</v>
      </c>
      <c r="D666" s="3" t="s">
        <v>2064</v>
      </c>
      <c r="E666" s="3" t="s">
        <v>2065</v>
      </c>
      <c r="F666" s="3" t="s">
        <v>19</v>
      </c>
      <c r="G666" s="3" t="s">
        <v>996</v>
      </c>
      <c r="H666" s="4">
        <v>1.0</v>
      </c>
      <c r="I666" s="4">
        <v>1.0</v>
      </c>
      <c r="J666" s="3"/>
      <c r="K666" s="3" t="s">
        <v>2066</v>
      </c>
      <c r="L666" s="3" t="s">
        <v>2067</v>
      </c>
      <c r="M666" s="3" t="s">
        <v>22</v>
      </c>
      <c r="N666" s="5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14</v>
      </c>
      <c r="B667" s="3" t="s">
        <v>2062</v>
      </c>
      <c r="C667" s="6" t="s">
        <v>2063</v>
      </c>
      <c r="D667" s="3" t="s">
        <v>2064</v>
      </c>
      <c r="E667" s="3" t="s">
        <v>2065</v>
      </c>
      <c r="F667" s="3" t="s">
        <v>1647</v>
      </c>
      <c r="G667" s="3" t="s">
        <v>425</v>
      </c>
      <c r="H667" s="4">
        <v>2.0</v>
      </c>
      <c r="I667" s="4">
        <v>2.0</v>
      </c>
      <c r="J667" s="3"/>
      <c r="K667" s="3" t="s">
        <v>2066</v>
      </c>
      <c r="L667" s="3" t="s">
        <v>2067</v>
      </c>
      <c r="M667" s="3" t="s">
        <v>22</v>
      </c>
      <c r="N667" s="5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14</v>
      </c>
      <c r="B668" s="3" t="s">
        <v>2062</v>
      </c>
      <c r="C668" s="6" t="s">
        <v>2063</v>
      </c>
      <c r="D668" s="3" t="s">
        <v>2064</v>
      </c>
      <c r="E668" s="3" t="s">
        <v>2065</v>
      </c>
      <c r="F668" s="3" t="s">
        <v>425</v>
      </c>
      <c r="G668" s="3" t="s">
        <v>36</v>
      </c>
      <c r="H668" s="4">
        <v>3.0</v>
      </c>
      <c r="I668" s="4" t="s">
        <v>36</v>
      </c>
      <c r="J668" s="3"/>
      <c r="K668" s="3" t="s">
        <v>2066</v>
      </c>
      <c r="L668" s="3" t="s">
        <v>2067</v>
      </c>
      <c r="M668" s="3" t="s">
        <v>22</v>
      </c>
      <c r="N668" s="5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14</v>
      </c>
      <c r="B669" s="3" t="s">
        <v>2068</v>
      </c>
      <c r="C669" s="3" t="s">
        <v>2069</v>
      </c>
      <c r="D669" s="3" t="s">
        <v>2070</v>
      </c>
      <c r="E669" s="3" t="s">
        <v>2071</v>
      </c>
      <c r="F669" s="3" t="s">
        <v>128</v>
      </c>
      <c r="G669" s="17" t="s">
        <v>36</v>
      </c>
      <c r="H669" s="4">
        <v>1.0</v>
      </c>
      <c r="I669" s="4" t="s">
        <v>36</v>
      </c>
      <c r="J669" s="3"/>
      <c r="K669" s="3" t="s">
        <v>2072</v>
      </c>
      <c r="L669" s="3" t="s">
        <v>2073</v>
      </c>
      <c r="M669" s="3" t="s">
        <v>22</v>
      </c>
      <c r="N669" s="5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14</v>
      </c>
      <c r="B670" s="3" t="s">
        <v>2068</v>
      </c>
      <c r="C670" s="3" t="s">
        <v>2069</v>
      </c>
      <c r="D670" s="3" t="s">
        <v>2070</v>
      </c>
      <c r="E670" s="3" t="s">
        <v>2071</v>
      </c>
      <c r="F670" s="3" t="s">
        <v>2074</v>
      </c>
      <c r="G670" s="3" t="s">
        <v>1248</v>
      </c>
      <c r="H670" s="4">
        <v>2.0</v>
      </c>
      <c r="I670" s="4">
        <v>1.0</v>
      </c>
      <c r="J670" s="3"/>
      <c r="K670" s="3"/>
      <c r="L670" s="3"/>
      <c r="M670" s="3"/>
      <c r="N670" s="5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14</v>
      </c>
      <c r="B671" s="3" t="s">
        <v>2068</v>
      </c>
      <c r="C671" s="3" t="s">
        <v>2069</v>
      </c>
      <c r="D671" s="3" t="s">
        <v>2070</v>
      </c>
      <c r="E671" s="3" t="s">
        <v>2071</v>
      </c>
      <c r="F671" s="17" t="s">
        <v>36</v>
      </c>
      <c r="G671" s="3" t="s">
        <v>591</v>
      </c>
      <c r="H671" s="4" t="s">
        <v>36</v>
      </c>
      <c r="I671" s="4">
        <v>2.0</v>
      </c>
      <c r="J671" s="3"/>
      <c r="K671" s="3" t="s">
        <v>2072</v>
      </c>
      <c r="L671" s="3" t="s">
        <v>2073</v>
      </c>
      <c r="M671" s="3" t="s">
        <v>22</v>
      </c>
      <c r="N671" s="5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5" t="s">
        <v>14</v>
      </c>
      <c r="B672" s="15" t="s">
        <v>2075</v>
      </c>
      <c r="C672" s="15" t="s">
        <v>2076</v>
      </c>
      <c r="D672" s="15" t="s">
        <v>2077</v>
      </c>
      <c r="E672" s="15" t="s">
        <v>2078</v>
      </c>
      <c r="F672" s="15"/>
      <c r="G672" s="15"/>
      <c r="H672" s="18"/>
      <c r="I672" s="18"/>
      <c r="J672" s="15"/>
      <c r="K672" s="15" t="s">
        <v>2079</v>
      </c>
      <c r="L672" s="15" t="s">
        <v>2080</v>
      </c>
      <c r="M672" s="15" t="s">
        <v>22</v>
      </c>
      <c r="N672" s="15" t="s">
        <v>560</v>
      </c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3" t="s">
        <v>14</v>
      </c>
      <c r="B673" s="3" t="s">
        <v>2081</v>
      </c>
      <c r="C673" s="3" t="s">
        <v>2082</v>
      </c>
      <c r="D673" s="3" t="s">
        <v>2081</v>
      </c>
      <c r="E673" s="3" t="s">
        <v>2083</v>
      </c>
      <c r="F673" s="3" t="s">
        <v>2081</v>
      </c>
      <c r="G673" s="3" t="s">
        <v>2084</v>
      </c>
      <c r="H673" s="4">
        <v>1.0</v>
      </c>
      <c r="I673" s="4">
        <v>1.0</v>
      </c>
      <c r="J673" s="3" t="s">
        <v>80</v>
      </c>
      <c r="K673" s="3" t="s">
        <v>2085</v>
      </c>
      <c r="L673" s="3" t="s">
        <v>2086</v>
      </c>
      <c r="M673" s="3" t="s">
        <v>22</v>
      </c>
      <c r="N673" s="5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14</v>
      </c>
      <c r="B674" s="3" t="s">
        <v>2081</v>
      </c>
      <c r="C674" s="3" t="s">
        <v>2082</v>
      </c>
      <c r="D674" s="3" t="s">
        <v>2081</v>
      </c>
      <c r="E674" s="3" t="s">
        <v>2083</v>
      </c>
      <c r="F674" s="3" t="s">
        <v>36</v>
      </c>
      <c r="G674" s="3" t="s">
        <v>128</v>
      </c>
      <c r="H674" s="4" t="s">
        <v>36</v>
      </c>
      <c r="I674" s="4">
        <v>2.0</v>
      </c>
      <c r="J674" s="3"/>
      <c r="K674" s="3" t="s">
        <v>2085</v>
      </c>
      <c r="L674" s="3" t="s">
        <v>2086</v>
      </c>
      <c r="M674" s="3" t="s">
        <v>22</v>
      </c>
      <c r="N674" s="5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5" t="s">
        <v>14</v>
      </c>
      <c r="B675" s="15" t="s">
        <v>2087</v>
      </c>
      <c r="C675" s="15" t="s">
        <v>2088</v>
      </c>
      <c r="D675" s="15" t="s">
        <v>2089</v>
      </c>
      <c r="E675" s="15" t="s">
        <v>2090</v>
      </c>
      <c r="F675" s="15"/>
      <c r="G675" s="15"/>
      <c r="H675" s="18"/>
      <c r="I675" s="18"/>
      <c r="J675" s="15"/>
      <c r="K675" s="15" t="s">
        <v>2091</v>
      </c>
      <c r="L675" s="15" t="s">
        <v>1209</v>
      </c>
      <c r="M675" s="15" t="s">
        <v>22</v>
      </c>
      <c r="N675" s="15" t="s">
        <v>560</v>
      </c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5" t="s">
        <v>14</v>
      </c>
      <c r="B676" s="15" t="s">
        <v>2092</v>
      </c>
      <c r="C676" s="15" t="s">
        <v>2093</v>
      </c>
      <c r="D676" s="15" t="s">
        <v>2094</v>
      </c>
      <c r="E676" s="15" t="s">
        <v>2095</v>
      </c>
      <c r="F676" s="15" t="s">
        <v>845</v>
      </c>
      <c r="G676" s="15" t="s">
        <v>845</v>
      </c>
      <c r="H676" s="18">
        <v>1.0</v>
      </c>
      <c r="I676" s="18">
        <v>1.0</v>
      </c>
      <c r="J676" s="15" t="s">
        <v>80</v>
      </c>
      <c r="K676" s="15" t="s">
        <v>2096</v>
      </c>
      <c r="L676" s="15" t="s">
        <v>2097</v>
      </c>
      <c r="M676" s="15" t="s">
        <v>22</v>
      </c>
      <c r="N676" s="20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5" t="s">
        <v>14</v>
      </c>
      <c r="B677" s="15" t="s">
        <v>2092</v>
      </c>
      <c r="C677" s="15" t="s">
        <v>2093</v>
      </c>
      <c r="D677" s="15" t="s">
        <v>2092</v>
      </c>
      <c r="E677" s="15" t="s">
        <v>2095</v>
      </c>
      <c r="F677" s="15" t="s">
        <v>2098</v>
      </c>
      <c r="G677" s="15" t="s">
        <v>482</v>
      </c>
      <c r="H677" s="18">
        <v>2.0</v>
      </c>
      <c r="I677" s="18">
        <v>2.0</v>
      </c>
      <c r="J677" s="15"/>
      <c r="K677" s="15" t="s">
        <v>2096</v>
      </c>
      <c r="L677" s="15" t="s">
        <v>2097</v>
      </c>
      <c r="M677" s="15" t="s">
        <v>22</v>
      </c>
      <c r="N677" s="20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3" t="s">
        <v>14</v>
      </c>
      <c r="B678" s="3" t="s">
        <v>2099</v>
      </c>
      <c r="C678" s="3" t="s">
        <v>2100</v>
      </c>
      <c r="D678" s="3" t="s">
        <v>2101</v>
      </c>
      <c r="E678" s="3" t="s">
        <v>2102</v>
      </c>
      <c r="F678" s="3" t="s">
        <v>108</v>
      </c>
      <c r="G678" s="3" t="s">
        <v>175</v>
      </c>
      <c r="H678" s="4">
        <v>1.0</v>
      </c>
      <c r="I678" s="4">
        <v>1.0</v>
      </c>
      <c r="J678" s="3"/>
      <c r="K678" s="3" t="s">
        <v>2103</v>
      </c>
      <c r="L678" s="3" t="s">
        <v>2104</v>
      </c>
      <c r="M678" s="3" t="s">
        <v>22</v>
      </c>
      <c r="N678" s="5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14</v>
      </c>
      <c r="B679" s="3" t="s">
        <v>2099</v>
      </c>
      <c r="C679" s="3" t="s">
        <v>2100</v>
      </c>
      <c r="D679" s="3" t="s">
        <v>2101</v>
      </c>
      <c r="E679" s="3" t="s">
        <v>2102</v>
      </c>
      <c r="F679" s="3" t="s">
        <v>2105</v>
      </c>
      <c r="G679" s="3" t="s">
        <v>2106</v>
      </c>
      <c r="H679" s="4">
        <v>2.0</v>
      </c>
      <c r="I679" s="4">
        <v>2.0</v>
      </c>
      <c r="J679" s="3"/>
      <c r="K679" s="3" t="s">
        <v>2103</v>
      </c>
      <c r="L679" s="3" t="s">
        <v>2104</v>
      </c>
      <c r="M679" s="3" t="s">
        <v>22</v>
      </c>
      <c r="N679" s="5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5" t="s">
        <v>14</v>
      </c>
      <c r="B680" s="15" t="s">
        <v>2107</v>
      </c>
      <c r="C680" s="15" t="s">
        <v>2108</v>
      </c>
      <c r="D680" s="15" t="s">
        <v>2109</v>
      </c>
      <c r="E680" s="15" t="s">
        <v>2110</v>
      </c>
      <c r="F680" s="15"/>
      <c r="G680" s="15"/>
      <c r="H680" s="18"/>
      <c r="I680" s="18"/>
      <c r="J680" s="15"/>
      <c r="K680" s="15" t="s">
        <v>2111</v>
      </c>
      <c r="L680" s="15" t="s">
        <v>2112</v>
      </c>
      <c r="M680" s="15" t="s">
        <v>22</v>
      </c>
      <c r="N680" s="15" t="s">
        <v>560</v>
      </c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5" t="s">
        <v>14</v>
      </c>
      <c r="B681" s="15" t="s">
        <v>2113</v>
      </c>
      <c r="C681" s="15" t="s">
        <v>2114</v>
      </c>
      <c r="D681" s="15" t="s">
        <v>2115</v>
      </c>
      <c r="E681" s="15" t="s">
        <v>2116</v>
      </c>
      <c r="F681" s="15"/>
      <c r="G681" s="15"/>
      <c r="H681" s="18"/>
      <c r="I681" s="18"/>
      <c r="J681" s="15"/>
      <c r="K681" s="15" t="s">
        <v>2117</v>
      </c>
      <c r="L681" s="15" t="s">
        <v>2118</v>
      </c>
      <c r="M681" s="15" t="s">
        <v>22</v>
      </c>
      <c r="N681" s="15" t="s">
        <v>560</v>
      </c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3" t="s">
        <v>14</v>
      </c>
      <c r="B682" s="3" t="s">
        <v>2119</v>
      </c>
      <c r="C682" s="3" t="s">
        <v>2120</v>
      </c>
      <c r="D682" s="3" t="s">
        <v>2121</v>
      </c>
      <c r="E682" s="3" t="s">
        <v>2122</v>
      </c>
      <c r="F682" s="3" t="s">
        <v>2123</v>
      </c>
      <c r="G682" s="3" t="s">
        <v>2124</v>
      </c>
      <c r="H682" s="4">
        <v>1.0</v>
      </c>
      <c r="I682" s="4">
        <v>1.0</v>
      </c>
      <c r="J682" s="3" t="s">
        <v>72</v>
      </c>
      <c r="K682" s="3" t="s">
        <v>2125</v>
      </c>
      <c r="L682" s="3" t="s">
        <v>2126</v>
      </c>
      <c r="M682" s="3" t="s">
        <v>22</v>
      </c>
      <c r="N682" s="5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14</v>
      </c>
      <c r="B683" s="3" t="s">
        <v>2119</v>
      </c>
      <c r="C683" s="3" t="s">
        <v>2120</v>
      </c>
      <c r="D683" s="3" t="s">
        <v>2121</v>
      </c>
      <c r="E683" s="3" t="s">
        <v>2122</v>
      </c>
      <c r="F683" s="3" t="s">
        <v>276</v>
      </c>
      <c r="G683" s="3" t="s">
        <v>2127</v>
      </c>
      <c r="H683" s="4">
        <v>2.0</v>
      </c>
      <c r="I683" s="4">
        <v>2.0</v>
      </c>
      <c r="J683" s="3"/>
      <c r="K683" s="3" t="s">
        <v>2125</v>
      </c>
      <c r="L683" s="3" t="s">
        <v>2126</v>
      </c>
      <c r="M683" s="3" t="s">
        <v>22</v>
      </c>
      <c r="N683" s="5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14</v>
      </c>
      <c r="B684" s="3" t="s">
        <v>2128</v>
      </c>
      <c r="C684" s="3" t="s">
        <v>2129</v>
      </c>
      <c r="D684" s="3" t="s">
        <v>2130</v>
      </c>
      <c r="E684" s="3" t="s">
        <v>2131</v>
      </c>
      <c r="F684" s="3" t="s">
        <v>128</v>
      </c>
      <c r="G684" s="3" t="s">
        <v>2132</v>
      </c>
      <c r="H684" s="4">
        <v>1.0</v>
      </c>
      <c r="I684" s="4">
        <v>1.0</v>
      </c>
      <c r="J684" s="3" t="s">
        <v>2133</v>
      </c>
      <c r="K684" s="3" t="s">
        <v>2134</v>
      </c>
      <c r="L684" s="3" t="s">
        <v>2135</v>
      </c>
      <c r="M684" s="3" t="s">
        <v>22</v>
      </c>
      <c r="N684" s="5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14</v>
      </c>
      <c r="B685" s="3" t="s">
        <v>2128</v>
      </c>
      <c r="C685" s="3" t="s">
        <v>2129</v>
      </c>
      <c r="D685" s="3" t="s">
        <v>2130</v>
      </c>
      <c r="E685" s="3" t="s">
        <v>2131</v>
      </c>
      <c r="F685" s="3" t="s">
        <v>2136</v>
      </c>
      <c r="G685" s="3" t="s">
        <v>49</v>
      </c>
      <c r="H685" s="4">
        <v>2.0</v>
      </c>
      <c r="I685" s="4">
        <v>2.0</v>
      </c>
      <c r="J685" s="3"/>
      <c r="K685" s="3" t="s">
        <v>2134</v>
      </c>
      <c r="L685" s="3" t="s">
        <v>2135</v>
      </c>
      <c r="M685" s="3" t="s">
        <v>22</v>
      </c>
      <c r="N685" s="5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14</v>
      </c>
      <c r="B686" s="3" t="s">
        <v>2137</v>
      </c>
      <c r="C686" s="3" t="s">
        <v>2138</v>
      </c>
      <c r="D686" s="3" t="s">
        <v>2139</v>
      </c>
      <c r="E686" s="3" t="s">
        <v>2140</v>
      </c>
      <c r="F686" s="3" t="s">
        <v>287</v>
      </c>
      <c r="G686" s="3" t="s">
        <v>2141</v>
      </c>
      <c r="H686" s="4">
        <v>1.0</v>
      </c>
      <c r="I686" s="4">
        <v>1.0</v>
      </c>
      <c r="J686" s="3"/>
      <c r="K686" s="3" t="s">
        <v>2142</v>
      </c>
      <c r="L686" s="3" t="s">
        <v>2143</v>
      </c>
      <c r="M686" s="3" t="s">
        <v>22</v>
      </c>
      <c r="N686" s="5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14</v>
      </c>
      <c r="B687" s="3" t="s">
        <v>2137</v>
      </c>
      <c r="C687" s="3" t="s">
        <v>2138</v>
      </c>
      <c r="D687" s="3" t="s">
        <v>2139</v>
      </c>
      <c r="E687" s="3" t="s">
        <v>2140</v>
      </c>
      <c r="F687" s="3" t="s">
        <v>624</v>
      </c>
      <c r="G687" s="3" t="s">
        <v>75</v>
      </c>
      <c r="H687" s="4">
        <v>2.0</v>
      </c>
      <c r="I687" s="4">
        <v>2.0</v>
      </c>
      <c r="J687" s="3"/>
      <c r="K687" s="3" t="s">
        <v>2142</v>
      </c>
      <c r="L687" s="3" t="s">
        <v>2143</v>
      </c>
      <c r="M687" s="3" t="s">
        <v>22</v>
      </c>
      <c r="N687" s="5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14</v>
      </c>
      <c r="B688" s="3" t="s">
        <v>2144</v>
      </c>
      <c r="C688" s="3" t="s">
        <v>1211</v>
      </c>
      <c r="D688" s="3" t="s">
        <v>2145</v>
      </c>
      <c r="E688" s="3" t="s">
        <v>1211</v>
      </c>
      <c r="F688" s="3" t="s">
        <v>29</v>
      </c>
      <c r="G688" s="17" t="s">
        <v>36</v>
      </c>
      <c r="H688" s="4">
        <v>1.0</v>
      </c>
      <c r="I688" s="4">
        <v>1.0</v>
      </c>
      <c r="J688" s="3"/>
      <c r="K688" s="3" t="s">
        <v>2146</v>
      </c>
      <c r="L688" s="3" t="s">
        <v>2147</v>
      </c>
      <c r="M688" s="3" t="s">
        <v>22</v>
      </c>
      <c r="N688" s="5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 t="s">
        <v>14</v>
      </c>
      <c r="B689" s="3" t="s">
        <v>2144</v>
      </c>
      <c r="C689" s="3" t="s">
        <v>1211</v>
      </c>
      <c r="D689" s="3" t="s">
        <v>2145</v>
      </c>
      <c r="E689" s="3" t="s">
        <v>1211</v>
      </c>
      <c r="F689" s="3" t="s">
        <v>661</v>
      </c>
      <c r="G689" s="3" t="s">
        <v>1211</v>
      </c>
      <c r="H689" s="4">
        <v>2.0</v>
      </c>
      <c r="I689" s="4" t="s">
        <v>36</v>
      </c>
      <c r="J689" s="3"/>
      <c r="K689" s="3" t="s">
        <v>2146</v>
      </c>
      <c r="L689" s="3" t="s">
        <v>2147</v>
      </c>
      <c r="M689" s="3" t="s">
        <v>22</v>
      </c>
      <c r="N689" s="5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5" t="s">
        <v>14</v>
      </c>
      <c r="B690" s="15" t="s">
        <v>2148</v>
      </c>
      <c r="C690" s="15" t="s">
        <v>2149</v>
      </c>
      <c r="D690" s="15" t="s">
        <v>2150</v>
      </c>
      <c r="E690" s="15" t="s">
        <v>2149</v>
      </c>
      <c r="F690" s="15" t="s">
        <v>471</v>
      </c>
      <c r="G690" s="15" t="s">
        <v>36</v>
      </c>
      <c r="H690" s="18">
        <v>1.0</v>
      </c>
      <c r="I690" s="18" t="s">
        <v>36</v>
      </c>
      <c r="J690" s="15"/>
      <c r="K690" s="15" t="s">
        <v>2151</v>
      </c>
      <c r="L690" s="15" t="s">
        <v>2152</v>
      </c>
      <c r="M690" s="15" t="s">
        <v>22</v>
      </c>
      <c r="N690" s="20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5" t="s">
        <v>14</v>
      </c>
      <c r="B691" s="15" t="s">
        <v>2148</v>
      </c>
      <c r="C691" s="15" t="s">
        <v>2149</v>
      </c>
      <c r="D691" s="15" t="s">
        <v>2150</v>
      </c>
      <c r="E691" s="15" t="s">
        <v>2149</v>
      </c>
      <c r="F691" s="15" t="s">
        <v>2149</v>
      </c>
      <c r="G691" s="15" t="s">
        <v>2149</v>
      </c>
      <c r="H691" s="18">
        <v>2.0</v>
      </c>
      <c r="I691" s="18">
        <v>1.0</v>
      </c>
      <c r="J691" s="15"/>
      <c r="K691" s="15" t="s">
        <v>2151</v>
      </c>
      <c r="L691" s="15" t="s">
        <v>2152</v>
      </c>
      <c r="M691" s="15" t="s">
        <v>22</v>
      </c>
      <c r="N691" s="20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3" t="s">
        <v>14</v>
      </c>
      <c r="B692" s="3" t="s">
        <v>2153</v>
      </c>
      <c r="C692" s="3" t="s">
        <v>2154</v>
      </c>
      <c r="D692" s="3" t="s">
        <v>2155</v>
      </c>
      <c r="E692" s="3" t="s">
        <v>2156</v>
      </c>
      <c r="F692" s="3" t="s">
        <v>29</v>
      </c>
      <c r="G692" s="3" t="s">
        <v>36</v>
      </c>
      <c r="H692" s="4">
        <v>1.0</v>
      </c>
      <c r="I692" s="25" t="s">
        <v>36</v>
      </c>
      <c r="J692" s="3"/>
      <c r="K692" s="3" t="s">
        <v>2157</v>
      </c>
      <c r="L692" s="3" t="s">
        <v>2158</v>
      </c>
      <c r="M692" s="3" t="s">
        <v>22</v>
      </c>
      <c r="N692" s="5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14</v>
      </c>
      <c r="B693" s="3" t="s">
        <v>2153</v>
      </c>
      <c r="C693" s="3" t="s">
        <v>2154</v>
      </c>
      <c r="D693" s="3" t="s">
        <v>2155</v>
      </c>
      <c r="E693" s="3" t="s">
        <v>2156</v>
      </c>
      <c r="F693" s="3" t="s">
        <v>2159</v>
      </c>
      <c r="G693" s="3" t="s">
        <v>344</v>
      </c>
      <c r="H693" s="4">
        <v>2.0</v>
      </c>
      <c r="I693" s="4">
        <v>1.0</v>
      </c>
      <c r="J693" s="3"/>
      <c r="K693" s="3" t="s">
        <v>2157</v>
      </c>
      <c r="L693" s="3" t="s">
        <v>2158</v>
      </c>
      <c r="M693" s="3" t="s">
        <v>22</v>
      </c>
      <c r="N693" s="5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14</v>
      </c>
      <c r="B694" s="3" t="s">
        <v>2153</v>
      </c>
      <c r="C694" s="3" t="s">
        <v>2154</v>
      </c>
      <c r="D694" s="3" t="s">
        <v>2155</v>
      </c>
      <c r="E694" s="3" t="s">
        <v>2156</v>
      </c>
      <c r="F694" s="3" t="s">
        <v>36</v>
      </c>
      <c r="G694" s="3" t="s">
        <v>128</v>
      </c>
      <c r="H694" s="4" t="s">
        <v>36</v>
      </c>
      <c r="I694" s="4">
        <v>2.0</v>
      </c>
      <c r="J694" s="3"/>
      <c r="K694" s="3" t="s">
        <v>2157</v>
      </c>
      <c r="L694" s="3" t="s">
        <v>2158</v>
      </c>
      <c r="M694" s="3" t="s">
        <v>22</v>
      </c>
      <c r="N694" s="5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14</v>
      </c>
      <c r="B695" s="3" t="s">
        <v>2160</v>
      </c>
      <c r="C695" s="3" t="s">
        <v>2161</v>
      </c>
      <c r="D695" s="3" t="s">
        <v>2162</v>
      </c>
      <c r="E695" s="3" t="s">
        <v>2161</v>
      </c>
      <c r="F695" s="3" t="s">
        <v>471</v>
      </c>
      <c r="G695" s="17" t="s">
        <v>36</v>
      </c>
      <c r="H695" s="4">
        <v>1.0</v>
      </c>
      <c r="I695" s="4" t="s">
        <v>36</v>
      </c>
      <c r="J695" s="3"/>
      <c r="K695" s="3" t="s">
        <v>2163</v>
      </c>
      <c r="L695" s="3" t="s">
        <v>2164</v>
      </c>
      <c r="M695" s="3" t="s">
        <v>22</v>
      </c>
      <c r="N695" s="5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14</v>
      </c>
      <c r="B696" s="3" t="s">
        <v>2160</v>
      </c>
      <c r="C696" s="3" t="s">
        <v>2161</v>
      </c>
      <c r="D696" s="3" t="s">
        <v>2162</v>
      </c>
      <c r="E696" s="3" t="s">
        <v>2161</v>
      </c>
      <c r="F696" s="3" t="s">
        <v>614</v>
      </c>
      <c r="G696" s="3" t="s">
        <v>2161</v>
      </c>
      <c r="H696" s="4">
        <v>2.0</v>
      </c>
      <c r="I696" s="4">
        <v>1.0</v>
      </c>
      <c r="J696" s="3"/>
      <c r="K696" s="3" t="s">
        <v>2163</v>
      </c>
      <c r="L696" s="3" t="s">
        <v>2164</v>
      </c>
      <c r="M696" s="3" t="s">
        <v>22</v>
      </c>
      <c r="N696" s="5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5" t="s">
        <v>14</v>
      </c>
      <c r="B697" s="15" t="s">
        <v>2165</v>
      </c>
      <c r="C697" s="15" t="s">
        <v>2166</v>
      </c>
      <c r="D697" s="15" t="s">
        <v>2167</v>
      </c>
      <c r="E697" s="15" t="s">
        <v>2168</v>
      </c>
      <c r="F697" s="15" t="s">
        <v>128</v>
      </c>
      <c r="G697" s="15" t="s">
        <v>36</v>
      </c>
      <c r="H697" s="18">
        <v>1.0</v>
      </c>
      <c r="I697" s="18" t="s">
        <v>36</v>
      </c>
      <c r="J697" s="15"/>
      <c r="K697" s="15" t="s">
        <v>2169</v>
      </c>
      <c r="L697" s="15" t="s">
        <v>2170</v>
      </c>
      <c r="M697" s="15" t="s">
        <v>22</v>
      </c>
      <c r="N697" s="20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5" t="s">
        <v>14</v>
      </c>
      <c r="B698" s="15" t="s">
        <v>2165</v>
      </c>
      <c r="C698" s="15" t="s">
        <v>2166</v>
      </c>
      <c r="D698" s="15" t="s">
        <v>2167</v>
      </c>
      <c r="E698" s="15" t="s">
        <v>2168</v>
      </c>
      <c r="F698" s="15" t="s">
        <v>436</v>
      </c>
      <c r="G698" s="15" t="s">
        <v>436</v>
      </c>
      <c r="H698" s="18">
        <v>2.0</v>
      </c>
      <c r="I698" s="18">
        <v>1.0</v>
      </c>
      <c r="J698" s="15"/>
      <c r="K698" s="15" t="s">
        <v>2169</v>
      </c>
      <c r="L698" s="15" t="s">
        <v>2170</v>
      </c>
      <c r="M698" s="15" t="s">
        <v>22</v>
      </c>
      <c r="N698" s="20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5" t="s">
        <v>14</v>
      </c>
      <c r="B699" s="15" t="s">
        <v>2165</v>
      </c>
      <c r="C699" s="15" t="s">
        <v>2166</v>
      </c>
      <c r="D699" s="15" t="s">
        <v>2167</v>
      </c>
      <c r="E699" s="15" t="s">
        <v>2168</v>
      </c>
      <c r="F699" s="15" t="s">
        <v>425</v>
      </c>
      <c r="G699" s="15" t="s">
        <v>425</v>
      </c>
      <c r="H699" s="18">
        <v>3.0</v>
      </c>
      <c r="I699" s="18">
        <v>2.0</v>
      </c>
      <c r="J699" s="15"/>
      <c r="K699" s="15" t="s">
        <v>2169</v>
      </c>
      <c r="L699" s="15" t="s">
        <v>2170</v>
      </c>
      <c r="M699" s="15" t="s">
        <v>22</v>
      </c>
      <c r="N699" s="20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3" t="s">
        <v>14</v>
      </c>
      <c r="B700" s="3" t="s">
        <v>2171</v>
      </c>
      <c r="C700" s="3" t="s">
        <v>2172</v>
      </c>
      <c r="D700" s="3" t="s">
        <v>2173</v>
      </c>
      <c r="E700" s="3" t="s">
        <v>2174</v>
      </c>
      <c r="F700" s="3" t="s">
        <v>2175</v>
      </c>
      <c r="G700" s="3" t="s">
        <v>2176</v>
      </c>
      <c r="H700" s="4">
        <v>1.0</v>
      </c>
      <c r="I700" s="4">
        <v>1.0</v>
      </c>
      <c r="J700" s="3" t="s">
        <v>80</v>
      </c>
      <c r="K700" s="3" t="s">
        <v>2177</v>
      </c>
      <c r="L700" s="3" t="s">
        <v>2178</v>
      </c>
      <c r="M700" s="3" t="s">
        <v>22</v>
      </c>
      <c r="N700" s="5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14</v>
      </c>
      <c r="B701" s="3" t="s">
        <v>2171</v>
      </c>
      <c r="C701" s="3" t="s">
        <v>2172</v>
      </c>
      <c r="D701" s="3" t="s">
        <v>2173</v>
      </c>
      <c r="E701" s="3" t="s">
        <v>2174</v>
      </c>
      <c r="F701" s="3" t="s">
        <v>36</v>
      </c>
      <c r="G701" s="3" t="s">
        <v>1429</v>
      </c>
      <c r="H701" s="4" t="s">
        <v>36</v>
      </c>
      <c r="I701" s="4">
        <v>2.0</v>
      </c>
      <c r="J701" s="3"/>
      <c r="K701" s="3" t="s">
        <v>2177</v>
      </c>
      <c r="L701" s="3" t="s">
        <v>2178</v>
      </c>
      <c r="M701" s="3" t="s">
        <v>22</v>
      </c>
      <c r="N701" s="5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14</v>
      </c>
      <c r="B702" s="3" t="s">
        <v>2171</v>
      </c>
      <c r="C702" s="3" t="s">
        <v>2172</v>
      </c>
      <c r="D702" s="3" t="s">
        <v>2173</v>
      </c>
      <c r="E702" s="3" t="s">
        <v>2174</v>
      </c>
      <c r="F702" s="3" t="s">
        <v>997</v>
      </c>
      <c r="G702" s="3" t="s">
        <v>24</v>
      </c>
      <c r="H702" s="4">
        <v>2.0</v>
      </c>
      <c r="I702" s="4">
        <v>3.0</v>
      </c>
      <c r="J702" s="3"/>
      <c r="K702" s="3" t="s">
        <v>2177</v>
      </c>
      <c r="L702" s="3" t="s">
        <v>2178</v>
      </c>
      <c r="M702" s="3" t="s">
        <v>22</v>
      </c>
      <c r="N702" s="5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14</v>
      </c>
      <c r="B703" s="3" t="s">
        <v>2179</v>
      </c>
      <c r="C703" s="3" t="s">
        <v>2180</v>
      </c>
      <c r="D703" s="3" t="s">
        <v>2181</v>
      </c>
      <c r="E703" s="3" t="s">
        <v>2180</v>
      </c>
      <c r="F703" s="3" t="s">
        <v>128</v>
      </c>
      <c r="G703" s="17" t="s">
        <v>36</v>
      </c>
      <c r="H703" s="4">
        <v>1.0</v>
      </c>
      <c r="I703" s="4" t="s">
        <v>36</v>
      </c>
      <c r="J703" s="3"/>
      <c r="K703" s="3" t="s">
        <v>2182</v>
      </c>
      <c r="L703" s="3" t="s">
        <v>2183</v>
      </c>
      <c r="M703" s="3" t="s">
        <v>22</v>
      </c>
      <c r="N703" s="5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14</v>
      </c>
      <c r="B704" s="3" t="s">
        <v>2179</v>
      </c>
      <c r="C704" s="3" t="s">
        <v>2180</v>
      </c>
      <c r="D704" s="3" t="s">
        <v>2181</v>
      </c>
      <c r="E704" s="3" t="s">
        <v>2180</v>
      </c>
      <c r="F704" s="3" t="s">
        <v>250</v>
      </c>
      <c r="G704" s="3" t="s">
        <v>2180</v>
      </c>
      <c r="H704" s="4">
        <v>2.0</v>
      </c>
      <c r="I704" s="4">
        <v>1.0</v>
      </c>
      <c r="J704" s="3"/>
      <c r="K704" s="3" t="s">
        <v>2182</v>
      </c>
      <c r="L704" s="3" t="s">
        <v>2183</v>
      </c>
      <c r="M704" s="3" t="s">
        <v>22</v>
      </c>
      <c r="N704" s="5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14</v>
      </c>
      <c r="B705" s="3" t="s">
        <v>2179</v>
      </c>
      <c r="C705" s="3" t="s">
        <v>2180</v>
      </c>
      <c r="D705" s="3" t="s">
        <v>2181</v>
      </c>
      <c r="E705" s="3" t="s">
        <v>2180</v>
      </c>
      <c r="F705" s="3" t="s">
        <v>245</v>
      </c>
      <c r="G705" s="3" t="s">
        <v>36</v>
      </c>
      <c r="H705" s="4">
        <v>3.0</v>
      </c>
      <c r="I705" s="4" t="s">
        <v>36</v>
      </c>
      <c r="J705" s="3"/>
      <c r="K705" s="3" t="s">
        <v>2182</v>
      </c>
      <c r="L705" s="3" t="s">
        <v>2183</v>
      </c>
      <c r="M705" s="3" t="s">
        <v>22</v>
      </c>
      <c r="N705" s="5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14</v>
      </c>
      <c r="B706" s="3" t="s">
        <v>2184</v>
      </c>
      <c r="C706" s="3" t="s">
        <v>2185</v>
      </c>
      <c r="D706" s="3" t="s">
        <v>2186</v>
      </c>
      <c r="E706" s="3" t="s">
        <v>2187</v>
      </c>
      <c r="F706" s="3" t="s">
        <v>301</v>
      </c>
      <c r="G706" s="3" t="s">
        <v>301</v>
      </c>
      <c r="H706" s="4">
        <v>1.0</v>
      </c>
      <c r="I706" s="4">
        <v>1.0</v>
      </c>
      <c r="J706" s="3" t="s">
        <v>72</v>
      </c>
      <c r="K706" s="3" t="s">
        <v>2188</v>
      </c>
      <c r="L706" s="3" t="s">
        <v>2189</v>
      </c>
      <c r="M706" s="3" t="s">
        <v>22</v>
      </c>
      <c r="N706" s="5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14</v>
      </c>
      <c r="B707" s="3" t="s">
        <v>2184</v>
      </c>
      <c r="C707" s="3" t="s">
        <v>2185</v>
      </c>
      <c r="D707" s="3" t="s">
        <v>2186</v>
      </c>
      <c r="E707" s="3" t="s">
        <v>2187</v>
      </c>
      <c r="F707" s="3" t="s">
        <v>2023</v>
      </c>
      <c r="G707" s="3" t="s">
        <v>2190</v>
      </c>
      <c r="H707" s="4">
        <v>2.0</v>
      </c>
      <c r="I707" s="4">
        <v>2.0</v>
      </c>
      <c r="J707" s="3"/>
      <c r="K707" s="3" t="s">
        <v>2188</v>
      </c>
      <c r="L707" s="3" t="s">
        <v>2189</v>
      </c>
      <c r="M707" s="3" t="s">
        <v>22</v>
      </c>
      <c r="N707" s="5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14</v>
      </c>
      <c r="B708" s="3" t="s">
        <v>2184</v>
      </c>
      <c r="C708" s="3" t="s">
        <v>2185</v>
      </c>
      <c r="D708" s="3" t="s">
        <v>2186</v>
      </c>
      <c r="E708" s="3" t="s">
        <v>2187</v>
      </c>
      <c r="F708" s="3" t="s">
        <v>1426</v>
      </c>
      <c r="G708" s="3" t="s">
        <v>1426</v>
      </c>
      <c r="H708" s="4">
        <v>3.0</v>
      </c>
      <c r="I708" s="4">
        <v>3.0</v>
      </c>
      <c r="J708" s="3"/>
      <c r="K708" s="3" t="s">
        <v>2188</v>
      </c>
      <c r="L708" s="3" t="s">
        <v>2189</v>
      </c>
      <c r="M708" s="3" t="s">
        <v>22</v>
      </c>
      <c r="N708" s="5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 t="s">
        <v>14</v>
      </c>
      <c r="B709" s="3" t="s">
        <v>2191</v>
      </c>
      <c r="C709" s="3" t="s">
        <v>2192</v>
      </c>
      <c r="D709" s="3" t="s">
        <v>2193</v>
      </c>
      <c r="E709" s="3" t="s">
        <v>2194</v>
      </c>
      <c r="F709" s="3" t="s">
        <v>128</v>
      </c>
      <c r="G709" s="17" t="s">
        <v>36</v>
      </c>
      <c r="H709" s="4">
        <v>1.0</v>
      </c>
      <c r="I709" s="4" t="s">
        <v>36</v>
      </c>
      <c r="J709" s="3"/>
      <c r="K709" s="3" t="s">
        <v>2195</v>
      </c>
      <c r="L709" s="3" t="s">
        <v>2196</v>
      </c>
      <c r="M709" s="3" t="s">
        <v>22</v>
      </c>
      <c r="N709" s="5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14</v>
      </c>
      <c r="B710" s="3" t="s">
        <v>2191</v>
      </c>
      <c r="C710" s="3" t="s">
        <v>2192</v>
      </c>
      <c r="D710" s="3" t="s">
        <v>2193</v>
      </c>
      <c r="E710" s="3" t="s">
        <v>2194</v>
      </c>
      <c r="F710" s="3" t="s">
        <v>261</v>
      </c>
      <c r="G710" s="3" t="s">
        <v>2197</v>
      </c>
      <c r="H710" s="4">
        <v>2.0</v>
      </c>
      <c r="I710" s="4">
        <v>1.0</v>
      </c>
      <c r="J710" s="3"/>
      <c r="K710" s="3" t="s">
        <v>2195</v>
      </c>
      <c r="L710" s="3" t="s">
        <v>2196</v>
      </c>
      <c r="M710" s="3" t="s">
        <v>22</v>
      </c>
      <c r="N710" s="5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 t="s">
        <v>14</v>
      </c>
      <c r="B711" s="3" t="s">
        <v>2191</v>
      </c>
      <c r="C711" s="3" t="s">
        <v>2192</v>
      </c>
      <c r="D711" s="3" t="s">
        <v>2193</v>
      </c>
      <c r="E711" s="3" t="s">
        <v>2194</v>
      </c>
      <c r="F711" s="3" t="s">
        <v>724</v>
      </c>
      <c r="G711" s="3" t="s">
        <v>724</v>
      </c>
      <c r="H711" s="4">
        <v>3.0</v>
      </c>
      <c r="I711" s="4">
        <v>2.0</v>
      </c>
      <c r="J711" s="3"/>
      <c r="K711" s="3" t="s">
        <v>2195</v>
      </c>
      <c r="L711" s="3" t="s">
        <v>2196</v>
      </c>
      <c r="M711" s="3" t="s">
        <v>22</v>
      </c>
      <c r="N711" s="5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14</v>
      </c>
      <c r="B712" s="3" t="s">
        <v>2023</v>
      </c>
      <c r="C712" s="3" t="s">
        <v>2198</v>
      </c>
      <c r="D712" s="3" t="s">
        <v>2023</v>
      </c>
      <c r="E712" s="3" t="s">
        <v>2199</v>
      </c>
      <c r="F712" s="3" t="s">
        <v>2023</v>
      </c>
      <c r="G712" s="3" t="s">
        <v>1040</v>
      </c>
      <c r="H712" s="4">
        <v>1.0</v>
      </c>
      <c r="I712" s="4">
        <v>1.0</v>
      </c>
      <c r="J712" s="3" t="s">
        <v>80</v>
      </c>
      <c r="K712" s="3" t="s">
        <v>2200</v>
      </c>
      <c r="L712" s="3" t="s">
        <v>2201</v>
      </c>
      <c r="M712" s="3" t="s">
        <v>22</v>
      </c>
      <c r="N712" s="5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 t="s">
        <v>14</v>
      </c>
      <c r="B713" s="3" t="s">
        <v>2023</v>
      </c>
      <c r="C713" s="3" t="s">
        <v>2198</v>
      </c>
      <c r="D713" s="3" t="s">
        <v>2023</v>
      </c>
      <c r="E713" s="3" t="s">
        <v>2199</v>
      </c>
      <c r="F713" s="3" t="s">
        <v>36</v>
      </c>
      <c r="G713" s="3" t="s">
        <v>668</v>
      </c>
      <c r="H713" s="4" t="s">
        <v>36</v>
      </c>
      <c r="I713" s="4">
        <v>2.0</v>
      </c>
      <c r="J713" s="3"/>
      <c r="K713" s="3" t="s">
        <v>2200</v>
      </c>
      <c r="L713" s="3" t="s">
        <v>2201</v>
      </c>
      <c r="M713" s="3" t="s">
        <v>22</v>
      </c>
      <c r="N713" s="5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14</v>
      </c>
      <c r="B714" s="3" t="s">
        <v>2202</v>
      </c>
      <c r="C714" s="3" t="s">
        <v>2203</v>
      </c>
      <c r="D714" s="3" t="s">
        <v>2204</v>
      </c>
      <c r="E714" s="3" t="s">
        <v>2205</v>
      </c>
      <c r="F714" s="3" t="s">
        <v>2206</v>
      </c>
      <c r="G714" s="3" t="s">
        <v>2207</v>
      </c>
      <c r="H714" s="4">
        <v>1.0</v>
      </c>
      <c r="I714" s="4">
        <v>1.0</v>
      </c>
      <c r="J714" s="3"/>
      <c r="K714" s="3" t="s">
        <v>2208</v>
      </c>
      <c r="L714" s="3" t="s">
        <v>2209</v>
      </c>
      <c r="M714" s="3" t="s">
        <v>22</v>
      </c>
      <c r="N714" s="5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 t="s">
        <v>14</v>
      </c>
      <c r="B715" s="3" t="s">
        <v>2202</v>
      </c>
      <c r="C715" s="3" t="s">
        <v>2203</v>
      </c>
      <c r="D715" s="3" t="s">
        <v>2204</v>
      </c>
      <c r="E715" s="3" t="s">
        <v>2205</v>
      </c>
      <c r="F715" s="3" t="s">
        <v>1429</v>
      </c>
      <c r="G715" s="3" t="s">
        <v>222</v>
      </c>
      <c r="H715" s="4">
        <v>2.0</v>
      </c>
      <c r="I715" s="4">
        <v>2.0</v>
      </c>
      <c r="J715" s="3"/>
      <c r="K715" s="3" t="s">
        <v>2208</v>
      </c>
      <c r="L715" s="3" t="s">
        <v>2209</v>
      </c>
      <c r="M715" s="3" t="s">
        <v>22</v>
      </c>
      <c r="N715" s="5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14</v>
      </c>
      <c r="B716" s="3" t="s">
        <v>2202</v>
      </c>
      <c r="C716" s="3" t="s">
        <v>2203</v>
      </c>
      <c r="D716" s="3" t="s">
        <v>2204</v>
      </c>
      <c r="E716" s="3" t="s">
        <v>2205</v>
      </c>
      <c r="F716" s="3" t="s">
        <v>36</v>
      </c>
      <c r="G716" s="3" t="s">
        <v>19</v>
      </c>
      <c r="H716" s="4" t="s">
        <v>36</v>
      </c>
      <c r="I716" s="4">
        <v>3.0</v>
      </c>
      <c r="J716" s="3"/>
      <c r="K716" s="3" t="s">
        <v>2208</v>
      </c>
      <c r="L716" s="3" t="s">
        <v>2209</v>
      </c>
      <c r="M716" s="3" t="s">
        <v>22</v>
      </c>
      <c r="N716" s="5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 t="s">
        <v>14</v>
      </c>
      <c r="B717" s="3" t="s">
        <v>2202</v>
      </c>
      <c r="C717" s="3" t="s">
        <v>2203</v>
      </c>
      <c r="D717" s="3" t="s">
        <v>2204</v>
      </c>
      <c r="E717" s="3" t="s">
        <v>2205</v>
      </c>
      <c r="F717" s="3" t="s">
        <v>116</v>
      </c>
      <c r="G717" s="3" t="s">
        <v>116</v>
      </c>
      <c r="H717" s="4">
        <v>3.0</v>
      </c>
      <c r="I717" s="4">
        <v>4.0</v>
      </c>
      <c r="J717" s="3"/>
      <c r="K717" s="3" t="s">
        <v>2208</v>
      </c>
      <c r="L717" s="3" t="s">
        <v>2209</v>
      </c>
      <c r="M717" s="3" t="s">
        <v>22</v>
      </c>
      <c r="N717" s="5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14</v>
      </c>
      <c r="B718" s="3" t="s">
        <v>2210</v>
      </c>
      <c r="C718" s="3" t="s">
        <v>2211</v>
      </c>
      <c r="D718" s="3" t="s">
        <v>2212</v>
      </c>
      <c r="E718" s="3" t="s">
        <v>2213</v>
      </c>
      <c r="F718" s="3" t="s">
        <v>128</v>
      </c>
      <c r="G718" s="17" t="s">
        <v>36</v>
      </c>
      <c r="H718" s="4">
        <v>1.0</v>
      </c>
      <c r="I718" s="4" t="s">
        <v>36</v>
      </c>
      <c r="J718" s="3"/>
      <c r="K718" s="3" t="s">
        <v>2214</v>
      </c>
      <c r="L718" s="3" t="s">
        <v>2215</v>
      </c>
      <c r="M718" s="3" t="s">
        <v>22</v>
      </c>
      <c r="N718" s="5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14</v>
      </c>
      <c r="B719" s="3" t="s">
        <v>2210</v>
      </c>
      <c r="C719" s="3" t="s">
        <v>2211</v>
      </c>
      <c r="D719" s="3" t="s">
        <v>2212</v>
      </c>
      <c r="E719" s="3" t="s">
        <v>2213</v>
      </c>
      <c r="F719" s="3" t="s">
        <v>2216</v>
      </c>
      <c r="G719" s="3" t="s">
        <v>2217</v>
      </c>
      <c r="H719" s="4">
        <v>2.0</v>
      </c>
      <c r="I719" s="4">
        <v>1.0</v>
      </c>
      <c r="J719" s="3"/>
      <c r="K719" s="3" t="s">
        <v>2214</v>
      </c>
      <c r="L719" s="3" t="s">
        <v>2215</v>
      </c>
      <c r="M719" s="3" t="s">
        <v>22</v>
      </c>
      <c r="N719" s="5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 t="s">
        <v>14</v>
      </c>
      <c r="B720" s="3" t="s">
        <v>2210</v>
      </c>
      <c r="C720" s="3" t="s">
        <v>2211</v>
      </c>
      <c r="D720" s="3" t="s">
        <v>2212</v>
      </c>
      <c r="E720" s="3" t="s">
        <v>2213</v>
      </c>
      <c r="F720" s="3" t="s">
        <v>784</v>
      </c>
      <c r="G720" s="3" t="s">
        <v>784</v>
      </c>
      <c r="H720" s="4">
        <v>3.0</v>
      </c>
      <c r="I720" s="4">
        <v>2.0</v>
      </c>
      <c r="J720" s="3"/>
      <c r="K720" s="3" t="s">
        <v>2214</v>
      </c>
      <c r="L720" s="3" t="s">
        <v>2215</v>
      </c>
      <c r="M720" s="3" t="s">
        <v>22</v>
      </c>
      <c r="N720" s="5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 t="s">
        <v>14</v>
      </c>
      <c r="B721" s="3" t="s">
        <v>2218</v>
      </c>
      <c r="C721" s="3" t="s">
        <v>2219</v>
      </c>
      <c r="D721" s="3" t="s">
        <v>2220</v>
      </c>
      <c r="E721" s="3" t="s">
        <v>2219</v>
      </c>
      <c r="F721" s="3" t="s">
        <v>30</v>
      </c>
      <c r="G721" s="17" t="s">
        <v>36</v>
      </c>
      <c r="H721" s="4">
        <v>1.0</v>
      </c>
      <c r="I721" s="4" t="s">
        <v>36</v>
      </c>
      <c r="J721" s="3"/>
      <c r="K721" s="3" t="s">
        <v>2221</v>
      </c>
      <c r="L721" s="3" t="s">
        <v>2222</v>
      </c>
      <c r="M721" s="3" t="s">
        <v>22</v>
      </c>
      <c r="N721" s="5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14</v>
      </c>
      <c r="B722" s="3" t="s">
        <v>2218</v>
      </c>
      <c r="C722" s="3" t="s">
        <v>2219</v>
      </c>
      <c r="D722" s="3" t="s">
        <v>2220</v>
      </c>
      <c r="E722" s="3" t="s">
        <v>2219</v>
      </c>
      <c r="F722" s="3" t="s">
        <v>1346</v>
      </c>
      <c r="G722" s="3" t="s">
        <v>2219</v>
      </c>
      <c r="H722" s="4">
        <v>2.0</v>
      </c>
      <c r="I722" s="4">
        <v>1.0</v>
      </c>
      <c r="J722" s="3"/>
      <c r="K722" s="3" t="s">
        <v>2221</v>
      </c>
      <c r="L722" s="3" t="s">
        <v>2222</v>
      </c>
      <c r="M722" s="3" t="s">
        <v>22</v>
      </c>
      <c r="N722" s="5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5" t="s">
        <v>14</v>
      </c>
      <c r="B723" s="15" t="s">
        <v>2223</v>
      </c>
      <c r="C723" s="15" t="s">
        <v>2224</v>
      </c>
      <c r="D723" s="15" t="s">
        <v>2225</v>
      </c>
      <c r="E723" s="15" t="s">
        <v>2226</v>
      </c>
      <c r="F723" s="15" t="s">
        <v>2227</v>
      </c>
      <c r="G723" s="15" t="s">
        <v>2227</v>
      </c>
      <c r="H723" s="18">
        <v>1.0</v>
      </c>
      <c r="I723" s="18">
        <v>1.0</v>
      </c>
      <c r="J723" s="15" t="s">
        <v>80</v>
      </c>
      <c r="K723" s="15" t="s">
        <v>2228</v>
      </c>
      <c r="L723" s="15" t="s">
        <v>2229</v>
      </c>
      <c r="M723" s="15" t="s">
        <v>22</v>
      </c>
      <c r="N723" s="20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5" t="s">
        <v>14</v>
      </c>
      <c r="B724" s="15" t="s">
        <v>2223</v>
      </c>
      <c r="C724" s="15" t="s">
        <v>2224</v>
      </c>
      <c r="D724" s="15" t="s">
        <v>2225</v>
      </c>
      <c r="E724" s="15" t="s">
        <v>2226</v>
      </c>
      <c r="F724" s="15" t="s">
        <v>984</v>
      </c>
      <c r="G724" s="15" t="s">
        <v>2230</v>
      </c>
      <c r="H724" s="18">
        <v>2.0</v>
      </c>
      <c r="I724" s="18">
        <v>2.0</v>
      </c>
      <c r="J724" s="15"/>
      <c r="K724" s="15" t="s">
        <v>2228</v>
      </c>
      <c r="L724" s="15" t="s">
        <v>2229</v>
      </c>
      <c r="M724" s="15" t="s">
        <v>22</v>
      </c>
      <c r="N724" s="20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3" t="s">
        <v>14</v>
      </c>
      <c r="B725" s="3" t="s">
        <v>2231</v>
      </c>
      <c r="C725" s="3" t="s">
        <v>2232</v>
      </c>
      <c r="D725" s="3" t="s">
        <v>2233</v>
      </c>
      <c r="E725" s="3" t="s">
        <v>2234</v>
      </c>
      <c r="F725" s="3" t="s">
        <v>108</v>
      </c>
      <c r="G725" s="3" t="s">
        <v>2235</v>
      </c>
      <c r="H725" s="4">
        <v>1.0</v>
      </c>
      <c r="I725" s="4">
        <v>1.0</v>
      </c>
      <c r="J725" s="3" t="s">
        <v>80</v>
      </c>
      <c r="K725" s="3" t="s">
        <v>2236</v>
      </c>
      <c r="L725" s="3" t="s">
        <v>2237</v>
      </c>
      <c r="M725" s="3" t="s">
        <v>22</v>
      </c>
      <c r="N725" s="5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14</v>
      </c>
      <c r="B726" s="3" t="s">
        <v>2231</v>
      </c>
      <c r="C726" s="3" t="s">
        <v>2232</v>
      </c>
      <c r="D726" s="3" t="s">
        <v>2233</v>
      </c>
      <c r="E726" s="3" t="s">
        <v>2234</v>
      </c>
      <c r="F726" s="3" t="s">
        <v>1573</v>
      </c>
      <c r="G726" s="3" t="s">
        <v>1573</v>
      </c>
      <c r="H726" s="4">
        <v>2.0</v>
      </c>
      <c r="I726" s="4">
        <v>2.0</v>
      </c>
      <c r="J726" s="3"/>
      <c r="K726" s="3" t="s">
        <v>2236</v>
      </c>
      <c r="L726" s="3" t="s">
        <v>2237</v>
      </c>
      <c r="M726" s="3" t="s">
        <v>22</v>
      </c>
      <c r="N726" s="5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 t="s">
        <v>14</v>
      </c>
      <c r="B727" s="3" t="s">
        <v>2231</v>
      </c>
      <c r="C727" s="3" t="s">
        <v>2232</v>
      </c>
      <c r="D727" s="3" t="s">
        <v>2233</v>
      </c>
      <c r="E727" s="3" t="s">
        <v>2234</v>
      </c>
      <c r="F727" s="3" t="s">
        <v>36</v>
      </c>
      <c r="G727" s="3" t="s">
        <v>2238</v>
      </c>
      <c r="H727" s="4" t="s">
        <v>36</v>
      </c>
      <c r="I727" s="4">
        <v>3.0</v>
      </c>
      <c r="J727" s="3"/>
      <c r="K727" s="3" t="s">
        <v>2236</v>
      </c>
      <c r="L727" s="3" t="s">
        <v>2237</v>
      </c>
      <c r="M727" s="3" t="s">
        <v>22</v>
      </c>
      <c r="N727" s="5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14</v>
      </c>
      <c r="B728" s="3" t="s">
        <v>2231</v>
      </c>
      <c r="C728" s="3" t="s">
        <v>2232</v>
      </c>
      <c r="D728" s="3" t="s">
        <v>2233</v>
      </c>
      <c r="E728" s="3" t="s">
        <v>2234</v>
      </c>
      <c r="F728" s="3" t="s">
        <v>2239</v>
      </c>
      <c r="G728" s="3" t="s">
        <v>1983</v>
      </c>
      <c r="H728" s="4">
        <v>3.0</v>
      </c>
      <c r="I728" s="4">
        <v>4.0</v>
      </c>
      <c r="J728" s="3"/>
      <c r="K728" s="3" t="s">
        <v>2236</v>
      </c>
      <c r="L728" s="3" t="s">
        <v>2237</v>
      </c>
      <c r="M728" s="3" t="s">
        <v>22</v>
      </c>
      <c r="N728" s="5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14</v>
      </c>
      <c r="B729" s="3" t="s">
        <v>2240</v>
      </c>
      <c r="C729" s="3" t="s">
        <v>2241</v>
      </c>
      <c r="D729" s="6" t="s">
        <v>2242</v>
      </c>
      <c r="E729" s="3" t="s">
        <v>2243</v>
      </c>
      <c r="F729" s="6" t="s">
        <v>233</v>
      </c>
      <c r="G729" s="3" t="s">
        <v>415</v>
      </c>
      <c r="H729" s="4">
        <v>1.0</v>
      </c>
      <c r="I729" s="4">
        <v>1.0</v>
      </c>
      <c r="J729" s="3"/>
      <c r="K729" s="3" t="s">
        <v>2244</v>
      </c>
      <c r="L729" s="3" t="s">
        <v>2245</v>
      </c>
      <c r="M729" s="3" t="s">
        <v>22</v>
      </c>
      <c r="N729" s="5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14</v>
      </c>
      <c r="B730" s="3" t="s">
        <v>2240</v>
      </c>
      <c r="C730" s="3" t="s">
        <v>2241</v>
      </c>
      <c r="D730" s="6" t="s">
        <v>2242</v>
      </c>
      <c r="E730" s="3" t="s">
        <v>2243</v>
      </c>
      <c r="F730" s="6" t="s">
        <v>848</v>
      </c>
      <c r="G730" s="3" t="s">
        <v>175</v>
      </c>
      <c r="H730" s="4">
        <v>2.0</v>
      </c>
      <c r="I730" s="4">
        <v>2.0</v>
      </c>
      <c r="J730" s="3"/>
      <c r="K730" s="3" t="s">
        <v>2244</v>
      </c>
      <c r="L730" s="3" t="s">
        <v>2245</v>
      </c>
      <c r="M730" s="3" t="s">
        <v>22</v>
      </c>
      <c r="N730" s="5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 t="s">
        <v>14</v>
      </c>
      <c r="B731" s="3" t="s">
        <v>2240</v>
      </c>
      <c r="C731" s="3" t="s">
        <v>2241</v>
      </c>
      <c r="D731" s="6" t="s">
        <v>2242</v>
      </c>
      <c r="E731" s="3" t="s">
        <v>2243</v>
      </c>
      <c r="F731" s="6" t="s">
        <v>108</v>
      </c>
      <c r="G731" s="3" t="s">
        <v>36</v>
      </c>
      <c r="H731" s="4">
        <v>3.0</v>
      </c>
      <c r="I731" s="4" t="s">
        <v>36</v>
      </c>
      <c r="J731" s="3"/>
      <c r="K731" s="3" t="s">
        <v>2244</v>
      </c>
      <c r="L731" s="3" t="s">
        <v>2245</v>
      </c>
      <c r="M731" s="3" t="s">
        <v>22</v>
      </c>
      <c r="N731" s="5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 t="s">
        <v>14</v>
      </c>
      <c r="B732" s="3" t="s">
        <v>2240</v>
      </c>
      <c r="C732" s="3" t="s">
        <v>2241</v>
      </c>
      <c r="D732" s="6" t="s">
        <v>2242</v>
      </c>
      <c r="E732" s="3" t="s">
        <v>2243</v>
      </c>
      <c r="F732" s="6" t="s">
        <v>878</v>
      </c>
      <c r="G732" s="3" t="s">
        <v>879</v>
      </c>
      <c r="H732" s="4">
        <v>4.0</v>
      </c>
      <c r="I732" s="4">
        <v>3.0</v>
      </c>
      <c r="J732" s="3"/>
      <c r="K732" s="3" t="s">
        <v>2244</v>
      </c>
      <c r="L732" s="3" t="s">
        <v>2245</v>
      </c>
      <c r="M732" s="3" t="s">
        <v>22</v>
      </c>
      <c r="N732" s="5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 t="s">
        <v>14</v>
      </c>
      <c r="B733" s="3" t="s">
        <v>2246</v>
      </c>
      <c r="C733" s="3" t="s">
        <v>2247</v>
      </c>
      <c r="D733" s="3" t="s">
        <v>2248</v>
      </c>
      <c r="E733" s="3" t="s">
        <v>2249</v>
      </c>
      <c r="F733" s="3" t="s">
        <v>2250</v>
      </c>
      <c r="G733" s="3" t="s">
        <v>668</v>
      </c>
      <c r="H733" s="4">
        <v>1.0</v>
      </c>
      <c r="I733" s="4">
        <v>1.0</v>
      </c>
      <c r="J733" s="3" t="s">
        <v>80</v>
      </c>
      <c r="K733" s="3" t="s">
        <v>2251</v>
      </c>
      <c r="L733" s="3" t="s">
        <v>2252</v>
      </c>
      <c r="M733" s="3" t="s">
        <v>22</v>
      </c>
      <c r="N733" s="5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14</v>
      </c>
      <c r="B734" s="3" t="s">
        <v>2246</v>
      </c>
      <c r="C734" s="3" t="s">
        <v>2247</v>
      </c>
      <c r="D734" s="3" t="s">
        <v>2248</v>
      </c>
      <c r="E734" s="3" t="s">
        <v>2249</v>
      </c>
      <c r="F734" s="3" t="s">
        <v>36</v>
      </c>
      <c r="G734" s="3" t="s">
        <v>845</v>
      </c>
      <c r="H734" s="4" t="s">
        <v>36</v>
      </c>
      <c r="I734" s="4">
        <v>2.0</v>
      </c>
      <c r="J734" s="3"/>
      <c r="K734" s="3" t="s">
        <v>2251</v>
      </c>
      <c r="L734" s="3" t="s">
        <v>2252</v>
      </c>
      <c r="M734" s="3" t="s">
        <v>22</v>
      </c>
      <c r="N734" s="5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 t="s">
        <v>14</v>
      </c>
      <c r="B735" s="3" t="s">
        <v>2246</v>
      </c>
      <c r="C735" s="3" t="s">
        <v>2247</v>
      </c>
      <c r="D735" s="3" t="s">
        <v>2248</v>
      </c>
      <c r="E735" s="3" t="s">
        <v>2249</v>
      </c>
      <c r="F735" s="3" t="s">
        <v>75</v>
      </c>
      <c r="G735" s="3" t="s">
        <v>75</v>
      </c>
      <c r="H735" s="4">
        <v>2.0</v>
      </c>
      <c r="I735" s="4">
        <v>3.0</v>
      </c>
      <c r="J735" s="3"/>
      <c r="K735" s="3" t="s">
        <v>2251</v>
      </c>
      <c r="L735" s="3" t="s">
        <v>2252</v>
      </c>
      <c r="M735" s="3" t="s">
        <v>22</v>
      </c>
      <c r="N735" s="5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14</v>
      </c>
      <c r="B736" s="3" t="s">
        <v>2253</v>
      </c>
      <c r="C736" s="3" t="s">
        <v>2254</v>
      </c>
      <c r="D736" s="3" t="s">
        <v>2255</v>
      </c>
      <c r="E736" s="3" t="s">
        <v>2256</v>
      </c>
      <c r="F736" s="3" t="s">
        <v>244</v>
      </c>
      <c r="G736" s="3" t="s">
        <v>402</v>
      </c>
      <c r="H736" s="4">
        <v>1.0</v>
      </c>
      <c r="I736" s="4">
        <v>1.0</v>
      </c>
      <c r="J736" s="3" t="s">
        <v>80</v>
      </c>
      <c r="K736" s="3" t="s">
        <v>2257</v>
      </c>
      <c r="L736" s="3" t="s">
        <v>2258</v>
      </c>
      <c r="M736" s="3" t="s">
        <v>22</v>
      </c>
      <c r="N736" s="5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14</v>
      </c>
      <c r="B737" s="3" t="s">
        <v>2253</v>
      </c>
      <c r="C737" s="3" t="s">
        <v>2254</v>
      </c>
      <c r="D737" s="3" t="s">
        <v>2255</v>
      </c>
      <c r="E737" s="3" t="s">
        <v>2256</v>
      </c>
      <c r="F737" s="3" t="s">
        <v>1541</v>
      </c>
      <c r="G737" s="3" t="s">
        <v>254</v>
      </c>
      <c r="H737" s="4">
        <v>2.0</v>
      </c>
      <c r="I737" s="4">
        <v>2.0</v>
      </c>
      <c r="J737" s="3"/>
      <c r="K737" s="3" t="s">
        <v>2257</v>
      </c>
      <c r="L737" s="3" t="s">
        <v>2258</v>
      </c>
      <c r="M737" s="3" t="s">
        <v>22</v>
      </c>
      <c r="N737" s="5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14</v>
      </c>
      <c r="B738" s="3" t="s">
        <v>2253</v>
      </c>
      <c r="C738" s="3" t="s">
        <v>2254</v>
      </c>
      <c r="D738" s="3" t="s">
        <v>2255</v>
      </c>
      <c r="E738" s="3" t="s">
        <v>2256</v>
      </c>
      <c r="F738" s="3" t="s">
        <v>36</v>
      </c>
      <c r="G738" s="3" t="s">
        <v>2238</v>
      </c>
      <c r="H738" s="4" t="s">
        <v>36</v>
      </c>
      <c r="I738" s="4">
        <v>3.0</v>
      </c>
      <c r="J738" s="3"/>
      <c r="K738" s="3" t="s">
        <v>2257</v>
      </c>
      <c r="L738" s="3" t="s">
        <v>2258</v>
      </c>
      <c r="M738" s="3" t="s">
        <v>22</v>
      </c>
      <c r="N738" s="5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 t="s">
        <v>14</v>
      </c>
      <c r="B739" s="3" t="s">
        <v>2253</v>
      </c>
      <c r="C739" s="3" t="s">
        <v>2254</v>
      </c>
      <c r="D739" s="3" t="s">
        <v>2255</v>
      </c>
      <c r="E739" s="3" t="s">
        <v>2256</v>
      </c>
      <c r="F739" s="3" t="s">
        <v>2239</v>
      </c>
      <c r="G739" s="3" t="s">
        <v>1983</v>
      </c>
      <c r="H739" s="4">
        <v>3.0</v>
      </c>
      <c r="I739" s="4">
        <v>4.0</v>
      </c>
      <c r="J739" s="3"/>
      <c r="K739" s="3" t="s">
        <v>2257</v>
      </c>
      <c r="L739" s="3" t="s">
        <v>2258</v>
      </c>
      <c r="M739" s="3" t="s">
        <v>22</v>
      </c>
      <c r="N739" s="5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 t="s">
        <v>14</v>
      </c>
      <c r="B740" s="3" t="s">
        <v>2259</v>
      </c>
      <c r="C740" s="3" t="s">
        <v>2260</v>
      </c>
      <c r="D740" s="3" t="s">
        <v>2261</v>
      </c>
      <c r="E740" s="3" t="s">
        <v>2262</v>
      </c>
      <c r="F740" s="3" t="s">
        <v>1754</v>
      </c>
      <c r="G740" s="3" t="s">
        <v>2263</v>
      </c>
      <c r="H740" s="4">
        <v>1.0</v>
      </c>
      <c r="I740" s="4">
        <v>1.0</v>
      </c>
      <c r="J740" s="3"/>
      <c r="K740" s="3" t="s">
        <v>2264</v>
      </c>
      <c r="L740" s="3" t="s">
        <v>2265</v>
      </c>
      <c r="M740" s="3" t="s">
        <v>22</v>
      </c>
      <c r="N740" s="5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 t="s">
        <v>14</v>
      </c>
      <c r="B741" s="3" t="s">
        <v>2259</v>
      </c>
      <c r="C741" s="3" t="s">
        <v>2260</v>
      </c>
      <c r="D741" s="3" t="s">
        <v>2261</v>
      </c>
      <c r="E741" s="3" t="s">
        <v>2262</v>
      </c>
      <c r="F741" s="3" t="s">
        <v>1118</v>
      </c>
      <c r="G741" s="3" t="s">
        <v>1118</v>
      </c>
      <c r="H741" s="4">
        <v>2.0</v>
      </c>
      <c r="I741" s="4">
        <v>2.0</v>
      </c>
      <c r="J741" s="3"/>
      <c r="K741" s="3" t="s">
        <v>2264</v>
      </c>
      <c r="L741" s="3" t="s">
        <v>2265</v>
      </c>
      <c r="M741" s="3" t="s">
        <v>22</v>
      </c>
      <c r="N741" s="5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14</v>
      </c>
      <c r="B742" s="3" t="s">
        <v>2259</v>
      </c>
      <c r="C742" s="3" t="s">
        <v>2260</v>
      </c>
      <c r="D742" s="3" t="s">
        <v>2261</v>
      </c>
      <c r="E742" s="3" t="s">
        <v>2262</v>
      </c>
      <c r="F742" s="3" t="s">
        <v>172</v>
      </c>
      <c r="G742" s="3" t="s">
        <v>387</v>
      </c>
      <c r="H742" s="4">
        <v>3.0</v>
      </c>
      <c r="I742" s="4">
        <v>3.0</v>
      </c>
      <c r="J742" s="3"/>
      <c r="K742" s="3" t="s">
        <v>2264</v>
      </c>
      <c r="L742" s="3" t="s">
        <v>2265</v>
      </c>
      <c r="M742" s="3" t="s">
        <v>22</v>
      </c>
      <c r="N742" s="5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 t="s">
        <v>14</v>
      </c>
      <c r="B743" s="3" t="s">
        <v>2266</v>
      </c>
      <c r="C743" s="3" t="s">
        <v>2267</v>
      </c>
      <c r="D743" s="3" t="s">
        <v>2268</v>
      </c>
      <c r="E743" s="3" t="s">
        <v>2269</v>
      </c>
      <c r="F743" s="3" t="s">
        <v>349</v>
      </c>
      <c r="G743" s="3" t="s">
        <v>349</v>
      </c>
      <c r="H743" s="4">
        <v>1.0</v>
      </c>
      <c r="I743" s="4">
        <v>1.0</v>
      </c>
      <c r="J743" s="3"/>
      <c r="K743" s="3" t="s">
        <v>2270</v>
      </c>
      <c r="L743" s="3" t="s">
        <v>2271</v>
      </c>
      <c r="M743" s="3" t="s">
        <v>22</v>
      </c>
      <c r="N743" s="5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 t="s">
        <v>14</v>
      </c>
      <c r="B744" s="3" t="s">
        <v>2266</v>
      </c>
      <c r="C744" s="3" t="s">
        <v>2267</v>
      </c>
      <c r="D744" s="3" t="s">
        <v>2268</v>
      </c>
      <c r="E744" s="3" t="s">
        <v>2269</v>
      </c>
      <c r="F744" s="3" t="s">
        <v>2272</v>
      </c>
      <c r="G744" s="3" t="s">
        <v>296</v>
      </c>
      <c r="H744" s="4">
        <v>2.0</v>
      </c>
      <c r="I744" s="4">
        <v>2.0</v>
      </c>
      <c r="J744" s="3"/>
      <c r="K744" s="3" t="s">
        <v>2270</v>
      </c>
      <c r="L744" s="3" t="s">
        <v>2271</v>
      </c>
      <c r="M744" s="3" t="s">
        <v>22</v>
      </c>
      <c r="N744" s="5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 t="s">
        <v>14</v>
      </c>
      <c r="B745" s="3" t="s">
        <v>2266</v>
      </c>
      <c r="C745" s="3" t="s">
        <v>2267</v>
      </c>
      <c r="D745" s="3" t="s">
        <v>2268</v>
      </c>
      <c r="E745" s="3" t="s">
        <v>2269</v>
      </c>
      <c r="F745" s="3" t="s">
        <v>2273</v>
      </c>
      <c r="G745" s="3" t="s">
        <v>2273</v>
      </c>
      <c r="H745" s="4">
        <v>3.0</v>
      </c>
      <c r="I745" s="4">
        <v>3.0</v>
      </c>
      <c r="J745" s="3"/>
      <c r="K745" s="3" t="s">
        <v>2270</v>
      </c>
      <c r="L745" s="3" t="s">
        <v>2271</v>
      </c>
      <c r="M745" s="3" t="s">
        <v>22</v>
      </c>
      <c r="N745" s="5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14</v>
      </c>
      <c r="B746" s="3" t="s">
        <v>2274</v>
      </c>
      <c r="C746" s="3" t="s">
        <v>2275</v>
      </c>
      <c r="D746" s="3" t="s">
        <v>2276</v>
      </c>
      <c r="E746" s="3" t="s">
        <v>2276</v>
      </c>
      <c r="F746" s="3" t="s">
        <v>349</v>
      </c>
      <c r="G746" s="3" t="s">
        <v>349</v>
      </c>
      <c r="H746" s="4">
        <v>1.0</v>
      </c>
      <c r="I746" s="4">
        <v>1.0</v>
      </c>
      <c r="J746" s="3"/>
      <c r="K746" s="3" t="s">
        <v>2277</v>
      </c>
      <c r="L746" s="3" t="s">
        <v>2278</v>
      </c>
      <c r="M746" s="3" t="s">
        <v>22</v>
      </c>
      <c r="N746" s="5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 t="s">
        <v>14</v>
      </c>
      <c r="B747" s="3" t="s">
        <v>2274</v>
      </c>
      <c r="C747" s="3" t="s">
        <v>2275</v>
      </c>
      <c r="D747" s="3" t="s">
        <v>2276</v>
      </c>
      <c r="E747" s="3" t="s">
        <v>2276</v>
      </c>
      <c r="F747" s="3" t="s">
        <v>296</v>
      </c>
      <c r="G747" s="3" t="s">
        <v>296</v>
      </c>
      <c r="H747" s="4">
        <v>2.0</v>
      </c>
      <c r="I747" s="4">
        <v>2.0</v>
      </c>
      <c r="J747" s="3"/>
      <c r="K747" s="3" t="s">
        <v>2277</v>
      </c>
      <c r="L747" s="3" t="s">
        <v>2278</v>
      </c>
      <c r="M747" s="3" t="s">
        <v>22</v>
      </c>
      <c r="N747" s="5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 t="s">
        <v>14</v>
      </c>
      <c r="B748" s="3" t="s">
        <v>2274</v>
      </c>
      <c r="C748" s="3" t="s">
        <v>2275</v>
      </c>
      <c r="D748" s="3" t="s">
        <v>2276</v>
      </c>
      <c r="E748" s="3" t="s">
        <v>2276</v>
      </c>
      <c r="F748" s="3" t="s">
        <v>2279</v>
      </c>
      <c r="G748" s="3" t="s">
        <v>2279</v>
      </c>
      <c r="H748" s="4">
        <v>3.0</v>
      </c>
      <c r="I748" s="4">
        <v>3.0</v>
      </c>
      <c r="J748" s="3"/>
      <c r="K748" s="3" t="s">
        <v>2277</v>
      </c>
      <c r="L748" s="3" t="s">
        <v>2278</v>
      </c>
      <c r="M748" s="3" t="s">
        <v>22</v>
      </c>
      <c r="N748" s="5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5" t="s">
        <v>14</v>
      </c>
      <c r="B749" s="15" t="s">
        <v>2280</v>
      </c>
      <c r="C749" s="15" t="s">
        <v>2281</v>
      </c>
      <c r="D749" s="15" t="s">
        <v>2282</v>
      </c>
      <c r="E749" s="15" t="s">
        <v>2283</v>
      </c>
      <c r="F749" s="15"/>
      <c r="G749" s="15"/>
      <c r="H749" s="18"/>
      <c r="I749" s="18"/>
      <c r="J749" s="15"/>
      <c r="K749" s="15" t="s">
        <v>2284</v>
      </c>
      <c r="L749" s="15" t="s">
        <v>2285</v>
      </c>
      <c r="M749" s="15" t="s">
        <v>22</v>
      </c>
      <c r="N749" s="15" t="s">
        <v>560</v>
      </c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3" t="s">
        <v>14</v>
      </c>
      <c r="B750" s="3" t="s">
        <v>2286</v>
      </c>
      <c r="C750" s="3" t="s">
        <v>2286</v>
      </c>
      <c r="D750" s="3" t="s">
        <v>2287</v>
      </c>
      <c r="E750" s="3" t="s">
        <v>2287</v>
      </c>
      <c r="F750" s="3" t="s">
        <v>425</v>
      </c>
      <c r="G750" s="3" t="s">
        <v>425</v>
      </c>
      <c r="H750" s="4">
        <v>1.0</v>
      </c>
      <c r="I750" s="4">
        <v>1.0</v>
      </c>
      <c r="J750" s="3"/>
      <c r="K750" s="3" t="s">
        <v>2288</v>
      </c>
      <c r="L750" s="3" t="s">
        <v>2289</v>
      </c>
      <c r="M750" s="3" t="s">
        <v>22</v>
      </c>
      <c r="N750" s="5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 t="s">
        <v>14</v>
      </c>
      <c r="B751" s="3" t="s">
        <v>2286</v>
      </c>
      <c r="C751" s="3" t="s">
        <v>2286</v>
      </c>
      <c r="D751" s="3" t="s">
        <v>2287</v>
      </c>
      <c r="E751" s="3" t="s">
        <v>2287</v>
      </c>
      <c r="F751" s="3" t="s">
        <v>2290</v>
      </c>
      <c r="G751" s="3" t="s">
        <v>2290</v>
      </c>
      <c r="H751" s="4">
        <v>2.0</v>
      </c>
      <c r="I751" s="4">
        <v>2.0</v>
      </c>
      <c r="J751" s="3"/>
      <c r="K751" s="3" t="s">
        <v>2288</v>
      </c>
      <c r="L751" s="3" t="s">
        <v>2289</v>
      </c>
      <c r="M751" s="3" t="s">
        <v>22</v>
      </c>
      <c r="N751" s="5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14</v>
      </c>
      <c r="B752" s="3" t="s">
        <v>2286</v>
      </c>
      <c r="C752" s="3" t="s">
        <v>2286</v>
      </c>
      <c r="D752" s="3" t="s">
        <v>2287</v>
      </c>
      <c r="E752" s="3" t="s">
        <v>2287</v>
      </c>
      <c r="F752" s="3" t="s">
        <v>116</v>
      </c>
      <c r="G752" s="3" t="s">
        <v>116</v>
      </c>
      <c r="H752" s="4">
        <v>3.0</v>
      </c>
      <c r="I752" s="4">
        <v>3.0</v>
      </c>
      <c r="J752" s="3"/>
      <c r="K752" s="3" t="s">
        <v>2288</v>
      </c>
      <c r="L752" s="3" t="s">
        <v>2289</v>
      </c>
      <c r="M752" s="3" t="s">
        <v>22</v>
      </c>
      <c r="N752" s="5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 t="s">
        <v>14</v>
      </c>
      <c r="B753" s="3" t="s">
        <v>2291</v>
      </c>
      <c r="C753" s="3" t="s">
        <v>2291</v>
      </c>
      <c r="D753" s="3" t="s">
        <v>2292</v>
      </c>
      <c r="E753" s="3" t="s">
        <v>2292</v>
      </c>
      <c r="F753" s="3" t="s">
        <v>425</v>
      </c>
      <c r="G753" s="3" t="s">
        <v>425</v>
      </c>
      <c r="H753" s="4">
        <v>1.0</v>
      </c>
      <c r="I753" s="4">
        <v>1.0</v>
      </c>
      <c r="J753" s="3"/>
      <c r="K753" s="3" t="s">
        <v>2293</v>
      </c>
      <c r="L753" s="3" t="s">
        <v>2294</v>
      </c>
      <c r="M753" s="3" t="s">
        <v>22</v>
      </c>
      <c r="N753" s="5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14</v>
      </c>
      <c r="B754" s="3" t="s">
        <v>2291</v>
      </c>
      <c r="C754" s="3" t="s">
        <v>2291</v>
      </c>
      <c r="D754" s="3" t="s">
        <v>2292</v>
      </c>
      <c r="E754" s="3" t="s">
        <v>2292</v>
      </c>
      <c r="F754" s="3" t="s">
        <v>2290</v>
      </c>
      <c r="G754" s="3" t="s">
        <v>2290</v>
      </c>
      <c r="H754" s="4">
        <v>2.0</v>
      </c>
      <c r="I754" s="4">
        <v>2.0</v>
      </c>
      <c r="J754" s="3"/>
      <c r="K754" s="3" t="s">
        <v>2293</v>
      </c>
      <c r="L754" s="3" t="s">
        <v>2294</v>
      </c>
      <c r="M754" s="3" t="s">
        <v>22</v>
      </c>
      <c r="N754" s="5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 t="s">
        <v>14</v>
      </c>
      <c r="B755" s="3" t="s">
        <v>2291</v>
      </c>
      <c r="C755" s="3" t="s">
        <v>2291</v>
      </c>
      <c r="D755" s="3" t="s">
        <v>2292</v>
      </c>
      <c r="E755" s="3" t="s">
        <v>2292</v>
      </c>
      <c r="F755" s="3" t="s">
        <v>387</v>
      </c>
      <c r="G755" s="3" t="s">
        <v>387</v>
      </c>
      <c r="H755" s="4">
        <v>3.0</v>
      </c>
      <c r="I755" s="4">
        <v>3.0</v>
      </c>
      <c r="J755" s="3"/>
      <c r="K755" s="3" t="s">
        <v>2293</v>
      </c>
      <c r="L755" s="3" t="s">
        <v>2294</v>
      </c>
      <c r="M755" s="3" t="s">
        <v>22</v>
      </c>
      <c r="N755" s="5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14</v>
      </c>
      <c r="B756" s="3" t="s">
        <v>2295</v>
      </c>
      <c r="C756" s="3" t="s">
        <v>161</v>
      </c>
      <c r="D756" s="3" t="s">
        <v>2296</v>
      </c>
      <c r="E756" s="3" t="s">
        <v>155</v>
      </c>
      <c r="F756" s="3" t="s">
        <v>157</v>
      </c>
      <c r="G756" s="3" t="s">
        <v>158</v>
      </c>
      <c r="H756" s="4">
        <v>1.0</v>
      </c>
      <c r="I756" s="4">
        <v>1.0</v>
      </c>
      <c r="J756" s="3" t="s">
        <v>72</v>
      </c>
      <c r="K756" s="3" t="s">
        <v>2297</v>
      </c>
      <c r="L756" s="3" t="s">
        <v>2298</v>
      </c>
      <c r="M756" s="3" t="s">
        <v>22</v>
      </c>
      <c r="N756" s="5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14</v>
      </c>
      <c r="B757" s="3" t="s">
        <v>2295</v>
      </c>
      <c r="C757" s="3" t="s">
        <v>161</v>
      </c>
      <c r="D757" s="3" t="s">
        <v>2296</v>
      </c>
      <c r="E757" s="3" t="s">
        <v>155</v>
      </c>
      <c r="F757" s="3" t="s">
        <v>451</v>
      </c>
      <c r="G757" s="3" t="s">
        <v>162</v>
      </c>
      <c r="H757" s="4">
        <v>2.0</v>
      </c>
      <c r="I757" s="4">
        <v>2.0</v>
      </c>
      <c r="J757" s="3"/>
      <c r="K757" s="3" t="s">
        <v>2297</v>
      </c>
      <c r="L757" s="3" t="s">
        <v>2298</v>
      </c>
      <c r="M757" s="3" t="s">
        <v>22</v>
      </c>
      <c r="N757" s="5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5" t="s">
        <v>14</v>
      </c>
      <c r="B758" s="15" t="s">
        <v>2299</v>
      </c>
      <c r="C758" s="15" t="s">
        <v>2300</v>
      </c>
      <c r="D758" s="15" t="s">
        <v>2301</v>
      </c>
      <c r="E758" s="15" t="s">
        <v>452</v>
      </c>
      <c r="F758" s="15" t="s">
        <v>451</v>
      </c>
      <c r="G758" s="15" t="s">
        <v>1628</v>
      </c>
      <c r="H758" s="18">
        <v>1.0</v>
      </c>
      <c r="I758" s="18">
        <v>1.0</v>
      </c>
      <c r="J758" s="15"/>
      <c r="K758" s="15" t="s">
        <v>2302</v>
      </c>
      <c r="L758" s="15" t="s">
        <v>2303</v>
      </c>
      <c r="M758" s="15" t="s">
        <v>22</v>
      </c>
      <c r="N758" s="20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5" t="s">
        <v>14</v>
      </c>
      <c r="B759" s="15" t="s">
        <v>2299</v>
      </c>
      <c r="C759" s="15" t="s">
        <v>2300</v>
      </c>
      <c r="D759" s="15" t="s">
        <v>2301</v>
      </c>
      <c r="E759" s="15" t="s">
        <v>65</v>
      </c>
      <c r="F759" s="15" t="s">
        <v>65</v>
      </c>
      <c r="G759" s="15" t="s">
        <v>162</v>
      </c>
      <c r="H759" s="18">
        <v>2.0</v>
      </c>
      <c r="I759" s="18">
        <v>2.0</v>
      </c>
      <c r="J759" s="15"/>
      <c r="K759" s="15" t="s">
        <v>2302</v>
      </c>
      <c r="L759" s="15" t="s">
        <v>2303</v>
      </c>
      <c r="M759" s="15" t="s">
        <v>22</v>
      </c>
      <c r="N759" s="20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5" t="s">
        <v>14</v>
      </c>
      <c r="B760" s="15" t="s">
        <v>2304</v>
      </c>
      <c r="C760" s="15" t="s">
        <v>2305</v>
      </c>
      <c r="D760" s="15" t="s">
        <v>2306</v>
      </c>
      <c r="E760" s="15" t="s">
        <v>2307</v>
      </c>
      <c r="F760" s="15" t="s">
        <v>451</v>
      </c>
      <c r="G760" s="15" t="s">
        <v>452</v>
      </c>
      <c r="H760" s="18">
        <v>1.0</v>
      </c>
      <c r="I760" s="18">
        <v>1.0</v>
      </c>
      <c r="J760" s="15"/>
      <c r="K760" s="15" t="s">
        <v>2308</v>
      </c>
      <c r="L760" s="15" t="s">
        <v>2309</v>
      </c>
      <c r="M760" s="15" t="s">
        <v>22</v>
      </c>
      <c r="N760" s="20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5" t="s">
        <v>14</v>
      </c>
      <c r="B761" s="15" t="s">
        <v>2304</v>
      </c>
      <c r="C761" s="15" t="s">
        <v>2305</v>
      </c>
      <c r="D761" s="15" t="s">
        <v>2306</v>
      </c>
      <c r="E761" s="15" t="s">
        <v>2307</v>
      </c>
      <c r="F761" s="15" t="s">
        <v>312</v>
      </c>
      <c r="G761" s="15" t="s">
        <v>312</v>
      </c>
      <c r="H761" s="18">
        <v>2.0</v>
      </c>
      <c r="I761" s="18">
        <v>2.0</v>
      </c>
      <c r="J761" s="15"/>
      <c r="K761" s="15" t="s">
        <v>2308</v>
      </c>
      <c r="L761" s="15" t="s">
        <v>2309</v>
      </c>
      <c r="M761" s="15" t="s">
        <v>22</v>
      </c>
      <c r="N761" s="20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3" t="s">
        <v>14</v>
      </c>
      <c r="B762" s="3" t="s">
        <v>2310</v>
      </c>
      <c r="C762" s="3" t="s">
        <v>2311</v>
      </c>
      <c r="D762" s="3" t="s">
        <v>2312</v>
      </c>
      <c r="E762" s="3" t="s">
        <v>2313</v>
      </c>
      <c r="F762" s="3" t="s">
        <v>2314</v>
      </c>
      <c r="G762" s="3" t="s">
        <v>158</v>
      </c>
      <c r="H762" s="4">
        <v>1.0</v>
      </c>
      <c r="I762" s="4">
        <v>1.0</v>
      </c>
      <c r="J762" s="3" t="s">
        <v>80</v>
      </c>
      <c r="K762" s="3" t="s">
        <v>2315</v>
      </c>
      <c r="L762" s="3" t="s">
        <v>2316</v>
      </c>
      <c r="M762" s="3" t="s">
        <v>22</v>
      </c>
      <c r="N762" s="5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 t="s">
        <v>14</v>
      </c>
      <c r="B763" s="3" t="s">
        <v>2310</v>
      </c>
      <c r="C763" s="3" t="s">
        <v>2311</v>
      </c>
      <c r="D763" s="3" t="s">
        <v>2312</v>
      </c>
      <c r="E763" s="3" t="s">
        <v>2313</v>
      </c>
      <c r="F763" s="3" t="s">
        <v>36</v>
      </c>
      <c r="G763" s="3" t="s">
        <v>83</v>
      </c>
      <c r="H763" s="4" t="s">
        <v>36</v>
      </c>
      <c r="I763" s="4">
        <v>2.0</v>
      </c>
      <c r="J763" s="3"/>
      <c r="K763" s="3" t="s">
        <v>2315</v>
      </c>
      <c r="L763" s="3" t="s">
        <v>2316</v>
      </c>
      <c r="M763" s="3" t="s">
        <v>22</v>
      </c>
      <c r="N763" s="5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14</v>
      </c>
      <c r="B764" s="3" t="s">
        <v>2310</v>
      </c>
      <c r="C764" s="3" t="s">
        <v>2311</v>
      </c>
      <c r="D764" s="3" t="s">
        <v>2312</v>
      </c>
      <c r="E764" s="3" t="s">
        <v>2313</v>
      </c>
      <c r="F764" s="3" t="s">
        <v>387</v>
      </c>
      <c r="G764" s="3" t="s">
        <v>387</v>
      </c>
      <c r="H764" s="4">
        <v>2.0</v>
      </c>
      <c r="I764" s="4">
        <v>3.0</v>
      </c>
      <c r="J764" s="3"/>
      <c r="K764" s="3" t="s">
        <v>2315</v>
      </c>
      <c r="L764" s="3" t="s">
        <v>2316</v>
      </c>
      <c r="M764" s="3" t="s">
        <v>22</v>
      </c>
      <c r="N764" s="5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5" t="s">
        <v>14</v>
      </c>
      <c r="B765" s="15" t="s">
        <v>2317</v>
      </c>
      <c r="C765" s="15" t="s">
        <v>2318</v>
      </c>
      <c r="D765" s="15" t="s">
        <v>2319</v>
      </c>
      <c r="E765" s="15" t="s">
        <v>2320</v>
      </c>
      <c r="F765" s="15" t="s">
        <v>706</v>
      </c>
      <c r="G765" s="15" t="s">
        <v>2321</v>
      </c>
      <c r="H765" s="18">
        <v>1.0</v>
      </c>
      <c r="I765" s="18">
        <v>1.0</v>
      </c>
      <c r="J765" s="15" t="s">
        <v>80</v>
      </c>
      <c r="K765" s="15" t="s">
        <v>2322</v>
      </c>
      <c r="L765" s="15" t="s">
        <v>2323</v>
      </c>
      <c r="M765" s="15" t="s">
        <v>22</v>
      </c>
      <c r="N765" s="20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5" t="s">
        <v>14</v>
      </c>
      <c r="B766" s="15" t="s">
        <v>2317</v>
      </c>
      <c r="C766" s="15" t="s">
        <v>2318</v>
      </c>
      <c r="D766" s="15" t="s">
        <v>2319</v>
      </c>
      <c r="E766" s="15" t="s">
        <v>2320</v>
      </c>
      <c r="F766" s="15" t="s">
        <v>157</v>
      </c>
      <c r="G766" s="15" t="s">
        <v>158</v>
      </c>
      <c r="H766" s="18">
        <v>2.0</v>
      </c>
      <c r="I766" s="18">
        <v>2.0</v>
      </c>
      <c r="J766" s="15"/>
      <c r="K766" s="15" t="s">
        <v>2322</v>
      </c>
      <c r="L766" s="15" t="s">
        <v>2323</v>
      </c>
      <c r="M766" s="15" t="s">
        <v>22</v>
      </c>
      <c r="N766" s="20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5" t="s">
        <v>14</v>
      </c>
      <c r="B767" s="15" t="s">
        <v>1542</v>
      </c>
      <c r="C767" s="15" t="s">
        <v>2324</v>
      </c>
      <c r="D767" s="15" t="s">
        <v>1544</v>
      </c>
      <c r="E767" s="15" t="s">
        <v>2325</v>
      </c>
      <c r="F767" s="15" t="s">
        <v>1541</v>
      </c>
      <c r="G767" s="15" t="s">
        <v>1396</v>
      </c>
      <c r="H767" s="18">
        <v>1.0</v>
      </c>
      <c r="I767" s="18">
        <v>1.0</v>
      </c>
      <c r="J767" s="15"/>
      <c r="K767" s="15" t="s">
        <v>2326</v>
      </c>
      <c r="L767" s="15" t="s">
        <v>2327</v>
      </c>
      <c r="M767" s="15" t="s">
        <v>22</v>
      </c>
      <c r="N767" s="20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5" t="s">
        <v>14</v>
      </c>
      <c r="B768" s="15" t="s">
        <v>1542</v>
      </c>
      <c r="C768" s="15" t="s">
        <v>2324</v>
      </c>
      <c r="D768" s="15" t="s">
        <v>1544</v>
      </c>
      <c r="E768" s="15" t="s">
        <v>2325</v>
      </c>
      <c r="F768" s="15" t="s">
        <v>1396</v>
      </c>
      <c r="G768" s="15" t="s">
        <v>254</v>
      </c>
      <c r="H768" s="18">
        <v>2.0</v>
      </c>
      <c r="I768" s="18">
        <v>2.0</v>
      </c>
      <c r="J768" s="15"/>
      <c r="K768" s="15" t="s">
        <v>2326</v>
      </c>
      <c r="L768" s="15" t="s">
        <v>2327</v>
      </c>
      <c r="M768" s="15" t="s">
        <v>22</v>
      </c>
      <c r="N768" s="20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3" t="s">
        <v>14</v>
      </c>
      <c r="B769" s="3" t="s">
        <v>2328</v>
      </c>
      <c r="C769" s="3" t="s">
        <v>2329</v>
      </c>
      <c r="D769" s="3" t="s">
        <v>2330</v>
      </c>
      <c r="E769" s="3" t="s">
        <v>2331</v>
      </c>
      <c r="F769" s="3" t="s">
        <v>268</v>
      </c>
      <c r="G769" s="3" t="s">
        <v>2332</v>
      </c>
      <c r="H769" s="4">
        <v>1.0</v>
      </c>
      <c r="I769" s="4">
        <v>1.0</v>
      </c>
      <c r="J769" s="3"/>
      <c r="K769" s="3" t="s">
        <v>2333</v>
      </c>
      <c r="L769" s="3" t="s">
        <v>2334</v>
      </c>
      <c r="M769" s="3" t="s">
        <v>22</v>
      </c>
      <c r="N769" s="5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14</v>
      </c>
      <c r="B770" s="3" t="s">
        <v>2328</v>
      </c>
      <c r="C770" s="3" t="s">
        <v>2329</v>
      </c>
      <c r="D770" s="3" t="s">
        <v>2330</v>
      </c>
      <c r="E770" s="3" t="s">
        <v>2331</v>
      </c>
      <c r="F770" s="3" t="s">
        <v>29</v>
      </c>
      <c r="G770" s="3" t="s">
        <v>128</v>
      </c>
      <c r="H770" s="4">
        <v>2.0</v>
      </c>
      <c r="I770" s="4">
        <v>2.0</v>
      </c>
      <c r="J770" s="3"/>
      <c r="K770" s="3" t="s">
        <v>2333</v>
      </c>
      <c r="L770" s="3" t="s">
        <v>2334</v>
      </c>
      <c r="M770" s="3" t="s">
        <v>22</v>
      </c>
      <c r="N770" s="5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 t="s">
        <v>14</v>
      </c>
      <c r="B771" s="3" t="s">
        <v>2335</v>
      </c>
      <c r="C771" s="3" t="s">
        <v>2336</v>
      </c>
      <c r="D771" s="3" t="s">
        <v>2337</v>
      </c>
      <c r="E771" s="3" t="s">
        <v>2338</v>
      </c>
      <c r="F771" s="3" t="s">
        <v>2339</v>
      </c>
      <c r="G771" s="3" t="s">
        <v>2340</v>
      </c>
      <c r="H771" s="4">
        <v>1.0</v>
      </c>
      <c r="I771" s="4">
        <v>1.0</v>
      </c>
      <c r="J771" s="3" t="s">
        <v>80</v>
      </c>
      <c r="K771" s="3" t="s">
        <v>2341</v>
      </c>
      <c r="L771" s="3" t="s">
        <v>2342</v>
      </c>
      <c r="M771" s="3" t="s">
        <v>22</v>
      </c>
      <c r="N771" s="5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14</v>
      </c>
      <c r="B772" s="3" t="s">
        <v>2335</v>
      </c>
      <c r="C772" s="3" t="s">
        <v>2336</v>
      </c>
      <c r="D772" s="3" t="s">
        <v>2337</v>
      </c>
      <c r="E772" s="3" t="s">
        <v>2338</v>
      </c>
      <c r="F772" s="3" t="s">
        <v>36</v>
      </c>
      <c r="G772" s="3" t="s">
        <v>128</v>
      </c>
      <c r="H772" s="4" t="s">
        <v>36</v>
      </c>
      <c r="I772" s="4">
        <v>2.0</v>
      </c>
      <c r="J772" s="3"/>
      <c r="K772" s="3" t="s">
        <v>2341</v>
      </c>
      <c r="L772" s="3" t="s">
        <v>2342</v>
      </c>
      <c r="M772" s="3" t="s">
        <v>22</v>
      </c>
      <c r="N772" s="5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 t="s">
        <v>14</v>
      </c>
      <c r="B773" s="3" t="s">
        <v>2335</v>
      </c>
      <c r="C773" s="3" t="s">
        <v>2336</v>
      </c>
      <c r="D773" s="3" t="s">
        <v>2337</v>
      </c>
      <c r="E773" s="3" t="s">
        <v>2338</v>
      </c>
      <c r="F773" s="3" t="s">
        <v>724</v>
      </c>
      <c r="G773" s="3" t="s">
        <v>724</v>
      </c>
      <c r="H773" s="4">
        <v>2.0</v>
      </c>
      <c r="I773" s="4">
        <v>3.0</v>
      </c>
      <c r="J773" s="3"/>
      <c r="K773" s="3" t="s">
        <v>2341</v>
      </c>
      <c r="L773" s="3" t="s">
        <v>2342</v>
      </c>
      <c r="M773" s="3" t="s">
        <v>22</v>
      </c>
      <c r="N773" s="5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5" t="s">
        <v>14</v>
      </c>
      <c r="B774" s="15" t="s">
        <v>2343</v>
      </c>
      <c r="C774" s="15" t="s">
        <v>2344</v>
      </c>
      <c r="D774" s="15" t="s">
        <v>2345</v>
      </c>
      <c r="E774" s="15" t="s">
        <v>2344</v>
      </c>
      <c r="F774" s="15"/>
      <c r="G774" s="15"/>
      <c r="H774" s="18"/>
      <c r="I774" s="18"/>
      <c r="J774" s="15"/>
      <c r="K774" s="15" t="s">
        <v>2346</v>
      </c>
      <c r="L774" s="15" t="s">
        <v>2347</v>
      </c>
      <c r="M774" s="15" t="s">
        <v>22</v>
      </c>
      <c r="N774" s="15" t="s">
        <v>560</v>
      </c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3" t="s">
        <v>14</v>
      </c>
      <c r="B775" s="3" t="s">
        <v>2348</v>
      </c>
      <c r="C775" s="3" t="s">
        <v>2349</v>
      </c>
      <c r="D775" s="3" t="s">
        <v>2350</v>
      </c>
      <c r="E775" s="3" t="s">
        <v>2351</v>
      </c>
      <c r="F775" s="3" t="s">
        <v>2352</v>
      </c>
      <c r="G775" s="3" t="s">
        <v>2352</v>
      </c>
      <c r="H775" s="4">
        <v>1.0</v>
      </c>
      <c r="I775" s="4">
        <v>1.0</v>
      </c>
      <c r="J775" s="3"/>
      <c r="K775" s="3" t="s">
        <v>2353</v>
      </c>
      <c r="L775" s="3" t="s">
        <v>2354</v>
      </c>
      <c r="M775" s="3" t="s">
        <v>22</v>
      </c>
      <c r="N775" s="5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14</v>
      </c>
      <c r="B776" s="3" t="s">
        <v>2348</v>
      </c>
      <c r="C776" s="3" t="s">
        <v>2349</v>
      </c>
      <c r="D776" s="3" t="s">
        <v>2350</v>
      </c>
      <c r="E776" s="3" t="s">
        <v>2351</v>
      </c>
      <c r="F776" s="3" t="s">
        <v>197</v>
      </c>
      <c r="G776" s="3" t="s">
        <v>503</v>
      </c>
      <c r="H776" s="4">
        <v>2.0</v>
      </c>
      <c r="I776" s="4">
        <v>2.0</v>
      </c>
      <c r="J776" s="3"/>
      <c r="K776" s="3" t="s">
        <v>2353</v>
      </c>
      <c r="L776" s="3" t="s">
        <v>2354</v>
      </c>
      <c r="M776" s="3" t="s">
        <v>22</v>
      </c>
      <c r="N776" s="5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 t="s">
        <v>14</v>
      </c>
      <c r="B777" s="3" t="s">
        <v>2355</v>
      </c>
      <c r="C777" s="3" t="s">
        <v>2356</v>
      </c>
      <c r="D777" s="3" t="s">
        <v>2357</v>
      </c>
      <c r="E777" s="3" t="s">
        <v>2358</v>
      </c>
      <c r="F777" s="3" t="s">
        <v>845</v>
      </c>
      <c r="G777" s="3" t="s">
        <v>2352</v>
      </c>
      <c r="H777" s="4">
        <v>1.0</v>
      </c>
      <c r="I777" s="4">
        <v>1.0</v>
      </c>
      <c r="J777" s="3"/>
      <c r="K777" s="3" t="s">
        <v>2359</v>
      </c>
      <c r="L777" s="3" t="s">
        <v>2360</v>
      </c>
      <c r="M777" s="3" t="s">
        <v>22</v>
      </c>
      <c r="N777" s="5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14</v>
      </c>
      <c r="B778" s="3" t="s">
        <v>2355</v>
      </c>
      <c r="C778" s="3" t="s">
        <v>2356</v>
      </c>
      <c r="D778" s="3" t="s">
        <v>2357</v>
      </c>
      <c r="E778" s="3" t="s">
        <v>2358</v>
      </c>
      <c r="F778" s="3" t="s">
        <v>2361</v>
      </c>
      <c r="G778" s="3" t="s">
        <v>2362</v>
      </c>
      <c r="H778" s="4">
        <v>2.0</v>
      </c>
      <c r="I778" s="4">
        <v>2.0</v>
      </c>
      <c r="J778" s="3"/>
      <c r="K778" s="3" t="s">
        <v>2359</v>
      </c>
      <c r="L778" s="3" t="s">
        <v>2360</v>
      </c>
      <c r="M778" s="3" t="s">
        <v>22</v>
      </c>
      <c r="N778" s="5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 t="s">
        <v>14</v>
      </c>
      <c r="B779" s="3" t="s">
        <v>308</v>
      </c>
      <c r="C779" s="3" t="s">
        <v>308</v>
      </c>
      <c r="D779" s="3" t="s">
        <v>308</v>
      </c>
      <c r="E779" s="3" t="s">
        <v>308</v>
      </c>
      <c r="F779" s="3" t="s">
        <v>308</v>
      </c>
      <c r="G779" s="3" t="s">
        <v>308</v>
      </c>
      <c r="H779" s="4">
        <v>1.0</v>
      </c>
      <c r="I779" s="4">
        <v>1.0</v>
      </c>
      <c r="J779" s="3"/>
      <c r="K779" s="3" t="s">
        <v>2363</v>
      </c>
      <c r="L779" s="3" t="s">
        <v>2364</v>
      </c>
      <c r="M779" s="3" t="s">
        <v>22</v>
      </c>
      <c r="N779" s="5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14</v>
      </c>
      <c r="B780" s="3" t="s">
        <v>2365</v>
      </c>
      <c r="C780" s="3" t="s">
        <v>2366</v>
      </c>
      <c r="D780" s="3" t="s">
        <v>2367</v>
      </c>
      <c r="E780" s="3" t="s">
        <v>2368</v>
      </c>
      <c r="F780" s="3" t="s">
        <v>961</v>
      </c>
      <c r="G780" s="3" t="s">
        <v>420</v>
      </c>
      <c r="H780" s="4">
        <v>1.0</v>
      </c>
      <c r="I780" s="4">
        <v>1.0</v>
      </c>
      <c r="J780" s="3"/>
      <c r="K780" s="3" t="s">
        <v>2369</v>
      </c>
      <c r="L780" s="3" t="s">
        <v>2370</v>
      </c>
      <c r="M780" s="3" t="s">
        <v>22</v>
      </c>
      <c r="N780" s="5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 t="s">
        <v>14</v>
      </c>
      <c r="B781" s="3" t="s">
        <v>2365</v>
      </c>
      <c r="C781" s="3" t="s">
        <v>2366</v>
      </c>
      <c r="D781" s="3" t="s">
        <v>2367</v>
      </c>
      <c r="E781" s="3" t="s">
        <v>2368</v>
      </c>
      <c r="F781" s="3" t="s">
        <v>158</v>
      </c>
      <c r="G781" s="3" t="s">
        <v>610</v>
      </c>
      <c r="H781" s="4">
        <v>2.0</v>
      </c>
      <c r="I781" s="4">
        <v>2.0</v>
      </c>
      <c r="J781" s="3"/>
      <c r="K781" s="3" t="s">
        <v>2369</v>
      </c>
      <c r="L781" s="3" t="s">
        <v>2370</v>
      </c>
      <c r="M781" s="3" t="s">
        <v>22</v>
      </c>
      <c r="N781" s="5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14</v>
      </c>
      <c r="B782" s="3" t="s">
        <v>2371</v>
      </c>
      <c r="C782" s="3" t="s">
        <v>2372</v>
      </c>
      <c r="D782" s="3" t="s">
        <v>2373</v>
      </c>
      <c r="E782" s="3" t="s">
        <v>2374</v>
      </c>
      <c r="F782" s="3" t="s">
        <v>2375</v>
      </c>
      <c r="G782" s="3" t="s">
        <v>2376</v>
      </c>
      <c r="H782" s="4">
        <v>1.0</v>
      </c>
      <c r="I782" s="4">
        <v>1.0</v>
      </c>
      <c r="J782" s="3" t="s">
        <v>72</v>
      </c>
      <c r="K782" s="3" t="s">
        <v>2377</v>
      </c>
      <c r="L782" s="3" t="s">
        <v>2378</v>
      </c>
      <c r="M782" s="3" t="s">
        <v>22</v>
      </c>
      <c r="N782" s="5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14</v>
      </c>
      <c r="B783" s="3" t="s">
        <v>2371</v>
      </c>
      <c r="C783" s="3" t="s">
        <v>2372</v>
      </c>
      <c r="D783" s="3" t="s">
        <v>2373</v>
      </c>
      <c r="E783" s="3" t="s">
        <v>2374</v>
      </c>
      <c r="F783" s="3" t="s">
        <v>55</v>
      </c>
      <c r="G783" s="3" t="s">
        <v>784</v>
      </c>
      <c r="H783" s="4">
        <v>2.0</v>
      </c>
      <c r="I783" s="4">
        <v>2.0</v>
      </c>
      <c r="J783" s="3"/>
      <c r="K783" s="3" t="s">
        <v>2377</v>
      </c>
      <c r="L783" s="3" t="s">
        <v>2378</v>
      </c>
      <c r="M783" s="3" t="s">
        <v>22</v>
      </c>
      <c r="N783" s="5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14</v>
      </c>
      <c r="B784" s="3" t="s">
        <v>2379</v>
      </c>
      <c r="C784" s="3" t="s">
        <v>2372</v>
      </c>
      <c r="D784" s="3" t="s">
        <v>2380</v>
      </c>
      <c r="E784" s="3" t="s">
        <v>2374</v>
      </c>
      <c r="F784" s="3" t="s">
        <v>2381</v>
      </c>
      <c r="G784" s="3" t="s">
        <v>2376</v>
      </c>
      <c r="H784" s="4">
        <v>1.0</v>
      </c>
      <c r="I784" s="4">
        <v>1.0</v>
      </c>
      <c r="J784" s="3" t="s">
        <v>72</v>
      </c>
      <c r="K784" s="3" t="s">
        <v>2377</v>
      </c>
      <c r="L784" s="3" t="s">
        <v>2378</v>
      </c>
      <c r="M784" s="3" t="s">
        <v>22</v>
      </c>
      <c r="N784" s="5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14</v>
      </c>
      <c r="B785" s="3" t="s">
        <v>2379</v>
      </c>
      <c r="C785" s="3" t="s">
        <v>2372</v>
      </c>
      <c r="D785" s="3" t="s">
        <v>2380</v>
      </c>
      <c r="E785" s="3" t="s">
        <v>2374</v>
      </c>
      <c r="F785" s="3" t="s">
        <v>784</v>
      </c>
      <c r="G785" s="3" t="s">
        <v>784</v>
      </c>
      <c r="H785" s="4">
        <v>2.0</v>
      </c>
      <c r="I785" s="4">
        <v>2.0</v>
      </c>
      <c r="J785" s="3"/>
      <c r="K785" s="3" t="s">
        <v>2377</v>
      </c>
      <c r="L785" s="3" t="s">
        <v>2378</v>
      </c>
      <c r="M785" s="3" t="s">
        <v>22</v>
      </c>
      <c r="N785" s="5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14</v>
      </c>
      <c r="B786" s="3" t="s">
        <v>2382</v>
      </c>
      <c r="C786" s="3" t="s">
        <v>2382</v>
      </c>
      <c r="D786" s="3" t="s">
        <v>2383</v>
      </c>
      <c r="E786" s="3" t="s">
        <v>2383</v>
      </c>
      <c r="F786" s="3" t="s">
        <v>280</v>
      </c>
      <c r="G786" s="3" t="s">
        <v>280</v>
      </c>
      <c r="H786" s="4">
        <v>1.0</v>
      </c>
      <c r="I786" s="4">
        <v>1.0</v>
      </c>
      <c r="J786" s="3"/>
      <c r="K786" s="3" t="s">
        <v>2384</v>
      </c>
      <c r="L786" s="3" t="s">
        <v>2385</v>
      </c>
      <c r="M786" s="3" t="s">
        <v>22</v>
      </c>
      <c r="N786" s="5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 t="s">
        <v>14</v>
      </c>
      <c r="B787" s="3" t="s">
        <v>2382</v>
      </c>
      <c r="C787" s="3" t="s">
        <v>2382</v>
      </c>
      <c r="D787" s="3" t="s">
        <v>2383</v>
      </c>
      <c r="E787" s="3" t="s">
        <v>2383</v>
      </c>
      <c r="F787" s="3" t="s">
        <v>116</v>
      </c>
      <c r="G787" s="3" t="s">
        <v>116</v>
      </c>
      <c r="H787" s="4">
        <v>2.0</v>
      </c>
      <c r="I787" s="4">
        <v>2.0</v>
      </c>
      <c r="J787" s="3"/>
      <c r="K787" s="3" t="s">
        <v>2384</v>
      </c>
      <c r="L787" s="3" t="s">
        <v>2385</v>
      </c>
      <c r="M787" s="3" t="s">
        <v>22</v>
      </c>
      <c r="N787" s="5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14</v>
      </c>
      <c r="B788" s="3" t="s">
        <v>2386</v>
      </c>
      <c r="C788" s="3" t="s">
        <v>2387</v>
      </c>
      <c r="D788" s="3" t="s">
        <v>2386</v>
      </c>
      <c r="E788" s="3" t="s">
        <v>2387</v>
      </c>
      <c r="F788" s="3" t="s">
        <v>2386</v>
      </c>
      <c r="G788" s="3" t="s">
        <v>2387</v>
      </c>
      <c r="H788" s="4">
        <v>1.0</v>
      </c>
      <c r="I788" s="4">
        <v>1.0</v>
      </c>
      <c r="J788" s="3"/>
      <c r="K788" s="3" t="s">
        <v>2388</v>
      </c>
      <c r="L788" s="3" t="s">
        <v>2389</v>
      </c>
      <c r="M788" s="3" t="s">
        <v>22</v>
      </c>
      <c r="N788" s="5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 t="s">
        <v>14</v>
      </c>
      <c r="B789" s="3" t="s">
        <v>2390</v>
      </c>
      <c r="C789" s="3" t="s">
        <v>2391</v>
      </c>
      <c r="D789" s="3" t="s">
        <v>2392</v>
      </c>
      <c r="E789" s="3" t="s">
        <v>2393</v>
      </c>
      <c r="F789" s="3" t="s">
        <v>2124</v>
      </c>
      <c r="G789" s="3" t="s">
        <v>2394</v>
      </c>
      <c r="H789" s="4">
        <v>1.0</v>
      </c>
      <c r="I789" s="4">
        <v>1.0</v>
      </c>
      <c r="J789" s="3" t="s">
        <v>72</v>
      </c>
      <c r="K789" s="3" t="s">
        <v>2395</v>
      </c>
      <c r="L789" s="3" t="s">
        <v>2396</v>
      </c>
      <c r="M789" s="3" t="s">
        <v>22</v>
      </c>
      <c r="N789" s="5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14</v>
      </c>
      <c r="B790" s="3" t="s">
        <v>2390</v>
      </c>
      <c r="C790" s="3" t="s">
        <v>2391</v>
      </c>
      <c r="D790" s="3" t="s">
        <v>2392</v>
      </c>
      <c r="E790" s="3" t="s">
        <v>2393</v>
      </c>
      <c r="F790" s="3" t="s">
        <v>175</v>
      </c>
      <c r="G790" s="3" t="s">
        <v>175</v>
      </c>
      <c r="H790" s="4">
        <v>2.0</v>
      </c>
      <c r="I790" s="4">
        <v>2.0</v>
      </c>
      <c r="J790" s="3"/>
      <c r="K790" s="3" t="s">
        <v>2395</v>
      </c>
      <c r="L790" s="3" t="s">
        <v>2396</v>
      </c>
      <c r="M790" s="3" t="s">
        <v>22</v>
      </c>
      <c r="N790" s="5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 t="s">
        <v>14</v>
      </c>
      <c r="B791" s="3" t="s">
        <v>2397</v>
      </c>
      <c r="C791" s="3" t="s">
        <v>2398</v>
      </c>
      <c r="D791" s="3" t="s">
        <v>2399</v>
      </c>
      <c r="E791" s="3" t="s">
        <v>2400</v>
      </c>
      <c r="F791" s="3" t="s">
        <v>1919</v>
      </c>
      <c r="G791" s="3" t="s">
        <v>1599</v>
      </c>
      <c r="H791" s="4">
        <v>1.0</v>
      </c>
      <c r="I791" s="4">
        <v>1.0</v>
      </c>
      <c r="J791" s="3"/>
      <c r="K791" s="3" t="s">
        <v>2401</v>
      </c>
      <c r="L791" s="3" t="s">
        <v>2402</v>
      </c>
      <c r="M791" s="3" t="s">
        <v>22</v>
      </c>
      <c r="N791" s="5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14</v>
      </c>
      <c r="B792" s="3" t="s">
        <v>2397</v>
      </c>
      <c r="C792" s="3" t="s">
        <v>2398</v>
      </c>
      <c r="D792" s="3" t="s">
        <v>2399</v>
      </c>
      <c r="E792" s="3" t="s">
        <v>2400</v>
      </c>
      <c r="F792" s="3" t="s">
        <v>262</v>
      </c>
      <c r="G792" s="3" t="s">
        <v>1269</v>
      </c>
      <c r="H792" s="4">
        <v>2.0</v>
      </c>
      <c r="I792" s="4">
        <v>2.0</v>
      </c>
      <c r="J792" s="3"/>
      <c r="K792" s="3" t="s">
        <v>2401</v>
      </c>
      <c r="L792" s="3" t="s">
        <v>2402</v>
      </c>
      <c r="M792" s="3" t="s">
        <v>22</v>
      </c>
      <c r="N792" s="5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14</v>
      </c>
      <c r="B793" s="3" t="s">
        <v>2403</v>
      </c>
      <c r="C793" s="3" t="s">
        <v>2404</v>
      </c>
      <c r="D793" s="3" t="s">
        <v>2405</v>
      </c>
      <c r="E793" s="3" t="s">
        <v>2406</v>
      </c>
      <c r="F793" s="3" t="s">
        <v>1919</v>
      </c>
      <c r="G793" s="3" t="s">
        <v>1919</v>
      </c>
      <c r="H793" s="4">
        <v>1.0</v>
      </c>
      <c r="I793" s="4">
        <v>1.0</v>
      </c>
      <c r="J793" s="3"/>
      <c r="K793" s="3" t="s">
        <v>2407</v>
      </c>
      <c r="L793" s="3" t="s">
        <v>2408</v>
      </c>
      <c r="M793" s="3" t="s">
        <v>22</v>
      </c>
      <c r="N793" s="5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14</v>
      </c>
      <c r="B794" s="3" t="s">
        <v>2403</v>
      </c>
      <c r="C794" s="3" t="s">
        <v>2404</v>
      </c>
      <c r="D794" s="3" t="s">
        <v>2405</v>
      </c>
      <c r="E794" s="3" t="s">
        <v>2406</v>
      </c>
      <c r="F794" s="3" t="s">
        <v>419</v>
      </c>
      <c r="G794" s="3" t="s">
        <v>425</v>
      </c>
      <c r="H794" s="4">
        <v>2.0</v>
      </c>
      <c r="I794" s="4">
        <v>2.0</v>
      </c>
      <c r="J794" s="3"/>
      <c r="K794" s="3" t="s">
        <v>2407</v>
      </c>
      <c r="L794" s="3" t="s">
        <v>2408</v>
      </c>
      <c r="M794" s="3" t="s">
        <v>22</v>
      </c>
      <c r="N794" s="5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 t="s">
        <v>14</v>
      </c>
      <c r="B795" s="3" t="s">
        <v>2409</v>
      </c>
      <c r="C795" s="3" t="s">
        <v>2410</v>
      </c>
      <c r="D795" s="3" t="s">
        <v>2411</v>
      </c>
      <c r="E795" s="3" t="s">
        <v>2412</v>
      </c>
      <c r="F795" s="3" t="s">
        <v>2413</v>
      </c>
      <c r="G795" s="3" t="s">
        <v>2414</v>
      </c>
      <c r="H795" s="4">
        <v>1.0</v>
      </c>
      <c r="I795" s="4">
        <v>1.0</v>
      </c>
      <c r="J795" s="3"/>
      <c r="K795" s="3" t="s">
        <v>2415</v>
      </c>
      <c r="L795" s="3" t="s">
        <v>2416</v>
      </c>
      <c r="M795" s="3" t="s">
        <v>22</v>
      </c>
      <c r="N795" s="5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14</v>
      </c>
      <c r="B796" s="3" t="s">
        <v>2409</v>
      </c>
      <c r="C796" s="3" t="s">
        <v>2410</v>
      </c>
      <c r="D796" s="3" t="s">
        <v>2411</v>
      </c>
      <c r="E796" s="3" t="s">
        <v>2412</v>
      </c>
      <c r="F796" s="3" t="s">
        <v>233</v>
      </c>
      <c r="G796" s="3" t="s">
        <v>712</v>
      </c>
      <c r="H796" s="4">
        <v>2.0</v>
      </c>
      <c r="I796" s="4">
        <v>2.0</v>
      </c>
      <c r="J796" s="3"/>
      <c r="K796" s="3" t="s">
        <v>2415</v>
      </c>
      <c r="L796" s="3" t="s">
        <v>2416</v>
      </c>
      <c r="M796" s="3" t="s">
        <v>22</v>
      </c>
      <c r="N796" s="5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 t="s">
        <v>14</v>
      </c>
      <c r="B797" s="3" t="s">
        <v>2051</v>
      </c>
      <c r="C797" s="3" t="s">
        <v>2417</v>
      </c>
      <c r="D797" s="3" t="s">
        <v>2051</v>
      </c>
      <c r="E797" s="3" t="s">
        <v>2418</v>
      </c>
      <c r="F797" s="3" t="s">
        <v>2051</v>
      </c>
      <c r="G797" s="3" t="s">
        <v>987</v>
      </c>
      <c r="H797" s="4">
        <v>1.0</v>
      </c>
      <c r="I797" s="4">
        <v>1.0</v>
      </c>
      <c r="J797" s="3" t="s">
        <v>80</v>
      </c>
      <c r="K797" s="3" t="s">
        <v>2419</v>
      </c>
      <c r="L797" s="3" t="s">
        <v>2420</v>
      </c>
      <c r="M797" s="3" t="s">
        <v>22</v>
      </c>
      <c r="N797" s="5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14</v>
      </c>
      <c r="B798" s="3" t="s">
        <v>2051</v>
      </c>
      <c r="C798" s="3" t="s">
        <v>2417</v>
      </c>
      <c r="D798" s="3" t="s">
        <v>2051</v>
      </c>
      <c r="E798" s="3" t="s">
        <v>2418</v>
      </c>
      <c r="F798" s="3" t="s">
        <v>36</v>
      </c>
      <c r="G798" s="3" t="s">
        <v>2421</v>
      </c>
      <c r="H798" s="4" t="s">
        <v>36</v>
      </c>
      <c r="I798" s="4">
        <v>2.0</v>
      </c>
      <c r="J798" s="3"/>
      <c r="K798" s="3" t="s">
        <v>2419</v>
      </c>
      <c r="L798" s="3" t="s">
        <v>2420</v>
      </c>
      <c r="M798" s="3" t="s">
        <v>22</v>
      </c>
      <c r="N798" s="5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14</v>
      </c>
      <c r="B799" s="3" t="s">
        <v>2422</v>
      </c>
      <c r="C799" s="3" t="s">
        <v>2422</v>
      </c>
      <c r="D799" s="3" t="s">
        <v>2423</v>
      </c>
      <c r="E799" s="3" t="s">
        <v>2423</v>
      </c>
      <c r="F799" s="3" t="s">
        <v>2424</v>
      </c>
      <c r="G799" s="3" t="s">
        <v>2424</v>
      </c>
      <c r="H799" s="4">
        <v>1.0</v>
      </c>
      <c r="I799" s="4">
        <v>1.0</v>
      </c>
      <c r="J799" s="3"/>
      <c r="K799" s="3" t="s">
        <v>2425</v>
      </c>
      <c r="L799" s="3" t="s">
        <v>2426</v>
      </c>
      <c r="M799" s="3" t="s">
        <v>22</v>
      </c>
      <c r="N799" s="5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14</v>
      </c>
      <c r="B800" s="3" t="s">
        <v>2422</v>
      </c>
      <c r="C800" s="3" t="s">
        <v>2422</v>
      </c>
      <c r="D800" s="3" t="s">
        <v>2423</v>
      </c>
      <c r="E800" s="3" t="s">
        <v>2423</v>
      </c>
      <c r="F800" s="3" t="s">
        <v>387</v>
      </c>
      <c r="G800" s="3" t="s">
        <v>387</v>
      </c>
      <c r="H800" s="4">
        <v>2.0</v>
      </c>
      <c r="I800" s="4">
        <v>2.0</v>
      </c>
      <c r="J800" s="3"/>
      <c r="K800" s="3" t="s">
        <v>2425</v>
      </c>
      <c r="L800" s="3" t="s">
        <v>2426</v>
      </c>
      <c r="M800" s="3" t="s">
        <v>22</v>
      </c>
      <c r="N800" s="5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5" t="s">
        <v>14</v>
      </c>
      <c r="B801" s="15" t="s">
        <v>2427</v>
      </c>
      <c r="C801" s="15" t="s">
        <v>2428</v>
      </c>
      <c r="D801" s="15" t="s">
        <v>2429</v>
      </c>
      <c r="E801" s="15" t="s">
        <v>2430</v>
      </c>
      <c r="F801" s="15"/>
      <c r="G801" s="15"/>
      <c r="H801" s="18"/>
      <c r="I801" s="18"/>
      <c r="J801" s="15"/>
      <c r="K801" s="15" t="s">
        <v>2431</v>
      </c>
      <c r="L801" s="15" t="s">
        <v>2432</v>
      </c>
      <c r="M801" s="15" t="s">
        <v>22</v>
      </c>
      <c r="N801" s="15" t="s">
        <v>560</v>
      </c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3" t="s">
        <v>14</v>
      </c>
      <c r="B802" s="3" t="s">
        <v>2433</v>
      </c>
      <c r="C802" s="3" t="s">
        <v>2434</v>
      </c>
      <c r="D802" s="3" t="s">
        <v>2435</v>
      </c>
      <c r="E802" s="3" t="s">
        <v>2436</v>
      </c>
      <c r="F802" s="3" t="s">
        <v>361</v>
      </c>
      <c r="G802" s="3" t="s">
        <v>62</v>
      </c>
      <c r="H802" s="4">
        <v>1.0</v>
      </c>
      <c r="I802" s="4">
        <v>1.0</v>
      </c>
      <c r="J802" s="3" t="s">
        <v>80</v>
      </c>
      <c r="K802" s="3" t="s">
        <v>2437</v>
      </c>
      <c r="L802" s="3" t="s">
        <v>2438</v>
      </c>
      <c r="M802" s="3" t="s">
        <v>22</v>
      </c>
      <c r="N802" s="5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14</v>
      </c>
      <c r="B803" s="3" t="s">
        <v>2433</v>
      </c>
      <c r="C803" s="3" t="s">
        <v>2434</v>
      </c>
      <c r="D803" s="3" t="s">
        <v>2435</v>
      </c>
      <c r="E803" s="3" t="s">
        <v>2436</v>
      </c>
      <c r="F803" s="3" t="s">
        <v>36</v>
      </c>
      <c r="G803" s="3" t="s">
        <v>115</v>
      </c>
      <c r="H803" s="4" t="s">
        <v>36</v>
      </c>
      <c r="I803" s="4">
        <v>2.0</v>
      </c>
      <c r="J803" s="3"/>
      <c r="K803" s="3" t="s">
        <v>2437</v>
      </c>
      <c r="L803" s="3" t="s">
        <v>2438</v>
      </c>
      <c r="M803" s="3" t="s">
        <v>22</v>
      </c>
      <c r="N803" s="5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14</v>
      </c>
      <c r="B804" s="3" t="s">
        <v>2433</v>
      </c>
      <c r="C804" s="3" t="s">
        <v>2434</v>
      </c>
      <c r="D804" s="3" t="s">
        <v>2435</v>
      </c>
      <c r="E804" s="3" t="s">
        <v>2436</v>
      </c>
      <c r="F804" s="3" t="s">
        <v>784</v>
      </c>
      <c r="G804" s="3" t="s">
        <v>784</v>
      </c>
      <c r="H804" s="4">
        <v>2.0</v>
      </c>
      <c r="I804" s="4">
        <v>3.0</v>
      </c>
      <c r="J804" s="3"/>
      <c r="K804" s="3" t="s">
        <v>2437</v>
      </c>
      <c r="L804" s="3" t="s">
        <v>2438</v>
      </c>
      <c r="M804" s="3" t="s">
        <v>22</v>
      </c>
      <c r="N804" s="5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5" t="s">
        <v>14</v>
      </c>
      <c r="B805" s="15" t="s">
        <v>2439</v>
      </c>
      <c r="C805" s="15" t="s">
        <v>2440</v>
      </c>
      <c r="D805" s="15" t="s">
        <v>2441</v>
      </c>
      <c r="E805" s="15" t="s">
        <v>2442</v>
      </c>
      <c r="F805" s="15" t="s">
        <v>2443</v>
      </c>
      <c r="G805" s="15" t="s">
        <v>394</v>
      </c>
      <c r="H805" s="18">
        <v>1.0</v>
      </c>
      <c r="I805" s="18">
        <v>1.0</v>
      </c>
      <c r="J805" s="15" t="s">
        <v>80</v>
      </c>
      <c r="K805" s="15" t="s">
        <v>2444</v>
      </c>
      <c r="L805" s="15" t="s">
        <v>2445</v>
      </c>
      <c r="M805" s="15" t="s">
        <v>22</v>
      </c>
      <c r="N805" s="20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5" t="s">
        <v>14</v>
      </c>
      <c r="B806" s="15" t="s">
        <v>2439</v>
      </c>
      <c r="C806" s="15" t="s">
        <v>2440</v>
      </c>
      <c r="D806" s="15" t="s">
        <v>2441</v>
      </c>
      <c r="E806" s="15" t="s">
        <v>2442</v>
      </c>
      <c r="F806" s="15" t="s">
        <v>2443</v>
      </c>
      <c r="G806" s="15" t="s">
        <v>62</v>
      </c>
      <c r="H806" s="18">
        <v>2.0</v>
      </c>
      <c r="I806" s="18">
        <v>2.0</v>
      </c>
      <c r="J806" s="15"/>
      <c r="K806" s="15" t="s">
        <v>2444</v>
      </c>
      <c r="L806" s="15" t="s">
        <v>2445</v>
      </c>
      <c r="M806" s="15" t="s">
        <v>22</v>
      </c>
      <c r="N806" s="20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5" t="s">
        <v>14</v>
      </c>
      <c r="B807" s="15" t="s">
        <v>2439</v>
      </c>
      <c r="C807" s="15" t="s">
        <v>2440</v>
      </c>
      <c r="D807" s="15" t="s">
        <v>2441</v>
      </c>
      <c r="E807" s="15" t="s">
        <v>2442</v>
      </c>
      <c r="F807" s="15" t="s">
        <v>1118</v>
      </c>
      <c r="G807" s="15" t="s">
        <v>36</v>
      </c>
      <c r="H807" s="18">
        <v>3.0</v>
      </c>
      <c r="I807" s="18" t="s">
        <v>36</v>
      </c>
      <c r="J807" s="15"/>
      <c r="K807" s="15" t="s">
        <v>2444</v>
      </c>
      <c r="L807" s="15" t="s">
        <v>2445</v>
      </c>
      <c r="M807" s="15" t="s">
        <v>22</v>
      </c>
      <c r="N807" s="20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5" t="s">
        <v>14</v>
      </c>
      <c r="B808" s="15" t="s">
        <v>2439</v>
      </c>
      <c r="C808" s="15" t="s">
        <v>2440</v>
      </c>
      <c r="D808" s="15" t="s">
        <v>2441</v>
      </c>
      <c r="E808" s="15" t="s">
        <v>2442</v>
      </c>
      <c r="F808" s="15" t="s">
        <v>387</v>
      </c>
      <c r="G808" s="15" t="s">
        <v>387</v>
      </c>
      <c r="H808" s="18">
        <v>4.0</v>
      </c>
      <c r="I808" s="18">
        <v>3.0</v>
      </c>
      <c r="J808" s="15"/>
      <c r="K808" s="15" t="s">
        <v>2444</v>
      </c>
      <c r="L808" s="15" t="s">
        <v>2445</v>
      </c>
      <c r="M808" s="15" t="s">
        <v>22</v>
      </c>
      <c r="N808" s="20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5" t="s">
        <v>14</v>
      </c>
      <c r="B809" s="15" t="s">
        <v>2446</v>
      </c>
      <c r="C809" s="15" t="s">
        <v>684</v>
      </c>
      <c r="D809" s="15" t="s">
        <v>2447</v>
      </c>
      <c r="E809" s="15" t="s">
        <v>686</v>
      </c>
      <c r="F809" s="15"/>
      <c r="G809" s="15"/>
      <c r="H809" s="18"/>
      <c r="I809" s="18"/>
      <c r="J809" s="15"/>
      <c r="K809" s="15" t="s">
        <v>687</v>
      </c>
      <c r="L809" s="15" t="s">
        <v>2448</v>
      </c>
      <c r="M809" s="15" t="s">
        <v>22</v>
      </c>
      <c r="N809" s="15" t="s">
        <v>560</v>
      </c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3" t="s">
        <v>14</v>
      </c>
      <c r="B810" s="3" t="s">
        <v>2449</v>
      </c>
      <c r="C810" s="3" t="s">
        <v>2450</v>
      </c>
      <c r="D810" s="3" t="s">
        <v>2451</v>
      </c>
      <c r="E810" s="3" t="s">
        <v>2452</v>
      </c>
      <c r="F810" s="3" t="s">
        <v>2453</v>
      </c>
      <c r="G810" s="3" t="s">
        <v>2453</v>
      </c>
      <c r="H810" s="4">
        <v>1.0</v>
      </c>
      <c r="I810" s="4">
        <v>1.0</v>
      </c>
      <c r="J810" s="3"/>
      <c r="K810" s="3" t="s">
        <v>2454</v>
      </c>
      <c r="L810" s="3" t="s">
        <v>2455</v>
      </c>
      <c r="M810" s="3" t="s">
        <v>22</v>
      </c>
      <c r="N810" s="5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 t="s">
        <v>14</v>
      </c>
      <c r="B811" s="3" t="s">
        <v>2449</v>
      </c>
      <c r="C811" s="3" t="s">
        <v>2450</v>
      </c>
      <c r="D811" s="3" t="s">
        <v>2451</v>
      </c>
      <c r="E811" s="3" t="s">
        <v>2452</v>
      </c>
      <c r="F811" s="3" t="s">
        <v>370</v>
      </c>
      <c r="G811" s="3" t="s">
        <v>369</v>
      </c>
      <c r="H811" s="4">
        <v>2.0</v>
      </c>
      <c r="I811" s="4">
        <v>2.0</v>
      </c>
      <c r="J811" s="3"/>
      <c r="K811" s="3" t="s">
        <v>2454</v>
      </c>
      <c r="L811" s="3" t="s">
        <v>2455</v>
      </c>
      <c r="M811" s="3" t="s">
        <v>22</v>
      </c>
      <c r="N811" s="5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14</v>
      </c>
      <c r="B812" s="3" t="s">
        <v>2456</v>
      </c>
      <c r="C812" s="3" t="s">
        <v>2457</v>
      </c>
      <c r="D812" s="3" t="s">
        <v>2458</v>
      </c>
      <c r="E812" s="3" t="s">
        <v>2459</v>
      </c>
      <c r="F812" s="3" t="s">
        <v>2453</v>
      </c>
      <c r="G812" s="3" t="s">
        <v>143</v>
      </c>
      <c r="H812" s="4">
        <v>1.0</v>
      </c>
      <c r="I812" s="4">
        <v>1.0</v>
      </c>
      <c r="J812" s="3" t="s">
        <v>72</v>
      </c>
      <c r="K812" s="3" t="s">
        <v>2460</v>
      </c>
      <c r="L812" s="3" t="s">
        <v>2461</v>
      </c>
      <c r="M812" s="3" t="s">
        <v>22</v>
      </c>
      <c r="N812" s="5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14</v>
      </c>
      <c r="B813" s="3" t="s">
        <v>2456</v>
      </c>
      <c r="C813" s="3" t="s">
        <v>2457</v>
      </c>
      <c r="D813" s="3" t="s">
        <v>2458</v>
      </c>
      <c r="E813" s="3" t="s">
        <v>2459</v>
      </c>
      <c r="F813" s="3" t="s">
        <v>1868</v>
      </c>
      <c r="G813" s="3" t="s">
        <v>1868</v>
      </c>
      <c r="H813" s="4">
        <v>2.0</v>
      </c>
      <c r="I813" s="4">
        <v>2.0</v>
      </c>
      <c r="J813" s="3"/>
      <c r="K813" s="3" t="s">
        <v>2460</v>
      </c>
      <c r="L813" s="3" t="s">
        <v>2461</v>
      </c>
      <c r="M813" s="3" t="s">
        <v>22</v>
      </c>
      <c r="N813" s="5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14</v>
      </c>
      <c r="B814" s="3" t="s">
        <v>2456</v>
      </c>
      <c r="C814" s="3" t="s">
        <v>2457</v>
      </c>
      <c r="D814" s="3" t="s">
        <v>2458</v>
      </c>
      <c r="E814" s="3" t="s">
        <v>2459</v>
      </c>
      <c r="F814" s="3" t="s">
        <v>784</v>
      </c>
      <c r="G814" s="3" t="s">
        <v>784</v>
      </c>
      <c r="H814" s="4">
        <v>3.0</v>
      </c>
      <c r="I814" s="4">
        <v>3.0</v>
      </c>
      <c r="J814" s="3"/>
      <c r="K814" s="3" t="s">
        <v>2460</v>
      </c>
      <c r="L814" s="3" t="s">
        <v>2461</v>
      </c>
      <c r="M814" s="3" t="s">
        <v>22</v>
      </c>
      <c r="N814" s="5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14</v>
      </c>
      <c r="B815" s="3" t="s">
        <v>2462</v>
      </c>
      <c r="C815" s="3" t="s">
        <v>2463</v>
      </c>
      <c r="D815" s="3" t="s">
        <v>2464</v>
      </c>
      <c r="E815" s="3" t="s">
        <v>2465</v>
      </c>
      <c r="F815" s="3" t="s">
        <v>2466</v>
      </c>
      <c r="G815" s="3" t="s">
        <v>172</v>
      </c>
      <c r="H815" s="4">
        <v>1.0</v>
      </c>
      <c r="I815" s="4">
        <v>1.0</v>
      </c>
      <c r="J815" s="3" t="s">
        <v>80</v>
      </c>
      <c r="K815" s="3" t="s">
        <v>2467</v>
      </c>
      <c r="L815" s="3" t="s">
        <v>2468</v>
      </c>
      <c r="M815" s="3" t="s">
        <v>22</v>
      </c>
      <c r="N815" s="5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14</v>
      </c>
      <c r="B816" s="3" t="s">
        <v>2462</v>
      </c>
      <c r="C816" s="3" t="s">
        <v>2463</v>
      </c>
      <c r="D816" s="3" t="s">
        <v>2464</v>
      </c>
      <c r="E816" s="3" t="s">
        <v>2465</v>
      </c>
      <c r="F816" s="3" t="s">
        <v>36</v>
      </c>
      <c r="G816" s="3" t="s">
        <v>2061</v>
      </c>
      <c r="H816" s="4" t="s">
        <v>36</v>
      </c>
      <c r="I816" s="4">
        <v>2.0</v>
      </c>
      <c r="J816" s="3"/>
      <c r="K816" s="3" t="s">
        <v>2467</v>
      </c>
      <c r="L816" s="3" t="s">
        <v>2468</v>
      </c>
      <c r="M816" s="3" t="s">
        <v>22</v>
      </c>
      <c r="N816" s="5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14</v>
      </c>
      <c r="B817" s="3" t="s">
        <v>2462</v>
      </c>
      <c r="C817" s="3" t="s">
        <v>2463</v>
      </c>
      <c r="D817" s="3" t="s">
        <v>2464</v>
      </c>
      <c r="E817" s="3" t="s">
        <v>2465</v>
      </c>
      <c r="F817" s="3" t="s">
        <v>784</v>
      </c>
      <c r="G817" s="3" t="s">
        <v>784</v>
      </c>
      <c r="H817" s="4">
        <v>2.0</v>
      </c>
      <c r="I817" s="4">
        <v>3.0</v>
      </c>
      <c r="J817" s="3"/>
      <c r="K817" s="3" t="s">
        <v>2467</v>
      </c>
      <c r="L817" s="3" t="s">
        <v>2468</v>
      </c>
      <c r="M817" s="3" t="s">
        <v>22</v>
      </c>
      <c r="N817" s="5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14</v>
      </c>
      <c r="B818" s="3" t="s">
        <v>2469</v>
      </c>
      <c r="C818" s="3" t="s">
        <v>2470</v>
      </c>
      <c r="D818" s="3" t="s">
        <v>2471</v>
      </c>
      <c r="E818" s="3" t="s">
        <v>2472</v>
      </c>
      <c r="F818" s="3" t="s">
        <v>128</v>
      </c>
      <c r="G818" s="17" t="s">
        <v>36</v>
      </c>
      <c r="H818" s="4">
        <v>1.0</v>
      </c>
      <c r="I818" s="4" t="s">
        <v>36</v>
      </c>
      <c r="J818" s="3"/>
      <c r="K818" s="3" t="s">
        <v>2473</v>
      </c>
      <c r="L818" s="3" t="s">
        <v>2474</v>
      </c>
      <c r="M818" s="3" t="s">
        <v>22</v>
      </c>
      <c r="N818" s="5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 t="s">
        <v>14</v>
      </c>
      <c r="B819" s="3" t="s">
        <v>2469</v>
      </c>
      <c r="C819" s="3" t="s">
        <v>2470</v>
      </c>
      <c r="D819" s="3" t="s">
        <v>2471</v>
      </c>
      <c r="E819" s="3" t="s">
        <v>2472</v>
      </c>
      <c r="F819" s="3" t="s">
        <v>878</v>
      </c>
      <c r="G819" s="3" t="s">
        <v>2475</v>
      </c>
      <c r="H819" s="4">
        <v>2.0</v>
      </c>
      <c r="I819" s="4">
        <v>1.0</v>
      </c>
      <c r="J819" s="3"/>
      <c r="K819" s="3" t="s">
        <v>2473</v>
      </c>
      <c r="L819" s="3" t="s">
        <v>2474</v>
      </c>
      <c r="M819" s="3" t="s">
        <v>22</v>
      </c>
      <c r="N819" s="5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 t="s">
        <v>14</v>
      </c>
      <c r="B820" s="3" t="s">
        <v>2469</v>
      </c>
      <c r="C820" s="3" t="s">
        <v>2470</v>
      </c>
      <c r="D820" s="3" t="s">
        <v>2471</v>
      </c>
      <c r="E820" s="3" t="s">
        <v>2472</v>
      </c>
      <c r="F820" s="3" t="s">
        <v>2227</v>
      </c>
      <c r="G820" s="3" t="s">
        <v>387</v>
      </c>
      <c r="H820" s="4">
        <v>3.0</v>
      </c>
      <c r="I820" s="4">
        <v>2.0</v>
      </c>
      <c r="J820" s="3"/>
      <c r="K820" s="3" t="s">
        <v>2473</v>
      </c>
      <c r="L820" s="3" t="s">
        <v>2474</v>
      </c>
      <c r="M820" s="3" t="s">
        <v>22</v>
      </c>
      <c r="N820" s="5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 t="s">
        <v>14</v>
      </c>
      <c r="B821" s="3" t="s">
        <v>2476</v>
      </c>
      <c r="C821" s="3" t="s">
        <v>2476</v>
      </c>
      <c r="D821" s="3" t="s">
        <v>2477</v>
      </c>
      <c r="E821" s="3" t="s">
        <v>2477</v>
      </c>
      <c r="F821" s="3" t="s">
        <v>2478</v>
      </c>
      <c r="G821" s="3" t="s">
        <v>2478</v>
      </c>
      <c r="H821" s="4">
        <v>1.0</v>
      </c>
      <c r="I821" s="4">
        <v>1.0</v>
      </c>
      <c r="J821" s="3"/>
      <c r="K821" s="3" t="s">
        <v>2479</v>
      </c>
      <c r="L821" s="3" t="s">
        <v>2480</v>
      </c>
      <c r="M821" s="3" t="s">
        <v>22</v>
      </c>
      <c r="N821" s="5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14</v>
      </c>
      <c r="B822" s="3" t="s">
        <v>2476</v>
      </c>
      <c r="C822" s="3" t="s">
        <v>2476</v>
      </c>
      <c r="D822" s="3" t="s">
        <v>2477</v>
      </c>
      <c r="E822" s="3" t="s">
        <v>2477</v>
      </c>
      <c r="F822" s="3" t="s">
        <v>23</v>
      </c>
      <c r="G822" s="3" t="s">
        <v>23</v>
      </c>
      <c r="H822" s="4">
        <v>2.0</v>
      </c>
      <c r="I822" s="4">
        <v>2.0</v>
      </c>
      <c r="J822" s="3"/>
      <c r="K822" s="3" t="s">
        <v>2479</v>
      </c>
      <c r="L822" s="3" t="s">
        <v>2480</v>
      </c>
      <c r="M822" s="3" t="s">
        <v>22</v>
      </c>
      <c r="N822" s="5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14</v>
      </c>
      <c r="B823" s="3" t="s">
        <v>2481</v>
      </c>
      <c r="C823" s="3" t="s">
        <v>2482</v>
      </c>
      <c r="D823" s="3" t="s">
        <v>2483</v>
      </c>
      <c r="E823" s="3" t="s">
        <v>2484</v>
      </c>
      <c r="F823" s="3" t="s">
        <v>1146</v>
      </c>
      <c r="G823" s="3" t="s">
        <v>2485</v>
      </c>
      <c r="H823" s="4">
        <v>1.0</v>
      </c>
      <c r="I823" s="4">
        <v>1.0</v>
      </c>
      <c r="J823" s="3"/>
      <c r="K823" s="3" t="s">
        <v>2486</v>
      </c>
      <c r="L823" s="3" t="s">
        <v>2487</v>
      </c>
      <c r="M823" s="3" t="s">
        <v>22</v>
      </c>
      <c r="N823" s="5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14</v>
      </c>
      <c r="B824" s="3" t="s">
        <v>2481</v>
      </c>
      <c r="C824" s="3" t="s">
        <v>2482</v>
      </c>
      <c r="D824" s="3" t="s">
        <v>2483</v>
      </c>
      <c r="E824" s="3" t="s">
        <v>2484</v>
      </c>
      <c r="F824" s="3" t="s">
        <v>425</v>
      </c>
      <c r="G824" s="3" t="s">
        <v>425</v>
      </c>
      <c r="H824" s="4">
        <v>2.0</v>
      </c>
      <c r="I824" s="4">
        <v>2.0</v>
      </c>
      <c r="J824" s="3"/>
      <c r="K824" s="3" t="s">
        <v>2486</v>
      </c>
      <c r="L824" s="3" t="s">
        <v>2487</v>
      </c>
      <c r="M824" s="3" t="s">
        <v>22</v>
      </c>
      <c r="N824" s="5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 t="s">
        <v>14</v>
      </c>
      <c r="B825" s="3" t="s">
        <v>2488</v>
      </c>
      <c r="C825" s="3" t="s">
        <v>2489</v>
      </c>
      <c r="D825" s="3" t="s">
        <v>2490</v>
      </c>
      <c r="E825" s="3" t="s">
        <v>2491</v>
      </c>
      <c r="F825" s="3" t="s">
        <v>2492</v>
      </c>
      <c r="G825" s="3" t="s">
        <v>2493</v>
      </c>
      <c r="H825" s="4">
        <v>1.0</v>
      </c>
      <c r="I825" s="4">
        <v>1.0</v>
      </c>
      <c r="J825" s="3"/>
      <c r="K825" s="3" t="s">
        <v>2494</v>
      </c>
      <c r="L825" s="3" t="s">
        <v>2495</v>
      </c>
      <c r="M825" s="3" t="s">
        <v>22</v>
      </c>
      <c r="N825" s="5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14</v>
      </c>
      <c r="B826" s="3" t="s">
        <v>2488</v>
      </c>
      <c r="C826" s="3" t="s">
        <v>2489</v>
      </c>
      <c r="D826" s="3" t="s">
        <v>2490</v>
      </c>
      <c r="E826" s="3" t="s">
        <v>2491</v>
      </c>
      <c r="F826" s="3" t="s">
        <v>425</v>
      </c>
      <c r="G826" s="3" t="s">
        <v>425</v>
      </c>
      <c r="H826" s="4">
        <v>2.0</v>
      </c>
      <c r="I826" s="4">
        <v>2.0</v>
      </c>
      <c r="J826" s="3"/>
      <c r="K826" s="3" t="s">
        <v>2494</v>
      </c>
      <c r="L826" s="3" t="s">
        <v>2495</v>
      </c>
      <c r="M826" s="3" t="s">
        <v>22</v>
      </c>
      <c r="N826" s="5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 t="s">
        <v>14</v>
      </c>
      <c r="B827" s="3" t="s">
        <v>2496</v>
      </c>
      <c r="C827" s="3" t="s">
        <v>2497</v>
      </c>
      <c r="D827" s="3" t="s">
        <v>2498</v>
      </c>
      <c r="E827" s="3" t="s">
        <v>2499</v>
      </c>
      <c r="F827" s="3" t="s">
        <v>2500</v>
      </c>
      <c r="G827" s="3" t="s">
        <v>2501</v>
      </c>
      <c r="H827" s="4">
        <v>1.0</v>
      </c>
      <c r="I827" s="4">
        <v>1.0</v>
      </c>
      <c r="J827" s="3"/>
      <c r="K827" s="3" t="s">
        <v>2502</v>
      </c>
      <c r="L827" s="3" t="s">
        <v>2503</v>
      </c>
      <c r="M827" s="3" t="s">
        <v>22</v>
      </c>
      <c r="N827" s="5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14</v>
      </c>
      <c r="B828" s="3" t="s">
        <v>2496</v>
      </c>
      <c r="C828" s="3" t="s">
        <v>2497</v>
      </c>
      <c r="D828" s="3" t="s">
        <v>2498</v>
      </c>
      <c r="E828" s="3" t="s">
        <v>2499</v>
      </c>
      <c r="F828" s="3" t="s">
        <v>55</v>
      </c>
      <c r="G828" s="3" t="s">
        <v>56</v>
      </c>
      <c r="H828" s="4">
        <v>2.0</v>
      </c>
      <c r="I828" s="4">
        <v>2.0</v>
      </c>
      <c r="J828" s="3"/>
      <c r="K828" s="3" t="s">
        <v>2502</v>
      </c>
      <c r="L828" s="3" t="s">
        <v>2503</v>
      </c>
      <c r="M828" s="3" t="s">
        <v>22</v>
      </c>
      <c r="N828" s="5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 t="s">
        <v>14</v>
      </c>
      <c r="B829" s="3" t="s">
        <v>2504</v>
      </c>
      <c r="C829" s="3" t="s">
        <v>2505</v>
      </c>
      <c r="D829" s="3" t="s">
        <v>2506</v>
      </c>
      <c r="E829" s="3" t="s">
        <v>2507</v>
      </c>
      <c r="F829" s="3" t="s">
        <v>128</v>
      </c>
      <c r="G829" s="17" t="s">
        <v>36</v>
      </c>
      <c r="H829" s="4">
        <v>1.0</v>
      </c>
      <c r="I829" s="4" t="s">
        <v>36</v>
      </c>
      <c r="J829" s="3"/>
      <c r="K829" s="3" t="s">
        <v>2508</v>
      </c>
      <c r="L829" s="3" t="s">
        <v>2509</v>
      </c>
      <c r="M829" s="3" t="s">
        <v>22</v>
      </c>
      <c r="N829" s="5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 t="s">
        <v>14</v>
      </c>
      <c r="B830" s="3" t="s">
        <v>2504</v>
      </c>
      <c r="C830" s="3" t="s">
        <v>2505</v>
      </c>
      <c r="D830" s="3" t="s">
        <v>2506</v>
      </c>
      <c r="E830" s="3" t="s">
        <v>2507</v>
      </c>
      <c r="F830" s="3" t="s">
        <v>1855</v>
      </c>
      <c r="G830" s="3" t="s">
        <v>1855</v>
      </c>
      <c r="H830" s="4">
        <v>2.0</v>
      </c>
      <c r="I830" s="4">
        <v>1.0</v>
      </c>
      <c r="J830" s="3"/>
      <c r="K830" s="3" t="s">
        <v>2508</v>
      </c>
      <c r="L830" s="3" t="s">
        <v>2509</v>
      </c>
      <c r="M830" s="3" t="s">
        <v>22</v>
      </c>
      <c r="N830" s="5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 t="s">
        <v>14</v>
      </c>
      <c r="B831" s="3" t="s">
        <v>2504</v>
      </c>
      <c r="C831" s="3" t="s">
        <v>2505</v>
      </c>
      <c r="D831" s="3" t="s">
        <v>2506</v>
      </c>
      <c r="E831" s="3" t="s">
        <v>2507</v>
      </c>
      <c r="F831" s="3" t="s">
        <v>387</v>
      </c>
      <c r="G831" s="3" t="s">
        <v>387</v>
      </c>
      <c r="H831" s="4">
        <v>3.0</v>
      </c>
      <c r="I831" s="4">
        <v>2.0</v>
      </c>
      <c r="J831" s="3"/>
      <c r="K831" s="3" t="s">
        <v>2508</v>
      </c>
      <c r="L831" s="3" t="s">
        <v>2509</v>
      </c>
      <c r="M831" s="3" t="s">
        <v>22</v>
      </c>
      <c r="N831" s="5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5" t="s">
        <v>14</v>
      </c>
      <c r="B832" s="15" t="s">
        <v>2510</v>
      </c>
      <c r="C832" s="15" t="s">
        <v>2511</v>
      </c>
      <c r="D832" s="15" t="s">
        <v>2512</v>
      </c>
      <c r="E832" s="15" t="s">
        <v>2513</v>
      </c>
      <c r="F832" s="15" t="s">
        <v>128</v>
      </c>
      <c r="G832" s="15" t="s">
        <v>36</v>
      </c>
      <c r="H832" s="18">
        <v>1.0</v>
      </c>
      <c r="I832" s="18" t="s">
        <v>36</v>
      </c>
      <c r="J832" s="15"/>
      <c r="K832" s="15" t="s">
        <v>2514</v>
      </c>
      <c r="L832" s="15" t="s">
        <v>2515</v>
      </c>
      <c r="M832" s="15" t="s">
        <v>22</v>
      </c>
      <c r="N832" s="20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5" t="s">
        <v>14</v>
      </c>
      <c r="B833" s="15" t="s">
        <v>2510</v>
      </c>
      <c r="C833" s="15" t="s">
        <v>2511</v>
      </c>
      <c r="D833" s="15" t="s">
        <v>2512</v>
      </c>
      <c r="E833" s="15" t="s">
        <v>2513</v>
      </c>
      <c r="F833" s="15" t="s">
        <v>629</v>
      </c>
      <c r="G833" s="15" t="s">
        <v>629</v>
      </c>
      <c r="H833" s="18">
        <v>2.0</v>
      </c>
      <c r="I833" s="18">
        <v>1.0</v>
      </c>
      <c r="J833" s="15"/>
      <c r="K833" s="15" t="s">
        <v>2514</v>
      </c>
      <c r="L833" s="15" t="s">
        <v>2515</v>
      </c>
      <c r="M833" s="15" t="s">
        <v>22</v>
      </c>
      <c r="N833" s="20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5" t="s">
        <v>14</v>
      </c>
      <c r="B834" s="15" t="s">
        <v>2510</v>
      </c>
      <c r="C834" s="15" t="s">
        <v>2511</v>
      </c>
      <c r="D834" s="15" t="s">
        <v>2512</v>
      </c>
      <c r="E834" s="15" t="s">
        <v>2513</v>
      </c>
      <c r="F834" s="15" t="s">
        <v>98</v>
      </c>
      <c r="G834" s="15" t="s">
        <v>98</v>
      </c>
      <c r="H834" s="18">
        <v>3.0</v>
      </c>
      <c r="I834" s="18">
        <v>2.0</v>
      </c>
      <c r="J834" s="15"/>
      <c r="K834" s="15" t="s">
        <v>2514</v>
      </c>
      <c r="L834" s="15" t="s">
        <v>2515</v>
      </c>
      <c r="M834" s="15" t="s">
        <v>22</v>
      </c>
      <c r="N834" s="20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5" t="s">
        <v>14</v>
      </c>
      <c r="B835" s="15" t="s">
        <v>2516</v>
      </c>
      <c r="C835" s="15" t="s">
        <v>2457</v>
      </c>
      <c r="D835" s="15" t="s">
        <v>2517</v>
      </c>
      <c r="E835" s="15" t="s">
        <v>2459</v>
      </c>
      <c r="F835" s="15"/>
      <c r="G835" s="15"/>
      <c r="H835" s="18"/>
      <c r="I835" s="18"/>
      <c r="J835" s="15"/>
      <c r="K835" s="15" t="s">
        <v>2460</v>
      </c>
      <c r="L835" s="15" t="s">
        <v>2461</v>
      </c>
      <c r="M835" s="15" t="s">
        <v>22</v>
      </c>
      <c r="N835" s="15" t="s">
        <v>560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3" t="s">
        <v>14</v>
      </c>
      <c r="B836" s="3" t="s">
        <v>2518</v>
      </c>
      <c r="C836" s="3" t="s">
        <v>2519</v>
      </c>
      <c r="D836" s="3" t="s">
        <v>2520</v>
      </c>
      <c r="E836" s="3" t="s">
        <v>2521</v>
      </c>
      <c r="F836" s="3" t="s">
        <v>353</v>
      </c>
      <c r="G836" s="3" t="s">
        <v>2522</v>
      </c>
      <c r="H836" s="4">
        <v>1.0</v>
      </c>
      <c r="I836" s="4">
        <v>1.0</v>
      </c>
      <c r="J836" s="3"/>
      <c r="K836" s="3" t="s">
        <v>2523</v>
      </c>
      <c r="L836" s="3" t="s">
        <v>74</v>
      </c>
      <c r="M836" s="3" t="s">
        <v>22</v>
      </c>
      <c r="N836" s="5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 t="s">
        <v>14</v>
      </c>
      <c r="B837" s="3" t="s">
        <v>2518</v>
      </c>
      <c r="C837" s="3" t="s">
        <v>2519</v>
      </c>
      <c r="D837" s="3" t="s">
        <v>2520</v>
      </c>
      <c r="E837" s="3" t="s">
        <v>2521</v>
      </c>
      <c r="F837" s="3" t="s">
        <v>2227</v>
      </c>
      <c r="G837" s="3" t="s">
        <v>101</v>
      </c>
      <c r="H837" s="4">
        <v>2.0</v>
      </c>
      <c r="I837" s="4">
        <v>2.0</v>
      </c>
      <c r="J837" s="3"/>
      <c r="K837" s="3" t="s">
        <v>2523</v>
      </c>
      <c r="L837" s="3" t="s">
        <v>74</v>
      </c>
      <c r="M837" s="3" t="s">
        <v>22</v>
      </c>
      <c r="N837" s="5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5" t="s">
        <v>14</v>
      </c>
      <c r="B838" s="15" t="s">
        <v>2524</v>
      </c>
      <c r="C838" s="15" t="s">
        <v>2525</v>
      </c>
      <c r="D838" s="15" t="s">
        <v>2526</v>
      </c>
      <c r="E838" s="15" t="s">
        <v>2527</v>
      </c>
      <c r="F838" s="15" t="s">
        <v>108</v>
      </c>
      <c r="G838" s="15" t="s">
        <v>175</v>
      </c>
      <c r="H838" s="18">
        <v>1.0</v>
      </c>
      <c r="I838" s="18">
        <v>1.0</v>
      </c>
      <c r="J838" s="15"/>
      <c r="K838" s="15" t="s">
        <v>2528</v>
      </c>
      <c r="L838" s="15" t="s">
        <v>2529</v>
      </c>
      <c r="M838" s="15" t="s">
        <v>22</v>
      </c>
      <c r="N838" s="20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5" t="s">
        <v>14</v>
      </c>
      <c r="B839" s="15" t="s">
        <v>2524</v>
      </c>
      <c r="C839" s="15" t="s">
        <v>2525</v>
      </c>
      <c r="D839" s="15" t="s">
        <v>2526</v>
      </c>
      <c r="E839" s="15" t="s">
        <v>2527</v>
      </c>
      <c r="F839" s="15" t="s">
        <v>690</v>
      </c>
      <c r="G839" s="15" t="s">
        <v>690</v>
      </c>
      <c r="H839" s="18">
        <v>2.0</v>
      </c>
      <c r="I839" s="18">
        <v>2.0</v>
      </c>
      <c r="J839" s="15"/>
      <c r="K839" s="15" t="s">
        <v>2528</v>
      </c>
      <c r="L839" s="15" t="s">
        <v>2529</v>
      </c>
      <c r="M839" s="15" t="s">
        <v>22</v>
      </c>
      <c r="N839" s="20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5" t="s">
        <v>14</v>
      </c>
      <c r="B840" s="15" t="s">
        <v>2530</v>
      </c>
      <c r="C840" s="15" t="s">
        <v>2531</v>
      </c>
      <c r="D840" s="15" t="s">
        <v>2532</v>
      </c>
      <c r="E840" s="15" t="s">
        <v>2533</v>
      </c>
      <c r="F840" s="15"/>
      <c r="G840" s="15"/>
      <c r="H840" s="18"/>
      <c r="I840" s="18"/>
      <c r="J840" s="15"/>
      <c r="K840" s="15" t="s">
        <v>2534</v>
      </c>
      <c r="L840" s="15" t="s">
        <v>2529</v>
      </c>
      <c r="M840" s="15" t="s">
        <v>22</v>
      </c>
      <c r="N840" s="15" t="s">
        <v>560</v>
      </c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3" t="s">
        <v>14</v>
      </c>
      <c r="B841" s="3" t="s">
        <v>2535</v>
      </c>
      <c r="C841" s="3" t="s">
        <v>2536</v>
      </c>
      <c r="D841" s="3" t="s">
        <v>2537</v>
      </c>
      <c r="E841" s="3" t="s">
        <v>2538</v>
      </c>
      <c r="F841" s="3" t="s">
        <v>425</v>
      </c>
      <c r="G841" s="3" t="s">
        <v>1393</v>
      </c>
      <c r="H841" s="4">
        <v>1.0</v>
      </c>
      <c r="I841" s="4">
        <v>1.0</v>
      </c>
      <c r="J841" s="3"/>
      <c r="K841" s="3" t="s">
        <v>2539</v>
      </c>
      <c r="L841" s="3" t="s">
        <v>2540</v>
      </c>
      <c r="M841" s="3" t="s">
        <v>22</v>
      </c>
      <c r="N841" s="5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14</v>
      </c>
      <c r="B842" s="3" t="s">
        <v>2535</v>
      </c>
      <c r="C842" s="3" t="s">
        <v>2536</v>
      </c>
      <c r="D842" s="3" t="s">
        <v>2537</v>
      </c>
      <c r="E842" s="3" t="s">
        <v>2538</v>
      </c>
      <c r="F842" s="3" t="s">
        <v>1396</v>
      </c>
      <c r="G842" s="3" t="s">
        <v>1396</v>
      </c>
      <c r="H842" s="4">
        <v>2.0</v>
      </c>
      <c r="I842" s="4">
        <v>2.0</v>
      </c>
      <c r="J842" s="3"/>
      <c r="K842" s="3" t="s">
        <v>2539</v>
      </c>
      <c r="L842" s="3" t="s">
        <v>2540</v>
      </c>
      <c r="M842" s="3" t="s">
        <v>22</v>
      </c>
      <c r="N842" s="5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 t="s">
        <v>14</v>
      </c>
      <c r="B843" s="3" t="s">
        <v>2535</v>
      </c>
      <c r="C843" s="3" t="s">
        <v>2536</v>
      </c>
      <c r="D843" s="3" t="s">
        <v>2537</v>
      </c>
      <c r="E843" s="3" t="s">
        <v>2538</v>
      </c>
      <c r="F843" s="3" t="s">
        <v>387</v>
      </c>
      <c r="G843" s="3" t="s">
        <v>387</v>
      </c>
      <c r="H843" s="4">
        <v>3.0</v>
      </c>
      <c r="I843" s="4">
        <v>3.0</v>
      </c>
      <c r="J843" s="3"/>
      <c r="K843" s="3" t="s">
        <v>2539</v>
      </c>
      <c r="L843" s="3" t="s">
        <v>2540</v>
      </c>
      <c r="M843" s="3" t="s">
        <v>22</v>
      </c>
      <c r="N843" s="5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14</v>
      </c>
      <c r="B844" s="3" t="s">
        <v>2541</v>
      </c>
      <c r="C844" s="3" t="s">
        <v>2542</v>
      </c>
      <c r="D844" s="3" t="s">
        <v>2543</v>
      </c>
      <c r="E844" s="3" t="s">
        <v>2544</v>
      </c>
      <c r="F844" s="3" t="s">
        <v>961</v>
      </c>
      <c r="G844" s="3" t="s">
        <v>2545</v>
      </c>
      <c r="H844" s="4">
        <v>1.0</v>
      </c>
      <c r="I844" s="4">
        <v>1.0</v>
      </c>
      <c r="J844" s="3"/>
      <c r="K844" s="3" t="s">
        <v>2546</v>
      </c>
      <c r="L844" s="3" t="s">
        <v>2547</v>
      </c>
      <c r="M844" s="3" t="s">
        <v>22</v>
      </c>
      <c r="N844" s="5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 t="s">
        <v>14</v>
      </c>
      <c r="B845" s="3" t="s">
        <v>2541</v>
      </c>
      <c r="C845" s="3" t="s">
        <v>2542</v>
      </c>
      <c r="D845" s="3" t="s">
        <v>2543</v>
      </c>
      <c r="E845" s="3" t="s">
        <v>2544</v>
      </c>
      <c r="F845" s="3" t="s">
        <v>784</v>
      </c>
      <c r="G845" s="3" t="s">
        <v>784</v>
      </c>
      <c r="H845" s="4">
        <v>2.0</v>
      </c>
      <c r="I845" s="4">
        <v>2.0</v>
      </c>
      <c r="J845" s="3"/>
      <c r="K845" s="3" t="s">
        <v>2546</v>
      </c>
      <c r="L845" s="3" t="s">
        <v>2547</v>
      </c>
      <c r="M845" s="3" t="s">
        <v>22</v>
      </c>
      <c r="N845" s="5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14</v>
      </c>
      <c r="B846" s="3" t="s">
        <v>2548</v>
      </c>
      <c r="C846" s="3" t="s">
        <v>2549</v>
      </c>
      <c r="D846" s="3" t="s">
        <v>2550</v>
      </c>
      <c r="E846" s="3" t="s">
        <v>2549</v>
      </c>
      <c r="F846" s="3" t="s">
        <v>128</v>
      </c>
      <c r="G846" s="17" t="s">
        <v>36</v>
      </c>
      <c r="H846" s="4">
        <v>1.0</v>
      </c>
      <c r="I846" s="4" t="s">
        <v>36</v>
      </c>
      <c r="J846" s="3"/>
      <c r="K846" s="3" t="s">
        <v>2551</v>
      </c>
      <c r="L846" s="3" t="s">
        <v>2552</v>
      </c>
      <c r="M846" s="3" t="s">
        <v>22</v>
      </c>
      <c r="N846" s="5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 t="s">
        <v>14</v>
      </c>
      <c r="B847" s="3" t="s">
        <v>2548</v>
      </c>
      <c r="C847" s="3" t="s">
        <v>2549</v>
      </c>
      <c r="D847" s="3" t="s">
        <v>2550</v>
      </c>
      <c r="E847" s="3" t="s">
        <v>2549</v>
      </c>
      <c r="F847" s="3" t="s">
        <v>425</v>
      </c>
      <c r="G847" s="3" t="s">
        <v>2549</v>
      </c>
      <c r="H847" s="4">
        <v>2.0</v>
      </c>
      <c r="I847" s="4">
        <v>1.0</v>
      </c>
      <c r="J847" s="3"/>
      <c r="K847" s="3" t="s">
        <v>2551</v>
      </c>
      <c r="L847" s="3" t="s">
        <v>2552</v>
      </c>
      <c r="M847" s="3" t="s">
        <v>22</v>
      </c>
      <c r="N847" s="5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14</v>
      </c>
      <c r="B848" s="3" t="s">
        <v>2548</v>
      </c>
      <c r="C848" s="3" t="s">
        <v>2549</v>
      </c>
      <c r="D848" s="3" t="s">
        <v>2550</v>
      </c>
      <c r="E848" s="3" t="s">
        <v>2549</v>
      </c>
      <c r="F848" s="3" t="s">
        <v>2553</v>
      </c>
      <c r="G848" s="3" t="s">
        <v>36</v>
      </c>
      <c r="H848" s="4">
        <v>3.0</v>
      </c>
      <c r="I848" s="4" t="s">
        <v>36</v>
      </c>
      <c r="J848" s="3"/>
      <c r="K848" s="3" t="s">
        <v>2551</v>
      </c>
      <c r="L848" s="3" t="s">
        <v>2552</v>
      </c>
      <c r="M848" s="3" t="s">
        <v>22</v>
      </c>
      <c r="N848" s="5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 t="s">
        <v>14</v>
      </c>
      <c r="B849" s="3" t="s">
        <v>2554</v>
      </c>
      <c r="C849" s="3" t="s">
        <v>2555</v>
      </c>
      <c r="D849" s="3" t="s">
        <v>2556</v>
      </c>
      <c r="E849" s="3" t="s">
        <v>2557</v>
      </c>
      <c r="F849" s="3" t="s">
        <v>128</v>
      </c>
      <c r="G849" s="3" t="s">
        <v>301</v>
      </c>
      <c r="H849" s="4">
        <v>1.0</v>
      </c>
      <c r="I849" s="4">
        <v>1.0</v>
      </c>
      <c r="J849" s="3"/>
      <c r="K849" s="3" t="s">
        <v>2558</v>
      </c>
      <c r="L849" s="3" t="s">
        <v>2559</v>
      </c>
      <c r="M849" s="3" t="s">
        <v>22</v>
      </c>
      <c r="N849" s="5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14</v>
      </c>
      <c r="B850" s="3" t="s">
        <v>2554</v>
      </c>
      <c r="C850" s="3" t="s">
        <v>2555</v>
      </c>
      <c r="D850" s="3" t="s">
        <v>2556</v>
      </c>
      <c r="E850" s="3" t="s">
        <v>2557</v>
      </c>
      <c r="F850" s="3" t="s">
        <v>425</v>
      </c>
      <c r="G850" s="3" t="s">
        <v>961</v>
      </c>
      <c r="H850" s="4">
        <v>2.0</v>
      </c>
      <c r="I850" s="4">
        <v>2.0</v>
      </c>
      <c r="J850" s="3"/>
      <c r="K850" s="3" t="s">
        <v>2558</v>
      </c>
      <c r="L850" s="3" t="s">
        <v>2559</v>
      </c>
      <c r="M850" s="3" t="s">
        <v>22</v>
      </c>
      <c r="N850" s="5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14</v>
      </c>
      <c r="B851" s="3" t="s">
        <v>2554</v>
      </c>
      <c r="C851" s="3" t="s">
        <v>2555</v>
      </c>
      <c r="D851" s="3" t="s">
        <v>2556</v>
      </c>
      <c r="E851" s="3" t="s">
        <v>2557</v>
      </c>
      <c r="F851" s="3" t="s">
        <v>2553</v>
      </c>
      <c r="G851" s="3" t="s">
        <v>1983</v>
      </c>
      <c r="H851" s="4">
        <v>3.0</v>
      </c>
      <c r="I851" s="4">
        <v>3.0</v>
      </c>
      <c r="J851" s="3"/>
      <c r="K851" s="3" t="s">
        <v>2558</v>
      </c>
      <c r="L851" s="3" t="s">
        <v>2559</v>
      </c>
      <c r="M851" s="3" t="s">
        <v>22</v>
      </c>
      <c r="N851" s="5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14</v>
      </c>
      <c r="B852" s="3" t="s">
        <v>2560</v>
      </c>
      <c r="C852" s="3" t="s">
        <v>2561</v>
      </c>
      <c r="D852" s="3" t="s">
        <v>2562</v>
      </c>
      <c r="E852" s="3" t="s">
        <v>2562</v>
      </c>
      <c r="F852" s="3" t="s">
        <v>443</v>
      </c>
      <c r="G852" s="3" t="s">
        <v>443</v>
      </c>
      <c r="H852" s="4">
        <v>1.0</v>
      </c>
      <c r="I852" s="4">
        <v>1.0</v>
      </c>
      <c r="J852" s="3"/>
      <c r="K852" s="3" t="s">
        <v>2563</v>
      </c>
      <c r="L852" s="3" t="s">
        <v>2564</v>
      </c>
      <c r="M852" s="3" t="s">
        <v>22</v>
      </c>
      <c r="N852" s="5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14</v>
      </c>
      <c r="B853" s="3" t="s">
        <v>2560</v>
      </c>
      <c r="C853" s="3" t="s">
        <v>2561</v>
      </c>
      <c r="D853" s="3" t="s">
        <v>2562</v>
      </c>
      <c r="E853" s="3" t="s">
        <v>2562</v>
      </c>
      <c r="F853" s="3" t="s">
        <v>437</v>
      </c>
      <c r="G853" s="3" t="s">
        <v>437</v>
      </c>
      <c r="H853" s="4">
        <v>2.0</v>
      </c>
      <c r="I853" s="4">
        <v>2.0</v>
      </c>
      <c r="J853" s="3"/>
      <c r="K853" s="3" t="s">
        <v>2563</v>
      </c>
      <c r="L853" s="3" t="s">
        <v>2564</v>
      </c>
      <c r="M853" s="3" t="s">
        <v>22</v>
      </c>
      <c r="N853" s="5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14</v>
      </c>
      <c r="B854" s="3" t="s">
        <v>2565</v>
      </c>
      <c r="C854" s="3" t="s">
        <v>2566</v>
      </c>
      <c r="D854" s="3" t="s">
        <v>2567</v>
      </c>
      <c r="E854" s="3" t="s">
        <v>2568</v>
      </c>
      <c r="F854" s="3" t="s">
        <v>2569</v>
      </c>
      <c r="G854" s="3" t="s">
        <v>2570</v>
      </c>
      <c r="H854" s="4">
        <v>1.0</v>
      </c>
      <c r="I854" s="4">
        <v>1.0</v>
      </c>
      <c r="J854" s="3"/>
      <c r="K854" s="3" t="s">
        <v>2571</v>
      </c>
      <c r="L854" s="3" t="s">
        <v>2572</v>
      </c>
      <c r="M854" s="3" t="s">
        <v>22</v>
      </c>
      <c r="N854" s="5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14</v>
      </c>
      <c r="B855" s="3" t="s">
        <v>2565</v>
      </c>
      <c r="C855" s="3" t="s">
        <v>2566</v>
      </c>
      <c r="D855" s="3" t="s">
        <v>2567</v>
      </c>
      <c r="E855" s="3" t="s">
        <v>2568</v>
      </c>
      <c r="F855" s="3" t="s">
        <v>2573</v>
      </c>
      <c r="G855" s="3" t="s">
        <v>784</v>
      </c>
      <c r="H855" s="4">
        <v>2.0</v>
      </c>
      <c r="I855" s="4">
        <v>2.0</v>
      </c>
      <c r="J855" s="3"/>
      <c r="K855" s="3" t="s">
        <v>2571</v>
      </c>
      <c r="L855" s="3" t="s">
        <v>2572</v>
      </c>
      <c r="M855" s="3" t="s">
        <v>22</v>
      </c>
      <c r="N855" s="5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 t="s">
        <v>14</v>
      </c>
      <c r="B856" s="3" t="s">
        <v>2574</v>
      </c>
      <c r="C856" s="3" t="s">
        <v>2575</v>
      </c>
      <c r="D856" s="3" t="s">
        <v>2576</v>
      </c>
      <c r="E856" s="3" t="s">
        <v>2577</v>
      </c>
      <c r="F856" s="3" t="s">
        <v>451</v>
      </c>
      <c r="G856" s="3" t="s">
        <v>451</v>
      </c>
      <c r="H856" s="4">
        <v>1.0</v>
      </c>
      <c r="I856" s="4">
        <v>1.0</v>
      </c>
      <c r="J856" s="3"/>
      <c r="K856" s="3" t="s">
        <v>2578</v>
      </c>
      <c r="L856" s="3" t="s">
        <v>2579</v>
      </c>
      <c r="M856" s="3" t="s">
        <v>22</v>
      </c>
      <c r="N856" s="5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 t="s">
        <v>14</v>
      </c>
      <c r="B857" s="3" t="s">
        <v>2574</v>
      </c>
      <c r="C857" s="3" t="s">
        <v>2575</v>
      </c>
      <c r="D857" s="3" t="s">
        <v>2576</v>
      </c>
      <c r="E857" s="3" t="s">
        <v>2577</v>
      </c>
      <c r="F857" s="3" t="s">
        <v>98</v>
      </c>
      <c r="G857" s="3" t="s">
        <v>2580</v>
      </c>
      <c r="H857" s="4">
        <v>2.0</v>
      </c>
      <c r="I857" s="4">
        <v>2.0</v>
      </c>
      <c r="J857" s="3"/>
      <c r="K857" s="3" t="s">
        <v>2578</v>
      </c>
      <c r="L857" s="3" t="s">
        <v>2579</v>
      </c>
      <c r="M857" s="3" t="s">
        <v>22</v>
      </c>
      <c r="N857" s="5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14</v>
      </c>
      <c r="B858" s="3" t="s">
        <v>2581</v>
      </c>
      <c r="C858" s="3" t="s">
        <v>2582</v>
      </c>
      <c r="D858" s="3" t="s">
        <v>2583</v>
      </c>
      <c r="E858" s="3" t="s">
        <v>2584</v>
      </c>
      <c r="F858" s="3" t="s">
        <v>157</v>
      </c>
      <c r="G858" s="3" t="s">
        <v>158</v>
      </c>
      <c r="H858" s="4">
        <v>1.0</v>
      </c>
      <c r="I858" s="4">
        <v>1.0</v>
      </c>
      <c r="J858" s="3" t="s">
        <v>72</v>
      </c>
      <c r="K858" s="3" t="s">
        <v>2585</v>
      </c>
      <c r="L858" s="3" t="s">
        <v>2474</v>
      </c>
      <c r="M858" s="3" t="s">
        <v>22</v>
      </c>
      <c r="N858" s="5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14</v>
      </c>
      <c r="B859" s="3" t="s">
        <v>2581</v>
      </c>
      <c r="C859" s="3" t="s">
        <v>2582</v>
      </c>
      <c r="D859" s="3" t="s">
        <v>2583</v>
      </c>
      <c r="E859" s="3" t="s">
        <v>2584</v>
      </c>
      <c r="F859" s="3" t="s">
        <v>2105</v>
      </c>
      <c r="G859" s="3" t="s">
        <v>2132</v>
      </c>
      <c r="H859" s="4">
        <v>2.0</v>
      </c>
      <c r="I859" s="4">
        <v>2.0</v>
      </c>
      <c r="J859" s="3"/>
      <c r="K859" s="3" t="s">
        <v>2585</v>
      </c>
      <c r="L859" s="3" t="s">
        <v>2474</v>
      </c>
      <c r="M859" s="3" t="s">
        <v>22</v>
      </c>
      <c r="N859" s="5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14</v>
      </c>
      <c r="B860" s="3" t="s">
        <v>2581</v>
      </c>
      <c r="C860" s="3" t="s">
        <v>2582</v>
      </c>
      <c r="D860" s="3" t="s">
        <v>2583</v>
      </c>
      <c r="E860" s="3" t="s">
        <v>2584</v>
      </c>
      <c r="F860" s="3" t="s">
        <v>419</v>
      </c>
      <c r="G860" s="3" t="s">
        <v>425</v>
      </c>
      <c r="H860" s="4">
        <v>3.0</v>
      </c>
      <c r="I860" s="4">
        <v>3.0</v>
      </c>
      <c r="J860" s="3"/>
      <c r="K860" s="3" t="s">
        <v>2585</v>
      </c>
      <c r="L860" s="3" t="s">
        <v>2474</v>
      </c>
      <c r="M860" s="3" t="s">
        <v>22</v>
      </c>
      <c r="N860" s="5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 t="s">
        <v>14</v>
      </c>
      <c r="B861" s="3" t="s">
        <v>2586</v>
      </c>
      <c r="C861" s="3" t="s">
        <v>2586</v>
      </c>
      <c r="D861" s="3" t="s">
        <v>2587</v>
      </c>
      <c r="E861" s="3" t="s">
        <v>2587</v>
      </c>
      <c r="F861" s="3" t="s">
        <v>162</v>
      </c>
      <c r="G861" s="3" t="s">
        <v>162</v>
      </c>
      <c r="H861" s="4">
        <v>1.0</v>
      </c>
      <c r="I861" s="4">
        <v>1.0</v>
      </c>
      <c r="J861" s="3"/>
      <c r="K861" s="3" t="s">
        <v>2588</v>
      </c>
      <c r="L861" s="3" t="s">
        <v>2589</v>
      </c>
      <c r="M861" s="3" t="s">
        <v>22</v>
      </c>
      <c r="N861" s="5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 t="s">
        <v>14</v>
      </c>
      <c r="B862" s="3" t="s">
        <v>2586</v>
      </c>
      <c r="C862" s="3" t="s">
        <v>2586</v>
      </c>
      <c r="D862" s="3" t="s">
        <v>2587</v>
      </c>
      <c r="E862" s="3" t="s">
        <v>2587</v>
      </c>
      <c r="F862" s="3" t="s">
        <v>362</v>
      </c>
      <c r="G862" s="3" t="s">
        <v>362</v>
      </c>
      <c r="H862" s="4">
        <v>2.0</v>
      </c>
      <c r="I862" s="4">
        <v>2.0</v>
      </c>
      <c r="J862" s="3"/>
      <c r="K862" s="3" t="s">
        <v>2588</v>
      </c>
      <c r="L862" s="3" t="s">
        <v>2589</v>
      </c>
      <c r="M862" s="3" t="s">
        <v>22</v>
      </c>
      <c r="N862" s="5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 t="s">
        <v>14</v>
      </c>
      <c r="B863" s="3" t="s">
        <v>2590</v>
      </c>
      <c r="C863" s="3" t="s">
        <v>2591</v>
      </c>
      <c r="D863" s="3" t="s">
        <v>2590</v>
      </c>
      <c r="E863" s="3" t="s">
        <v>2592</v>
      </c>
      <c r="F863" s="3" t="s">
        <v>2590</v>
      </c>
      <c r="G863" s="3" t="s">
        <v>739</v>
      </c>
      <c r="H863" s="4">
        <v>1.0</v>
      </c>
      <c r="I863" s="4">
        <v>1.0</v>
      </c>
      <c r="J863" s="3" t="s">
        <v>80</v>
      </c>
      <c r="K863" s="3" t="s">
        <v>2593</v>
      </c>
      <c r="L863" s="3" t="s">
        <v>2594</v>
      </c>
      <c r="M863" s="3" t="s">
        <v>22</v>
      </c>
      <c r="N863" s="5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14</v>
      </c>
      <c r="B864" s="3" t="s">
        <v>2590</v>
      </c>
      <c r="C864" s="3" t="s">
        <v>2591</v>
      </c>
      <c r="D864" s="3" t="s">
        <v>2590</v>
      </c>
      <c r="E864" s="3" t="s">
        <v>2592</v>
      </c>
      <c r="F864" s="3" t="s">
        <v>36</v>
      </c>
      <c r="G864" s="3" t="s">
        <v>2595</v>
      </c>
      <c r="H864" s="4" t="s">
        <v>36</v>
      </c>
      <c r="I864" s="4">
        <v>2.0</v>
      </c>
      <c r="J864" s="3"/>
      <c r="K864" s="3" t="s">
        <v>2593</v>
      </c>
      <c r="L864" s="3" t="s">
        <v>2594</v>
      </c>
      <c r="M864" s="3" t="s">
        <v>22</v>
      </c>
      <c r="N864" s="5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 t="s">
        <v>14</v>
      </c>
      <c r="B865" s="3" t="s">
        <v>2596</v>
      </c>
      <c r="C865" s="3" t="s">
        <v>2597</v>
      </c>
      <c r="D865" s="3" t="s">
        <v>2598</v>
      </c>
      <c r="E865" s="3" t="s">
        <v>2599</v>
      </c>
      <c r="F865" s="3" t="s">
        <v>2600</v>
      </c>
      <c r="G865" s="3" t="s">
        <v>202</v>
      </c>
      <c r="H865" s="4">
        <v>1.0</v>
      </c>
      <c r="I865" s="4">
        <v>1.0</v>
      </c>
      <c r="J865" s="3"/>
      <c r="K865" s="3" t="s">
        <v>2601</v>
      </c>
      <c r="L865" s="3" t="s">
        <v>2602</v>
      </c>
      <c r="M865" s="3" t="s">
        <v>22</v>
      </c>
      <c r="N865" s="5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 t="s">
        <v>14</v>
      </c>
      <c r="B866" s="3" t="s">
        <v>2596</v>
      </c>
      <c r="C866" s="3" t="s">
        <v>2597</v>
      </c>
      <c r="D866" s="3" t="s">
        <v>2598</v>
      </c>
      <c r="E866" s="3" t="s">
        <v>2599</v>
      </c>
      <c r="F866" s="3" t="s">
        <v>197</v>
      </c>
      <c r="G866" s="3" t="s">
        <v>503</v>
      </c>
      <c r="H866" s="4">
        <v>2.0</v>
      </c>
      <c r="I866" s="4">
        <v>2.0</v>
      </c>
      <c r="J866" s="3"/>
      <c r="K866" s="3" t="s">
        <v>2601</v>
      </c>
      <c r="L866" s="3" t="s">
        <v>2602</v>
      </c>
      <c r="M866" s="3" t="s">
        <v>22</v>
      </c>
      <c r="N866" s="5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 t="s">
        <v>14</v>
      </c>
      <c r="B867" s="3" t="s">
        <v>2603</v>
      </c>
      <c r="C867" s="3" t="s">
        <v>2604</v>
      </c>
      <c r="D867" s="3" t="s">
        <v>2605</v>
      </c>
      <c r="E867" s="3" t="s">
        <v>2606</v>
      </c>
      <c r="F867" s="3" t="s">
        <v>2607</v>
      </c>
      <c r="G867" s="3" t="s">
        <v>610</v>
      </c>
      <c r="H867" s="4">
        <v>1.0</v>
      </c>
      <c r="I867" s="4">
        <v>1.0</v>
      </c>
      <c r="J867" s="3" t="s">
        <v>80</v>
      </c>
      <c r="K867" s="3" t="s">
        <v>2608</v>
      </c>
      <c r="L867" s="3" t="s">
        <v>2609</v>
      </c>
      <c r="M867" s="3" t="s">
        <v>22</v>
      </c>
      <c r="N867" s="5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 t="s">
        <v>14</v>
      </c>
      <c r="B868" s="3" t="s">
        <v>2603</v>
      </c>
      <c r="C868" s="3" t="s">
        <v>2604</v>
      </c>
      <c r="D868" s="3" t="s">
        <v>2605</v>
      </c>
      <c r="E868" s="3" t="s">
        <v>2606</v>
      </c>
      <c r="F868" s="3" t="s">
        <v>36</v>
      </c>
      <c r="G868" s="3" t="s">
        <v>2610</v>
      </c>
      <c r="H868" s="4" t="s">
        <v>36</v>
      </c>
      <c r="I868" s="4">
        <v>2.0</v>
      </c>
      <c r="J868" s="3"/>
      <c r="K868" s="3" t="s">
        <v>2608</v>
      </c>
      <c r="L868" s="3" t="s">
        <v>2609</v>
      </c>
      <c r="M868" s="3" t="s">
        <v>22</v>
      </c>
      <c r="N868" s="5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 t="s">
        <v>14</v>
      </c>
      <c r="B869" s="3" t="s">
        <v>2603</v>
      </c>
      <c r="C869" s="3" t="s">
        <v>2604</v>
      </c>
      <c r="D869" s="3" t="s">
        <v>2605</v>
      </c>
      <c r="E869" s="3" t="s">
        <v>2606</v>
      </c>
      <c r="F869" s="3" t="s">
        <v>387</v>
      </c>
      <c r="G869" s="3" t="s">
        <v>387</v>
      </c>
      <c r="H869" s="4">
        <v>2.0</v>
      </c>
      <c r="I869" s="4">
        <v>3.0</v>
      </c>
      <c r="J869" s="3"/>
      <c r="K869" s="3" t="s">
        <v>2608</v>
      </c>
      <c r="L869" s="3" t="s">
        <v>2609</v>
      </c>
      <c r="M869" s="3" t="s">
        <v>22</v>
      </c>
      <c r="N869" s="5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14</v>
      </c>
      <c r="B870" s="3" t="s">
        <v>2611</v>
      </c>
      <c r="C870" s="3" t="s">
        <v>2612</v>
      </c>
      <c r="D870" s="3" t="s">
        <v>2613</v>
      </c>
      <c r="E870" s="3" t="s">
        <v>2614</v>
      </c>
      <c r="F870" s="3" t="s">
        <v>202</v>
      </c>
      <c r="G870" s="3" t="s">
        <v>202</v>
      </c>
      <c r="H870" s="4">
        <v>1.0</v>
      </c>
      <c r="I870" s="4">
        <v>1.0</v>
      </c>
      <c r="J870" s="3"/>
      <c r="K870" s="3" t="s">
        <v>2615</v>
      </c>
      <c r="L870" s="3" t="s">
        <v>2616</v>
      </c>
      <c r="M870" s="3" t="s">
        <v>22</v>
      </c>
      <c r="N870" s="5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 t="s">
        <v>14</v>
      </c>
      <c r="B871" s="3" t="s">
        <v>2611</v>
      </c>
      <c r="C871" s="3" t="s">
        <v>2612</v>
      </c>
      <c r="D871" s="3" t="s">
        <v>2613</v>
      </c>
      <c r="E871" s="3" t="s">
        <v>2614</v>
      </c>
      <c r="F871" s="3" t="s">
        <v>1982</v>
      </c>
      <c r="G871" s="3" t="s">
        <v>1983</v>
      </c>
      <c r="H871" s="4">
        <v>2.0</v>
      </c>
      <c r="I871" s="4">
        <v>2.0</v>
      </c>
      <c r="J871" s="3"/>
      <c r="K871" s="3" t="s">
        <v>2615</v>
      </c>
      <c r="L871" s="3" t="s">
        <v>2616</v>
      </c>
      <c r="M871" s="3" t="s">
        <v>22</v>
      </c>
      <c r="N871" s="5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 t="s">
        <v>14</v>
      </c>
      <c r="B872" s="3" t="s">
        <v>2617</v>
      </c>
      <c r="C872" s="3" t="s">
        <v>2617</v>
      </c>
      <c r="D872" s="3" t="s">
        <v>2618</v>
      </c>
      <c r="E872" s="3" t="s">
        <v>2618</v>
      </c>
      <c r="F872" s="3" t="s">
        <v>549</v>
      </c>
      <c r="G872" s="3" t="s">
        <v>549</v>
      </c>
      <c r="H872" s="4">
        <v>1.0</v>
      </c>
      <c r="I872" s="4">
        <v>1.0</v>
      </c>
      <c r="J872" s="3"/>
      <c r="K872" s="3" t="s">
        <v>2619</v>
      </c>
      <c r="L872" s="3" t="s">
        <v>2620</v>
      </c>
      <c r="M872" s="3" t="s">
        <v>22</v>
      </c>
      <c r="N872" s="5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 t="s">
        <v>14</v>
      </c>
      <c r="B873" s="3" t="s">
        <v>2617</v>
      </c>
      <c r="C873" s="3" t="s">
        <v>2617</v>
      </c>
      <c r="D873" s="3" t="s">
        <v>2618</v>
      </c>
      <c r="E873" s="3" t="s">
        <v>2618</v>
      </c>
      <c r="F873" s="3" t="s">
        <v>387</v>
      </c>
      <c r="G873" s="3" t="s">
        <v>387</v>
      </c>
      <c r="H873" s="4">
        <v>2.0</v>
      </c>
      <c r="I873" s="4">
        <v>2.0</v>
      </c>
      <c r="J873" s="3"/>
      <c r="K873" s="3" t="s">
        <v>2619</v>
      </c>
      <c r="L873" s="3" t="s">
        <v>2620</v>
      </c>
      <c r="M873" s="3" t="s">
        <v>22</v>
      </c>
      <c r="N873" s="5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 t="s">
        <v>14</v>
      </c>
      <c r="B874" s="3" t="s">
        <v>2621</v>
      </c>
      <c r="C874" s="3" t="s">
        <v>2622</v>
      </c>
      <c r="D874" s="3" t="s">
        <v>2623</v>
      </c>
      <c r="E874" s="3" t="s">
        <v>2624</v>
      </c>
      <c r="F874" s="17" t="s">
        <v>36</v>
      </c>
      <c r="G874" s="3" t="s">
        <v>287</v>
      </c>
      <c r="H874" s="4" t="s">
        <v>36</v>
      </c>
      <c r="I874" s="4">
        <v>1.0</v>
      </c>
      <c r="J874" s="3" t="s">
        <v>80</v>
      </c>
      <c r="K874" s="3" t="s">
        <v>2625</v>
      </c>
      <c r="L874" s="3" t="s">
        <v>2626</v>
      </c>
      <c r="M874" s="3" t="s">
        <v>22</v>
      </c>
      <c r="N874" s="5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 t="s">
        <v>14</v>
      </c>
      <c r="B875" s="3" t="s">
        <v>2621</v>
      </c>
      <c r="C875" s="3" t="s">
        <v>2622</v>
      </c>
      <c r="D875" s="3" t="s">
        <v>2623</v>
      </c>
      <c r="E875" s="3" t="s">
        <v>2624</v>
      </c>
      <c r="F875" s="3" t="s">
        <v>133</v>
      </c>
      <c r="G875" s="3" t="s">
        <v>134</v>
      </c>
      <c r="H875" s="4">
        <v>1.0</v>
      </c>
      <c r="I875" s="4">
        <v>2.0</v>
      </c>
      <c r="J875" s="3"/>
      <c r="K875" s="3" t="s">
        <v>2625</v>
      </c>
      <c r="L875" s="3" t="s">
        <v>2626</v>
      </c>
      <c r="M875" s="3" t="s">
        <v>22</v>
      </c>
      <c r="N875" s="5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14</v>
      </c>
      <c r="B876" s="3" t="s">
        <v>2621</v>
      </c>
      <c r="C876" s="3" t="s">
        <v>2622</v>
      </c>
      <c r="D876" s="3" t="s">
        <v>2623</v>
      </c>
      <c r="E876" s="3" t="s">
        <v>2624</v>
      </c>
      <c r="F876" s="3" t="s">
        <v>918</v>
      </c>
      <c r="G876" s="3" t="s">
        <v>918</v>
      </c>
      <c r="H876" s="4">
        <v>2.0</v>
      </c>
      <c r="I876" s="4">
        <v>3.0</v>
      </c>
      <c r="J876" s="3"/>
      <c r="K876" s="3" t="s">
        <v>2625</v>
      </c>
      <c r="L876" s="3" t="s">
        <v>2626</v>
      </c>
      <c r="M876" s="3" t="s">
        <v>22</v>
      </c>
      <c r="N876" s="5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 t="s">
        <v>14</v>
      </c>
      <c r="B877" s="3" t="s">
        <v>2621</v>
      </c>
      <c r="C877" s="3" t="s">
        <v>2622</v>
      </c>
      <c r="D877" s="3" t="s">
        <v>2623</v>
      </c>
      <c r="E877" s="3" t="s">
        <v>2624</v>
      </c>
      <c r="F877" s="3" t="s">
        <v>98</v>
      </c>
      <c r="G877" s="3" t="s">
        <v>98</v>
      </c>
      <c r="H877" s="4">
        <v>3.0</v>
      </c>
      <c r="I877" s="4">
        <v>4.0</v>
      </c>
      <c r="J877" s="3"/>
      <c r="K877" s="3" t="s">
        <v>2625</v>
      </c>
      <c r="L877" s="3" t="s">
        <v>2626</v>
      </c>
      <c r="M877" s="3" t="s">
        <v>22</v>
      </c>
      <c r="N877" s="5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 t="s">
        <v>14</v>
      </c>
      <c r="B878" s="3" t="s">
        <v>2627</v>
      </c>
      <c r="C878" s="3" t="s">
        <v>2628</v>
      </c>
      <c r="D878" s="3" t="s">
        <v>2629</v>
      </c>
      <c r="E878" s="3" t="s">
        <v>2630</v>
      </c>
      <c r="F878" s="3" t="s">
        <v>2631</v>
      </c>
      <c r="G878" s="3" t="s">
        <v>233</v>
      </c>
      <c r="H878" s="4">
        <v>1.0</v>
      </c>
      <c r="I878" s="4">
        <v>1.0</v>
      </c>
      <c r="J878" s="3"/>
      <c r="K878" s="3" t="s">
        <v>2632</v>
      </c>
      <c r="L878" s="3" t="s">
        <v>2633</v>
      </c>
      <c r="M878" s="3" t="s">
        <v>22</v>
      </c>
      <c r="N878" s="5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 t="s">
        <v>14</v>
      </c>
      <c r="B879" s="3" t="s">
        <v>2627</v>
      </c>
      <c r="C879" s="3" t="s">
        <v>2628</v>
      </c>
      <c r="D879" s="3" t="s">
        <v>2629</v>
      </c>
      <c r="E879" s="3" t="s">
        <v>2630</v>
      </c>
      <c r="F879" s="3" t="s">
        <v>2175</v>
      </c>
      <c r="G879" s="3" t="s">
        <v>2634</v>
      </c>
      <c r="H879" s="4">
        <v>2.0</v>
      </c>
      <c r="I879" s="4">
        <v>2.0</v>
      </c>
      <c r="J879" s="3"/>
      <c r="K879" s="3" t="s">
        <v>2632</v>
      </c>
      <c r="L879" s="3" t="s">
        <v>2633</v>
      </c>
      <c r="M879" s="3" t="s">
        <v>22</v>
      </c>
      <c r="N879" s="5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 t="s">
        <v>14</v>
      </c>
      <c r="B880" s="3" t="s">
        <v>2635</v>
      </c>
      <c r="C880" s="3" t="s">
        <v>2636</v>
      </c>
      <c r="D880" s="3" t="s">
        <v>2637</v>
      </c>
      <c r="E880" s="3" t="s">
        <v>2638</v>
      </c>
      <c r="F880" s="3" t="s">
        <v>2149</v>
      </c>
      <c r="G880" s="3" t="s">
        <v>1919</v>
      </c>
      <c r="H880" s="4">
        <v>1.0</v>
      </c>
      <c r="I880" s="4">
        <v>1.0</v>
      </c>
      <c r="J880" s="3" t="s">
        <v>80</v>
      </c>
      <c r="K880" s="3" t="s">
        <v>2639</v>
      </c>
      <c r="L880" s="3" t="s">
        <v>2448</v>
      </c>
      <c r="M880" s="3" t="s">
        <v>22</v>
      </c>
      <c r="N880" s="5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 t="s">
        <v>14</v>
      </c>
      <c r="B881" s="3" t="s">
        <v>2635</v>
      </c>
      <c r="C881" s="3" t="s">
        <v>2636</v>
      </c>
      <c r="D881" s="3" t="s">
        <v>2637</v>
      </c>
      <c r="E881" s="3" t="s">
        <v>2638</v>
      </c>
      <c r="F881" s="3" t="s">
        <v>349</v>
      </c>
      <c r="G881" s="3" t="s">
        <v>902</v>
      </c>
      <c r="H881" s="4">
        <v>2.0</v>
      </c>
      <c r="I881" s="4">
        <v>2.0</v>
      </c>
      <c r="J881" s="3"/>
      <c r="K881" s="3" t="s">
        <v>2639</v>
      </c>
      <c r="L881" s="3" t="s">
        <v>2448</v>
      </c>
      <c r="M881" s="3" t="s">
        <v>22</v>
      </c>
      <c r="N881" s="5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14</v>
      </c>
      <c r="B882" s="3" t="s">
        <v>2640</v>
      </c>
      <c r="C882" s="3" t="s">
        <v>2641</v>
      </c>
      <c r="D882" s="3" t="s">
        <v>2642</v>
      </c>
      <c r="E882" s="3" t="s">
        <v>2643</v>
      </c>
      <c r="F882" s="3" t="s">
        <v>2644</v>
      </c>
      <c r="G882" s="3" t="s">
        <v>437</v>
      </c>
      <c r="H882" s="4">
        <v>1.0</v>
      </c>
      <c r="I882" s="4">
        <v>1.0</v>
      </c>
      <c r="J882" s="3"/>
      <c r="K882" s="3" t="s">
        <v>2645</v>
      </c>
      <c r="L882" s="3" t="s">
        <v>2646</v>
      </c>
      <c r="M882" s="3" t="s">
        <v>22</v>
      </c>
      <c r="N882" s="5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 t="s">
        <v>14</v>
      </c>
      <c r="B883" s="3" t="s">
        <v>2640</v>
      </c>
      <c r="C883" s="3" t="s">
        <v>2641</v>
      </c>
      <c r="D883" s="3" t="s">
        <v>2642</v>
      </c>
      <c r="E883" s="3" t="s">
        <v>2643</v>
      </c>
      <c r="F883" s="3" t="s">
        <v>801</v>
      </c>
      <c r="G883" s="3" t="s">
        <v>334</v>
      </c>
      <c r="H883" s="4">
        <v>2.0</v>
      </c>
      <c r="I883" s="4">
        <v>2.0</v>
      </c>
      <c r="J883" s="3"/>
      <c r="K883" s="3" t="s">
        <v>2645</v>
      </c>
      <c r="L883" s="3" t="s">
        <v>2646</v>
      </c>
      <c r="M883" s="3" t="s">
        <v>22</v>
      </c>
      <c r="N883" s="5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 t="s">
        <v>14</v>
      </c>
      <c r="B884" s="3" t="s">
        <v>2640</v>
      </c>
      <c r="C884" s="3" t="s">
        <v>2641</v>
      </c>
      <c r="D884" s="3" t="s">
        <v>2642</v>
      </c>
      <c r="E884" s="3" t="s">
        <v>2643</v>
      </c>
      <c r="F884" s="3" t="s">
        <v>33</v>
      </c>
      <c r="G884" s="3" t="s">
        <v>2647</v>
      </c>
      <c r="H884" s="4">
        <v>3.0</v>
      </c>
      <c r="I884" s="4">
        <v>3.0</v>
      </c>
      <c r="J884" s="3"/>
      <c r="K884" s="3" t="s">
        <v>2645</v>
      </c>
      <c r="L884" s="3" t="s">
        <v>2646</v>
      </c>
      <c r="M884" s="3" t="s">
        <v>22</v>
      </c>
      <c r="N884" s="5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 t="s">
        <v>14</v>
      </c>
      <c r="B885" s="3" t="s">
        <v>2640</v>
      </c>
      <c r="C885" s="3" t="s">
        <v>2641</v>
      </c>
      <c r="D885" s="3" t="s">
        <v>2642</v>
      </c>
      <c r="E885" s="3" t="s">
        <v>2643</v>
      </c>
      <c r="F885" s="3" t="s">
        <v>2648</v>
      </c>
      <c r="G885" s="3" t="s">
        <v>1823</v>
      </c>
      <c r="H885" s="4">
        <v>4.0</v>
      </c>
      <c r="I885" s="4">
        <v>4.0</v>
      </c>
      <c r="J885" s="3"/>
      <c r="K885" s="3" t="s">
        <v>2645</v>
      </c>
      <c r="L885" s="3" t="s">
        <v>2646</v>
      </c>
      <c r="M885" s="3" t="s">
        <v>22</v>
      </c>
      <c r="N885" s="5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 t="s">
        <v>14</v>
      </c>
      <c r="B886" s="3" t="s">
        <v>2649</v>
      </c>
      <c r="C886" s="3" t="s">
        <v>2650</v>
      </c>
      <c r="D886" s="3" t="s">
        <v>2651</v>
      </c>
      <c r="E886" s="3" t="s">
        <v>2652</v>
      </c>
      <c r="F886" s="3" t="s">
        <v>525</v>
      </c>
      <c r="G886" s="3" t="s">
        <v>344</v>
      </c>
      <c r="H886" s="4">
        <v>1.0</v>
      </c>
      <c r="I886" s="4">
        <v>1.0</v>
      </c>
      <c r="J886" s="3"/>
      <c r="K886" s="3" t="s">
        <v>2653</v>
      </c>
      <c r="L886" s="3" t="s">
        <v>2654</v>
      </c>
      <c r="M886" s="3" t="s">
        <v>22</v>
      </c>
      <c r="N886" s="5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 t="s">
        <v>14</v>
      </c>
      <c r="B887" s="3" t="s">
        <v>2649</v>
      </c>
      <c r="C887" s="3" t="s">
        <v>2650</v>
      </c>
      <c r="D887" s="3" t="s">
        <v>2651</v>
      </c>
      <c r="E887" s="3" t="s">
        <v>2652</v>
      </c>
      <c r="F887" s="3" t="s">
        <v>961</v>
      </c>
      <c r="G887" s="3" t="s">
        <v>425</v>
      </c>
      <c r="H887" s="4">
        <v>2.0</v>
      </c>
      <c r="I887" s="4">
        <v>2.0</v>
      </c>
      <c r="J887" s="3"/>
      <c r="K887" s="3" t="s">
        <v>2653</v>
      </c>
      <c r="L887" s="3" t="s">
        <v>2654</v>
      </c>
      <c r="M887" s="3" t="s">
        <v>22</v>
      </c>
      <c r="N887" s="5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14</v>
      </c>
      <c r="B888" s="3" t="s">
        <v>2655</v>
      </c>
      <c r="C888" s="3" t="s">
        <v>2656</v>
      </c>
      <c r="D888" s="3" t="s">
        <v>2657</v>
      </c>
      <c r="E888" s="3" t="s">
        <v>2658</v>
      </c>
      <c r="F888" s="3" t="s">
        <v>525</v>
      </c>
      <c r="G888" s="3" t="s">
        <v>344</v>
      </c>
      <c r="H888" s="4">
        <v>1.0</v>
      </c>
      <c r="I888" s="4">
        <v>1.0</v>
      </c>
      <c r="J888" s="3"/>
      <c r="K888" s="3" t="s">
        <v>2659</v>
      </c>
      <c r="L888" s="3" t="s">
        <v>2660</v>
      </c>
      <c r="M888" s="3" t="s">
        <v>22</v>
      </c>
      <c r="N888" s="5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 t="s">
        <v>14</v>
      </c>
      <c r="B889" s="3" t="s">
        <v>2655</v>
      </c>
      <c r="C889" s="3" t="s">
        <v>2656</v>
      </c>
      <c r="D889" s="3" t="s">
        <v>2657</v>
      </c>
      <c r="E889" s="3" t="s">
        <v>2658</v>
      </c>
      <c r="F889" s="3" t="s">
        <v>1823</v>
      </c>
      <c r="G889" s="3" t="s">
        <v>495</v>
      </c>
      <c r="H889" s="4">
        <v>2.0</v>
      </c>
      <c r="I889" s="4">
        <v>2.0</v>
      </c>
      <c r="J889" s="3"/>
      <c r="K889" s="3" t="s">
        <v>2659</v>
      </c>
      <c r="L889" s="3" t="s">
        <v>2660</v>
      </c>
      <c r="M889" s="3" t="s">
        <v>22</v>
      </c>
      <c r="N889" s="5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5" t="s">
        <v>14</v>
      </c>
      <c r="B890" s="15" t="s">
        <v>2661</v>
      </c>
      <c r="C890" s="15" t="s">
        <v>2662</v>
      </c>
      <c r="D890" s="15" t="s">
        <v>2663</v>
      </c>
      <c r="E890" s="15" t="s">
        <v>2664</v>
      </c>
      <c r="F890" s="15" t="s">
        <v>36</v>
      </c>
      <c r="G890" s="15" t="s">
        <v>49</v>
      </c>
      <c r="H890" s="18" t="s">
        <v>36</v>
      </c>
      <c r="I890" s="18">
        <v>1.0</v>
      </c>
      <c r="J890" s="15" t="s">
        <v>80</v>
      </c>
      <c r="K890" s="15" t="s">
        <v>2665</v>
      </c>
      <c r="L890" s="15" t="s">
        <v>2666</v>
      </c>
      <c r="M890" s="15" t="s">
        <v>22</v>
      </c>
      <c r="N890" s="20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5" t="s">
        <v>14</v>
      </c>
      <c r="B891" s="15" t="s">
        <v>2661</v>
      </c>
      <c r="C891" s="15" t="s">
        <v>2662</v>
      </c>
      <c r="D891" s="15" t="s">
        <v>2663</v>
      </c>
      <c r="E891" s="15" t="s">
        <v>2664</v>
      </c>
      <c r="F891" s="15" t="s">
        <v>1032</v>
      </c>
      <c r="G891" s="15" t="s">
        <v>1032</v>
      </c>
      <c r="H891" s="18">
        <v>2.0</v>
      </c>
      <c r="I891" s="18">
        <v>2.0</v>
      </c>
      <c r="J891" s="15"/>
      <c r="K891" s="15" t="s">
        <v>2665</v>
      </c>
      <c r="L891" s="15" t="s">
        <v>2666</v>
      </c>
      <c r="M891" s="15" t="s">
        <v>22</v>
      </c>
      <c r="N891" s="20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5" t="s">
        <v>14</v>
      </c>
      <c r="B892" s="15" t="s">
        <v>2661</v>
      </c>
      <c r="C892" s="15" t="s">
        <v>2662</v>
      </c>
      <c r="D892" s="15" t="s">
        <v>2663</v>
      </c>
      <c r="E892" s="15" t="s">
        <v>2664</v>
      </c>
      <c r="F892" s="15" t="s">
        <v>387</v>
      </c>
      <c r="G892" s="15" t="s">
        <v>387</v>
      </c>
      <c r="H892" s="18">
        <v>2.0</v>
      </c>
      <c r="I892" s="18">
        <v>3.0</v>
      </c>
      <c r="J892" s="15"/>
      <c r="K892" s="15" t="s">
        <v>2665</v>
      </c>
      <c r="L892" s="15" t="s">
        <v>2666</v>
      </c>
      <c r="M892" s="15" t="s">
        <v>22</v>
      </c>
      <c r="N892" s="20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3" t="s">
        <v>14</v>
      </c>
      <c r="B893" s="3" t="s">
        <v>2667</v>
      </c>
      <c r="C893" s="3" t="s">
        <v>2668</v>
      </c>
      <c r="D893" s="3" t="s">
        <v>2669</v>
      </c>
      <c r="E893" s="3" t="s">
        <v>2669</v>
      </c>
      <c r="F893" s="3" t="s">
        <v>614</v>
      </c>
      <c r="G893" s="3" t="s">
        <v>614</v>
      </c>
      <c r="H893" s="4">
        <v>1.0</v>
      </c>
      <c r="I893" s="4">
        <v>1.0</v>
      </c>
      <c r="J893" s="3"/>
      <c r="K893" s="3" t="s">
        <v>2670</v>
      </c>
      <c r="L893" s="3" t="s">
        <v>2671</v>
      </c>
      <c r="M893" s="3" t="s">
        <v>22</v>
      </c>
      <c r="N893" s="5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14</v>
      </c>
      <c r="B894" s="3" t="s">
        <v>2667</v>
      </c>
      <c r="C894" s="3" t="s">
        <v>2668</v>
      </c>
      <c r="D894" s="3" t="s">
        <v>2669</v>
      </c>
      <c r="E894" s="3" t="s">
        <v>2669</v>
      </c>
      <c r="F894" s="3" t="s">
        <v>98</v>
      </c>
      <c r="G894" s="3" t="s">
        <v>98</v>
      </c>
      <c r="H894" s="4">
        <v>2.0</v>
      </c>
      <c r="I894" s="4">
        <v>2.0</v>
      </c>
      <c r="J894" s="3"/>
      <c r="K894" s="3" t="s">
        <v>2670</v>
      </c>
      <c r="L894" s="3" t="s">
        <v>2671</v>
      </c>
      <c r="M894" s="3" t="s">
        <v>22</v>
      </c>
      <c r="N894" s="5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 t="s">
        <v>14</v>
      </c>
      <c r="B895" s="3" t="s">
        <v>2672</v>
      </c>
      <c r="C895" s="3" t="s">
        <v>2673</v>
      </c>
      <c r="D895" s="3" t="s">
        <v>2674</v>
      </c>
      <c r="E895" s="3" t="s">
        <v>2675</v>
      </c>
      <c r="F895" s="3" t="s">
        <v>261</v>
      </c>
      <c r="G895" s="3" t="s">
        <v>2676</v>
      </c>
      <c r="H895" s="4">
        <v>1.0</v>
      </c>
      <c r="I895" s="4">
        <v>1.0</v>
      </c>
      <c r="J895" s="3"/>
      <c r="K895" s="3" t="s">
        <v>2677</v>
      </c>
      <c r="L895" s="3" t="s">
        <v>2678</v>
      </c>
      <c r="M895" s="3" t="s">
        <v>22</v>
      </c>
      <c r="N895" s="5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 t="s">
        <v>14</v>
      </c>
      <c r="B896" s="3" t="s">
        <v>2672</v>
      </c>
      <c r="C896" s="3" t="s">
        <v>2673</v>
      </c>
      <c r="D896" s="3" t="s">
        <v>2674</v>
      </c>
      <c r="E896" s="3" t="s">
        <v>2675</v>
      </c>
      <c r="F896" s="3" t="s">
        <v>387</v>
      </c>
      <c r="G896" s="3" t="s">
        <v>387</v>
      </c>
      <c r="H896" s="4">
        <v>2.0</v>
      </c>
      <c r="I896" s="4">
        <v>2.0</v>
      </c>
      <c r="J896" s="3"/>
      <c r="K896" s="3" t="s">
        <v>2677</v>
      </c>
      <c r="L896" s="3" t="s">
        <v>2678</v>
      </c>
      <c r="M896" s="3" t="s">
        <v>22</v>
      </c>
      <c r="N896" s="5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5" t="s">
        <v>14</v>
      </c>
      <c r="B897" s="15" t="s">
        <v>2679</v>
      </c>
      <c r="C897" s="15" t="s">
        <v>2680</v>
      </c>
      <c r="D897" s="15" t="s">
        <v>2681</v>
      </c>
      <c r="E897" s="15" t="s">
        <v>2682</v>
      </c>
      <c r="F897" s="15" t="s">
        <v>36</v>
      </c>
      <c r="G897" s="15" t="s">
        <v>1113</v>
      </c>
      <c r="H897" s="18" t="s">
        <v>36</v>
      </c>
      <c r="I897" s="18">
        <v>1.0</v>
      </c>
      <c r="J897" s="15"/>
      <c r="K897" s="15" t="s">
        <v>2683</v>
      </c>
      <c r="L897" s="15" t="s">
        <v>2684</v>
      </c>
      <c r="M897" s="15" t="s">
        <v>22</v>
      </c>
      <c r="N897" s="20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5" t="s">
        <v>14</v>
      </c>
      <c r="B898" s="15" t="s">
        <v>2679</v>
      </c>
      <c r="C898" s="15" t="s">
        <v>2680</v>
      </c>
      <c r="D898" s="15" t="s">
        <v>2681</v>
      </c>
      <c r="E898" s="15" t="s">
        <v>2682</v>
      </c>
      <c r="F898" s="15" t="s">
        <v>362</v>
      </c>
      <c r="G898" s="15" t="s">
        <v>566</v>
      </c>
      <c r="H898" s="18">
        <v>1.0</v>
      </c>
      <c r="I898" s="18">
        <v>2.0</v>
      </c>
      <c r="J898" s="15"/>
      <c r="K898" s="15" t="s">
        <v>2683</v>
      </c>
      <c r="L898" s="15" t="s">
        <v>2684</v>
      </c>
      <c r="M898" s="15" t="s">
        <v>22</v>
      </c>
      <c r="N898" s="20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5" t="s">
        <v>14</v>
      </c>
      <c r="B899" s="15" t="s">
        <v>2679</v>
      </c>
      <c r="C899" s="15" t="s">
        <v>2680</v>
      </c>
      <c r="D899" s="15" t="s">
        <v>2681</v>
      </c>
      <c r="E899" s="15" t="s">
        <v>2682</v>
      </c>
      <c r="F899" s="15" t="s">
        <v>629</v>
      </c>
      <c r="G899" s="15" t="s">
        <v>629</v>
      </c>
      <c r="H899" s="18">
        <v>2.0</v>
      </c>
      <c r="I899" s="18">
        <v>3.0</v>
      </c>
      <c r="J899" s="15"/>
      <c r="K899" s="15" t="s">
        <v>2683</v>
      </c>
      <c r="L899" s="15" t="s">
        <v>2684</v>
      </c>
      <c r="M899" s="15" t="s">
        <v>22</v>
      </c>
      <c r="N899" s="20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5" t="s">
        <v>14</v>
      </c>
      <c r="B900" s="15" t="s">
        <v>2679</v>
      </c>
      <c r="C900" s="15" t="s">
        <v>2680</v>
      </c>
      <c r="D900" s="15" t="s">
        <v>2681</v>
      </c>
      <c r="E900" s="15" t="s">
        <v>2682</v>
      </c>
      <c r="F900" s="15" t="s">
        <v>387</v>
      </c>
      <c r="G900" s="15" t="s">
        <v>387</v>
      </c>
      <c r="H900" s="18">
        <v>3.0</v>
      </c>
      <c r="I900" s="18">
        <v>4.0</v>
      </c>
      <c r="J900" s="15"/>
      <c r="K900" s="15" t="s">
        <v>2683</v>
      </c>
      <c r="L900" s="15" t="s">
        <v>2684</v>
      </c>
      <c r="M900" s="15" t="s">
        <v>22</v>
      </c>
      <c r="N900" s="20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5" t="s">
        <v>14</v>
      </c>
      <c r="B901" s="15" t="s">
        <v>732</v>
      </c>
      <c r="C901" s="15" t="s">
        <v>733</v>
      </c>
      <c r="D901" s="15" t="s">
        <v>734</v>
      </c>
      <c r="E901" s="15" t="s">
        <v>735</v>
      </c>
      <c r="F901" s="15" t="s">
        <v>261</v>
      </c>
      <c r="G901" s="15" t="s">
        <v>736</v>
      </c>
      <c r="H901" s="18">
        <v>1.0</v>
      </c>
      <c r="I901" s="18">
        <v>1.0</v>
      </c>
      <c r="J901" s="15" t="s">
        <v>80</v>
      </c>
      <c r="K901" s="15" t="s">
        <v>2685</v>
      </c>
      <c r="L901" s="15" t="s">
        <v>2686</v>
      </c>
      <c r="M901" s="15" t="s">
        <v>22</v>
      </c>
      <c r="N901" s="20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5" t="s">
        <v>14</v>
      </c>
      <c r="B902" s="15" t="s">
        <v>732</v>
      </c>
      <c r="C902" s="15" t="s">
        <v>733</v>
      </c>
      <c r="D902" s="15" t="s">
        <v>734</v>
      </c>
      <c r="E902" s="15" t="s">
        <v>735</v>
      </c>
      <c r="F902" s="15" t="s">
        <v>36</v>
      </c>
      <c r="G902" s="15" t="s">
        <v>546</v>
      </c>
      <c r="H902" s="18" t="s">
        <v>36</v>
      </c>
      <c r="I902" s="18">
        <v>2.0</v>
      </c>
      <c r="J902" s="15"/>
      <c r="K902" s="15" t="s">
        <v>2685</v>
      </c>
      <c r="L902" s="15" t="s">
        <v>2686</v>
      </c>
      <c r="M902" s="15" t="s">
        <v>22</v>
      </c>
      <c r="N902" s="20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5" t="s">
        <v>14</v>
      </c>
      <c r="B903" s="15" t="s">
        <v>732</v>
      </c>
      <c r="C903" s="15" t="s">
        <v>733</v>
      </c>
      <c r="D903" s="15" t="s">
        <v>734</v>
      </c>
      <c r="E903" s="15" t="s">
        <v>735</v>
      </c>
      <c r="F903" s="15" t="s">
        <v>575</v>
      </c>
      <c r="G903" s="15" t="s">
        <v>739</v>
      </c>
      <c r="H903" s="18">
        <v>2.0</v>
      </c>
      <c r="I903" s="18">
        <v>3.0</v>
      </c>
      <c r="J903" s="15"/>
      <c r="K903" s="15" t="s">
        <v>2685</v>
      </c>
      <c r="L903" s="15" t="s">
        <v>2686</v>
      </c>
      <c r="M903" s="15" t="s">
        <v>22</v>
      </c>
      <c r="N903" s="20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3" t="s">
        <v>14</v>
      </c>
      <c r="B904" s="3" t="s">
        <v>2687</v>
      </c>
      <c r="C904" s="3" t="s">
        <v>2688</v>
      </c>
      <c r="D904" s="3" t="s">
        <v>2689</v>
      </c>
      <c r="E904" s="3" t="s">
        <v>2690</v>
      </c>
      <c r="F904" s="3" t="s">
        <v>362</v>
      </c>
      <c r="G904" s="3" t="s">
        <v>301</v>
      </c>
      <c r="H904" s="4">
        <v>1.0</v>
      </c>
      <c r="I904" s="4">
        <v>1.0</v>
      </c>
      <c r="J904" s="3"/>
      <c r="K904" s="3" t="s">
        <v>2691</v>
      </c>
      <c r="L904" s="3" t="s">
        <v>2692</v>
      </c>
      <c r="M904" s="3" t="s">
        <v>22</v>
      </c>
      <c r="N904" s="5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 t="s">
        <v>14</v>
      </c>
      <c r="B905" s="3" t="s">
        <v>2687</v>
      </c>
      <c r="C905" s="3" t="s">
        <v>2688</v>
      </c>
      <c r="D905" s="3" t="s">
        <v>2689</v>
      </c>
      <c r="E905" s="3" t="s">
        <v>2690</v>
      </c>
      <c r="F905" s="3" t="s">
        <v>469</v>
      </c>
      <c r="G905" s="3" t="s">
        <v>2693</v>
      </c>
      <c r="H905" s="4">
        <v>2.0</v>
      </c>
      <c r="I905" s="4">
        <v>2.0</v>
      </c>
      <c r="J905" s="3"/>
      <c r="K905" s="3" t="s">
        <v>2691</v>
      </c>
      <c r="L905" s="3" t="s">
        <v>2692</v>
      </c>
      <c r="M905" s="3" t="s">
        <v>22</v>
      </c>
      <c r="N905" s="5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 t="s">
        <v>14</v>
      </c>
      <c r="B906" s="3" t="s">
        <v>2687</v>
      </c>
      <c r="C906" s="3" t="s">
        <v>2688</v>
      </c>
      <c r="D906" s="3" t="s">
        <v>2689</v>
      </c>
      <c r="E906" s="3" t="s">
        <v>2690</v>
      </c>
      <c r="F906" s="3" t="s">
        <v>784</v>
      </c>
      <c r="G906" s="3" t="s">
        <v>784</v>
      </c>
      <c r="H906" s="4">
        <v>3.0</v>
      </c>
      <c r="I906" s="4">
        <v>3.0</v>
      </c>
      <c r="J906" s="3"/>
      <c r="K906" s="3" t="s">
        <v>2691</v>
      </c>
      <c r="L906" s="3" t="s">
        <v>2692</v>
      </c>
      <c r="M906" s="3" t="s">
        <v>22</v>
      </c>
      <c r="N906" s="5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5" t="s">
        <v>14</v>
      </c>
      <c r="B907" s="15" t="s">
        <v>2694</v>
      </c>
      <c r="C907" s="15" t="s">
        <v>2695</v>
      </c>
      <c r="D907" s="15" t="s">
        <v>2696</v>
      </c>
      <c r="E907" s="15" t="s">
        <v>2697</v>
      </c>
      <c r="F907" s="15"/>
      <c r="G907" s="15"/>
      <c r="H907" s="18"/>
      <c r="I907" s="18"/>
      <c r="J907" s="15"/>
      <c r="K907" s="15" t="s">
        <v>2698</v>
      </c>
      <c r="L907" s="15" t="s">
        <v>2699</v>
      </c>
      <c r="M907" s="15" t="s">
        <v>22</v>
      </c>
      <c r="N907" s="15" t="s">
        <v>560</v>
      </c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3" t="s">
        <v>14</v>
      </c>
      <c r="B908" s="3" t="s">
        <v>2700</v>
      </c>
      <c r="C908" s="3" t="s">
        <v>2701</v>
      </c>
      <c r="D908" s="3" t="s">
        <v>2700</v>
      </c>
      <c r="E908" s="3" t="s">
        <v>2702</v>
      </c>
      <c r="F908" s="3" t="s">
        <v>2700</v>
      </c>
      <c r="G908" s="3" t="s">
        <v>797</v>
      </c>
      <c r="H908" s="4">
        <v>1.0</v>
      </c>
      <c r="I908" s="4">
        <v>1.0</v>
      </c>
      <c r="J908" s="3" t="s">
        <v>80</v>
      </c>
      <c r="K908" s="3" t="s">
        <v>2703</v>
      </c>
      <c r="L908" s="3" t="s">
        <v>2704</v>
      </c>
      <c r="M908" s="3" t="s">
        <v>22</v>
      </c>
      <c r="N908" s="5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 t="s">
        <v>14</v>
      </c>
      <c r="B909" s="3" t="s">
        <v>2700</v>
      </c>
      <c r="C909" s="3" t="s">
        <v>2701</v>
      </c>
      <c r="D909" s="3" t="s">
        <v>2700</v>
      </c>
      <c r="E909" s="3" t="s">
        <v>2702</v>
      </c>
      <c r="F909" s="3" t="s">
        <v>36</v>
      </c>
      <c r="G909" s="3" t="s">
        <v>24</v>
      </c>
      <c r="H909" s="4" t="s">
        <v>36</v>
      </c>
      <c r="I909" s="4">
        <v>2.0</v>
      </c>
      <c r="J909" s="3"/>
      <c r="K909" s="3" t="s">
        <v>2703</v>
      </c>
      <c r="L909" s="3" t="s">
        <v>2704</v>
      </c>
      <c r="M909" s="3" t="s">
        <v>22</v>
      </c>
      <c r="N909" s="5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5" t="s">
        <v>14</v>
      </c>
      <c r="B910" s="15" t="s">
        <v>2705</v>
      </c>
      <c r="C910" s="15" t="s">
        <v>2706</v>
      </c>
      <c r="D910" s="15" t="s">
        <v>2707</v>
      </c>
      <c r="E910" s="15" t="s">
        <v>2708</v>
      </c>
      <c r="F910" s="15" t="s">
        <v>36</v>
      </c>
      <c r="G910" s="15" t="s">
        <v>49</v>
      </c>
      <c r="H910" s="18" t="s">
        <v>36</v>
      </c>
      <c r="I910" s="18">
        <v>1.0</v>
      </c>
      <c r="J910" s="15" t="s">
        <v>80</v>
      </c>
      <c r="K910" s="15" t="s">
        <v>2709</v>
      </c>
      <c r="L910" s="15" t="s">
        <v>2710</v>
      </c>
      <c r="M910" s="15" t="s">
        <v>22</v>
      </c>
      <c r="N910" s="20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5" t="s">
        <v>14</v>
      </c>
      <c r="B911" s="15" t="s">
        <v>2705</v>
      </c>
      <c r="C911" s="15" t="s">
        <v>2706</v>
      </c>
      <c r="D911" s="15" t="s">
        <v>2707</v>
      </c>
      <c r="E911" s="15" t="s">
        <v>2708</v>
      </c>
      <c r="F911" s="15" t="s">
        <v>2711</v>
      </c>
      <c r="G911" s="15" t="s">
        <v>290</v>
      </c>
      <c r="H911" s="18">
        <v>1.0</v>
      </c>
      <c r="I911" s="18">
        <v>2.0</v>
      </c>
      <c r="J911" s="15"/>
      <c r="K911" s="15" t="s">
        <v>2709</v>
      </c>
      <c r="L911" s="15" t="s">
        <v>2710</v>
      </c>
      <c r="M911" s="15" t="s">
        <v>22</v>
      </c>
      <c r="N911" s="20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5" t="s">
        <v>14</v>
      </c>
      <c r="B912" s="15" t="s">
        <v>2705</v>
      </c>
      <c r="C912" s="15" t="s">
        <v>2706</v>
      </c>
      <c r="D912" s="15" t="s">
        <v>2707</v>
      </c>
      <c r="E912" s="15" t="s">
        <v>2708</v>
      </c>
      <c r="F912" s="15" t="s">
        <v>387</v>
      </c>
      <c r="G912" s="15" t="s">
        <v>387</v>
      </c>
      <c r="H912" s="18">
        <v>2.0</v>
      </c>
      <c r="I912" s="18">
        <v>3.0</v>
      </c>
      <c r="J912" s="15"/>
      <c r="K912" s="15" t="s">
        <v>2709</v>
      </c>
      <c r="L912" s="15" t="s">
        <v>2710</v>
      </c>
      <c r="M912" s="15" t="s">
        <v>22</v>
      </c>
      <c r="N912" s="20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5" t="s">
        <v>14</v>
      </c>
      <c r="B913" s="15" t="s">
        <v>2712</v>
      </c>
      <c r="C913" s="15" t="s">
        <v>2713</v>
      </c>
      <c r="D913" s="15" t="s">
        <v>2714</v>
      </c>
      <c r="E913" s="15" t="s">
        <v>2715</v>
      </c>
      <c r="F913" s="15"/>
      <c r="G913" s="15"/>
      <c r="H913" s="18"/>
      <c r="I913" s="18"/>
      <c r="J913" s="15"/>
      <c r="K913" s="15" t="s">
        <v>2716</v>
      </c>
      <c r="L913" s="15" t="s">
        <v>2717</v>
      </c>
      <c r="M913" s="15" t="s">
        <v>22</v>
      </c>
      <c r="N913" s="15" t="s">
        <v>560</v>
      </c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3" t="s">
        <v>14</v>
      </c>
      <c r="B914" s="3" t="s">
        <v>2718</v>
      </c>
      <c r="C914" s="3" t="s">
        <v>2719</v>
      </c>
      <c r="D914" s="3" t="s">
        <v>2720</v>
      </c>
      <c r="E914" s="3" t="s">
        <v>2719</v>
      </c>
      <c r="F914" s="3" t="s">
        <v>1180</v>
      </c>
      <c r="G914" s="3" t="s">
        <v>2719</v>
      </c>
      <c r="H914" s="4">
        <v>1.0</v>
      </c>
      <c r="I914" s="4">
        <v>1.0</v>
      </c>
      <c r="J914" s="3"/>
      <c r="K914" s="3" t="s">
        <v>2721</v>
      </c>
      <c r="L914" s="3" t="s">
        <v>2722</v>
      </c>
      <c r="M914" s="3" t="s">
        <v>22</v>
      </c>
      <c r="N914" s="5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 t="s">
        <v>14</v>
      </c>
      <c r="B915" s="3" t="s">
        <v>2718</v>
      </c>
      <c r="C915" s="3" t="s">
        <v>2719</v>
      </c>
      <c r="D915" s="3" t="s">
        <v>2720</v>
      </c>
      <c r="E915" s="3" t="s">
        <v>2719</v>
      </c>
      <c r="F915" s="3" t="s">
        <v>848</v>
      </c>
      <c r="G915" s="3" t="s">
        <v>36</v>
      </c>
      <c r="H915" s="4">
        <v>2.0</v>
      </c>
      <c r="I915" s="4" t="s">
        <v>36</v>
      </c>
      <c r="J915" s="3"/>
      <c r="K915" s="3" t="s">
        <v>2721</v>
      </c>
      <c r="L915" s="3" t="s">
        <v>2722</v>
      </c>
      <c r="M915" s="3" t="s">
        <v>22</v>
      </c>
      <c r="N915" s="5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 t="s">
        <v>14</v>
      </c>
      <c r="B916" s="3" t="s">
        <v>2723</v>
      </c>
      <c r="C916" s="3" t="s">
        <v>2724</v>
      </c>
      <c r="D916" s="3" t="s">
        <v>2725</v>
      </c>
      <c r="E916" s="3" t="s">
        <v>2724</v>
      </c>
      <c r="F916" s="3" t="s">
        <v>878</v>
      </c>
      <c r="G916" s="3" t="s">
        <v>2724</v>
      </c>
      <c r="H916" s="4">
        <v>1.0</v>
      </c>
      <c r="I916" s="4">
        <v>1.0</v>
      </c>
      <c r="J916" s="3"/>
      <c r="K916" s="3" t="s">
        <v>2726</v>
      </c>
      <c r="L916" s="3" t="s">
        <v>2727</v>
      </c>
      <c r="M916" s="3" t="s">
        <v>22</v>
      </c>
      <c r="N916" s="5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 t="s">
        <v>14</v>
      </c>
      <c r="B917" s="3" t="s">
        <v>2723</v>
      </c>
      <c r="C917" s="3" t="s">
        <v>2724</v>
      </c>
      <c r="D917" s="3" t="s">
        <v>2725</v>
      </c>
      <c r="E917" s="3" t="s">
        <v>2724</v>
      </c>
      <c r="F917" s="3" t="s">
        <v>362</v>
      </c>
      <c r="G917" s="3" t="s">
        <v>36</v>
      </c>
      <c r="H917" s="4">
        <v>2.0</v>
      </c>
      <c r="I917" s="4" t="s">
        <v>36</v>
      </c>
      <c r="J917" s="3"/>
      <c r="K917" s="3" t="s">
        <v>2726</v>
      </c>
      <c r="L917" s="3" t="s">
        <v>2727</v>
      </c>
      <c r="M917" s="3" t="s">
        <v>22</v>
      </c>
      <c r="N917" s="5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 t="s">
        <v>14</v>
      </c>
      <c r="B918" s="3" t="s">
        <v>2728</v>
      </c>
      <c r="C918" s="3" t="s">
        <v>2729</v>
      </c>
      <c r="D918" s="3" t="s">
        <v>2730</v>
      </c>
      <c r="E918" s="3" t="s">
        <v>2731</v>
      </c>
      <c r="F918" s="3" t="s">
        <v>1968</v>
      </c>
      <c r="G918" s="3" t="s">
        <v>1968</v>
      </c>
      <c r="H918" s="4">
        <v>1.0</v>
      </c>
      <c r="I918" s="4">
        <v>1.0</v>
      </c>
      <c r="J918" s="3"/>
      <c r="K918" s="3" t="s">
        <v>2732</v>
      </c>
      <c r="L918" s="3" t="s">
        <v>2733</v>
      </c>
      <c r="M918" s="3" t="s">
        <v>22</v>
      </c>
      <c r="N918" s="5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 t="s">
        <v>14</v>
      </c>
      <c r="B919" s="3" t="s">
        <v>2728</v>
      </c>
      <c r="C919" s="3" t="s">
        <v>2729</v>
      </c>
      <c r="D919" s="3" t="s">
        <v>2730</v>
      </c>
      <c r="E919" s="3" t="s">
        <v>2731</v>
      </c>
      <c r="F919" s="3" t="s">
        <v>784</v>
      </c>
      <c r="G919" s="3" t="s">
        <v>2207</v>
      </c>
      <c r="H919" s="4">
        <v>2.0</v>
      </c>
      <c r="I919" s="4">
        <v>2.0</v>
      </c>
      <c r="J919" s="3"/>
      <c r="K919" s="3" t="s">
        <v>2732</v>
      </c>
      <c r="L919" s="3" t="s">
        <v>2733</v>
      </c>
      <c r="M919" s="3" t="s">
        <v>22</v>
      </c>
      <c r="N919" s="5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 t="s">
        <v>14</v>
      </c>
      <c r="B920" s="3" t="s">
        <v>2734</v>
      </c>
      <c r="C920" s="3" t="s">
        <v>2735</v>
      </c>
      <c r="D920" s="3" t="s">
        <v>2736</v>
      </c>
      <c r="E920" s="3" t="s">
        <v>2737</v>
      </c>
      <c r="F920" s="3" t="s">
        <v>623</v>
      </c>
      <c r="G920" s="3" t="s">
        <v>623</v>
      </c>
      <c r="H920" s="4">
        <v>1.0</v>
      </c>
      <c r="I920" s="4">
        <v>1.0</v>
      </c>
      <c r="J920" s="3"/>
      <c r="K920" s="3" t="s">
        <v>2738</v>
      </c>
      <c r="L920" s="3" t="s">
        <v>2739</v>
      </c>
      <c r="M920" s="3" t="s">
        <v>22</v>
      </c>
      <c r="N920" s="5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 t="s">
        <v>14</v>
      </c>
      <c r="B921" s="3" t="s">
        <v>2734</v>
      </c>
      <c r="C921" s="3" t="s">
        <v>2735</v>
      </c>
      <c r="D921" s="3" t="s">
        <v>2736</v>
      </c>
      <c r="E921" s="3" t="s">
        <v>2737</v>
      </c>
      <c r="F921" s="3" t="s">
        <v>784</v>
      </c>
      <c r="G921" s="3" t="s">
        <v>2207</v>
      </c>
      <c r="H921" s="4">
        <v>2.0</v>
      </c>
      <c r="I921" s="4">
        <v>2.0</v>
      </c>
      <c r="J921" s="3"/>
      <c r="K921" s="3" t="s">
        <v>2738</v>
      </c>
      <c r="L921" s="3" t="s">
        <v>2739</v>
      </c>
      <c r="M921" s="3" t="s">
        <v>22</v>
      </c>
      <c r="N921" s="5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 t="s">
        <v>14</v>
      </c>
      <c r="B922" s="3" t="s">
        <v>2740</v>
      </c>
      <c r="C922" s="3" t="s">
        <v>2741</v>
      </c>
      <c r="D922" s="3" t="s">
        <v>2742</v>
      </c>
      <c r="E922" s="3" t="s">
        <v>2743</v>
      </c>
      <c r="F922" s="3" t="s">
        <v>2744</v>
      </c>
      <c r="G922" s="3" t="s">
        <v>739</v>
      </c>
      <c r="H922" s="4">
        <v>1.0</v>
      </c>
      <c r="I922" s="4">
        <v>1.0</v>
      </c>
      <c r="J922" s="3" t="s">
        <v>72</v>
      </c>
      <c r="K922" s="3" t="s">
        <v>2745</v>
      </c>
      <c r="L922" s="3" t="s">
        <v>2746</v>
      </c>
      <c r="M922" s="3" t="s">
        <v>22</v>
      </c>
      <c r="N922" s="5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 t="s">
        <v>14</v>
      </c>
      <c r="B923" s="3" t="s">
        <v>2740</v>
      </c>
      <c r="C923" s="3" t="s">
        <v>2741</v>
      </c>
      <c r="D923" s="3" t="s">
        <v>2742</v>
      </c>
      <c r="E923" s="3" t="s">
        <v>2743</v>
      </c>
      <c r="F923" s="3" t="s">
        <v>2023</v>
      </c>
      <c r="G923" s="3" t="s">
        <v>1075</v>
      </c>
      <c r="H923" s="4">
        <v>2.0</v>
      </c>
      <c r="I923" s="4">
        <v>2.0</v>
      </c>
      <c r="J923" s="3"/>
      <c r="K923" s="3" t="s">
        <v>2745</v>
      </c>
      <c r="L923" s="3" t="s">
        <v>2746</v>
      </c>
      <c r="M923" s="3" t="s">
        <v>22</v>
      </c>
      <c r="N923" s="5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 t="s">
        <v>14</v>
      </c>
      <c r="B924" s="3" t="s">
        <v>2740</v>
      </c>
      <c r="C924" s="3" t="s">
        <v>2741</v>
      </c>
      <c r="D924" s="3" t="s">
        <v>2742</v>
      </c>
      <c r="E924" s="3" t="s">
        <v>2743</v>
      </c>
      <c r="F924" s="3" t="s">
        <v>172</v>
      </c>
      <c r="G924" s="3" t="s">
        <v>334</v>
      </c>
      <c r="H924" s="4">
        <v>3.0</v>
      </c>
      <c r="I924" s="4">
        <v>3.0</v>
      </c>
      <c r="J924" s="3"/>
      <c r="K924" s="3" t="s">
        <v>2745</v>
      </c>
      <c r="L924" s="3" t="s">
        <v>2746</v>
      </c>
      <c r="M924" s="3" t="s">
        <v>22</v>
      </c>
      <c r="N924" s="5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 t="s">
        <v>14</v>
      </c>
      <c r="B925" s="3" t="s">
        <v>2747</v>
      </c>
      <c r="C925" s="3" t="s">
        <v>2748</v>
      </c>
      <c r="D925" s="3" t="s">
        <v>2749</v>
      </c>
      <c r="E925" s="3" t="s">
        <v>2750</v>
      </c>
      <c r="F925" s="3" t="s">
        <v>2751</v>
      </c>
      <c r="G925" s="3" t="s">
        <v>2123</v>
      </c>
      <c r="H925" s="4">
        <v>1.0</v>
      </c>
      <c r="I925" s="4">
        <v>1.0</v>
      </c>
      <c r="J925" s="3"/>
      <c r="K925" s="3" t="s">
        <v>2752</v>
      </c>
      <c r="L925" s="3" t="s">
        <v>2753</v>
      </c>
      <c r="M925" s="3" t="s">
        <v>22</v>
      </c>
      <c r="N925" s="5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 t="s">
        <v>14</v>
      </c>
      <c r="B926" s="3" t="s">
        <v>2747</v>
      </c>
      <c r="C926" s="3" t="s">
        <v>2748</v>
      </c>
      <c r="D926" s="3" t="s">
        <v>2749</v>
      </c>
      <c r="E926" s="3" t="s">
        <v>2750</v>
      </c>
      <c r="F926" s="3" t="s">
        <v>2754</v>
      </c>
      <c r="G926" s="3" t="s">
        <v>2755</v>
      </c>
      <c r="H926" s="4">
        <v>2.0</v>
      </c>
      <c r="I926" s="4">
        <v>2.0</v>
      </c>
      <c r="J926" s="3"/>
      <c r="K926" s="3" t="s">
        <v>2752</v>
      </c>
      <c r="L926" s="3" t="s">
        <v>2753</v>
      </c>
      <c r="M926" s="3" t="s">
        <v>22</v>
      </c>
      <c r="N926" s="5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 t="s">
        <v>14</v>
      </c>
      <c r="B927" s="3" t="s">
        <v>2756</v>
      </c>
      <c r="C927" s="3" t="s">
        <v>2757</v>
      </c>
      <c r="D927" s="3" t="s">
        <v>2758</v>
      </c>
      <c r="E927" s="3" t="s">
        <v>2759</v>
      </c>
      <c r="F927" s="3" t="s">
        <v>233</v>
      </c>
      <c r="G927" s="3" t="s">
        <v>2760</v>
      </c>
      <c r="H927" s="4">
        <v>1.0</v>
      </c>
      <c r="I927" s="4">
        <v>1.0</v>
      </c>
      <c r="J927" s="3" t="s">
        <v>80</v>
      </c>
      <c r="K927" s="3" t="s">
        <v>2761</v>
      </c>
      <c r="L927" s="3" t="s">
        <v>2762</v>
      </c>
      <c r="M927" s="3" t="s">
        <v>22</v>
      </c>
      <c r="N927" s="5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 t="s">
        <v>14</v>
      </c>
      <c r="B928" s="3" t="s">
        <v>2756</v>
      </c>
      <c r="C928" s="3" t="s">
        <v>2757</v>
      </c>
      <c r="D928" s="3" t="s">
        <v>2758</v>
      </c>
      <c r="E928" s="3" t="s">
        <v>2759</v>
      </c>
      <c r="F928" s="3" t="s">
        <v>2763</v>
      </c>
      <c r="G928" s="3" t="s">
        <v>810</v>
      </c>
      <c r="H928" s="4">
        <v>2.0</v>
      </c>
      <c r="I928" s="4">
        <v>2.0</v>
      </c>
      <c r="J928" s="3"/>
      <c r="K928" s="3" t="s">
        <v>2761</v>
      </c>
      <c r="L928" s="3" t="s">
        <v>2762</v>
      </c>
      <c r="M928" s="3" t="s">
        <v>22</v>
      </c>
      <c r="N928" s="5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 t="s">
        <v>14</v>
      </c>
      <c r="B929" s="3" t="s">
        <v>2756</v>
      </c>
      <c r="C929" s="3" t="s">
        <v>2757</v>
      </c>
      <c r="D929" s="3" t="s">
        <v>2758</v>
      </c>
      <c r="E929" s="3" t="s">
        <v>2759</v>
      </c>
      <c r="F929" s="17" t="s">
        <v>36</v>
      </c>
      <c r="G929" s="3" t="s">
        <v>1983</v>
      </c>
      <c r="H929" s="4" t="s">
        <v>36</v>
      </c>
      <c r="I929" s="4">
        <v>3.0</v>
      </c>
      <c r="J929" s="3"/>
      <c r="K929" s="3" t="s">
        <v>2761</v>
      </c>
      <c r="L929" s="3" t="s">
        <v>2762</v>
      </c>
      <c r="M929" s="3" t="s">
        <v>22</v>
      </c>
      <c r="N929" s="5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 t="s">
        <v>14</v>
      </c>
      <c r="B930" s="3" t="s">
        <v>2764</v>
      </c>
      <c r="C930" s="3" t="s">
        <v>2765</v>
      </c>
      <c r="D930" s="3" t="s">
        <v>2764</v>
      </c>
      <c r="E930" s="3" t="s">
        <v>2765</v>
      </c>
      <c r="F930" s="3" t="s">
        <v>2764</v>
      </c>
      <c r="G930" s="3" t="s">
        <v>2765</v>
      </c>
      <c r="H930" s="4">
        <v>1.0</v>
      </c>
      <c r="I930" s="4">
        <v>1.0</v>
      </c>
      <c r="J930" s="3"/>
      <c r="K930" s="3" t="s">
        <v>2766</v>
      </c>
      <c r="L930" s="3" t="s">
        <v>2767</v>
      </c>
      <c r="M930" s="3" t="s">
        <v>22</v>
      </c>
      <c r="N930" s="5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 t="s">
        <v>14</v>
      </c>
      <c r="B931" s="3" t="s">
        <v>2768</v>
      </c>
      <c r="C931" s="3" t="s">
        <v>2769</v>
      </c>
      <c r="D931" s="3" t="s">
        <v>2770</v>
      </c>
      <c r="E931" s="3" t="s">
        <v>2771</v>
      </c>
      <c r="F931" s="3" t="s">
        <v>614</v>
      </c>
      <c r="G931" s="3" t="s">
        <v>614</v>
      </c>
      <c r="H931" s="4">
        <v>1.0</v>
      </c>
      <c r="I931" s="4">
        <v>1.0</v>
      </c>
      <c r="J931" s="3"/>
      <c r="K931" s="3" t="s">
        <v>2772</v>
      </c>
      <c r="L931" s="3" t="s">
        <v>2773</v>
      </c>
      <c r="M931" s="3" t="s">
        <v>22</v>
      </c>
      <c r="N931" s="5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 t="s">
        <v>14</v>
      </c>
      <c r="B932" s="3" t="s">
        <v>2768</v>
      </c>
      <c r="C932" s="3" t="s">
        <v>2769</v>
      </c>
      <c r="D932" s="3" t="s">
        <v>2770</v>
      </c>
      <c r="E932" s="3" t="s">
        <v>2771</v>
      </c>
      <c r="F932" s="3" t="s">
        <v>55</v>
      </c>
      <c r="G932" s="3" t="s">
        <v>56</v>
      </c>
      <c r="H932" s="4">
        <v>2.0</v>
      </c>
      <c r="I932" s="4">
        <v>2.0</v>
      </c>
      <c r="J932" s="3"/>
      <c r="K932" s="3" t="s">
        <v>2772</v>
      </c>
      <c r="L932" s="3" t="s">
        <v>2773</v>
      </c>
      <c r="M932" s="3" t="s">
        <v>22</v>
      </c>
      <c r="N932" s="5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 t="s">
        <v>14</v>
      </c>
      <c r="B933" s="3" t="s">
        <v>2774</v>
      </c>
      <c r="C933" s="3" t="s">
        <v>2775</v>
      </c>
      <c r="D933" s="3" t="s">
        <v>2776</v>
      </c>
      <c r="E933" s="3" t="s">
        <v>2777</v>
      </c>
      <c r="F933" s="3" t="s">
        <v>2778</v>
      </c>
      <c r="G933" s="3" t="s">
        <v>2779</v>
      </c>
      <c r="H933" s="4">
        <v>1.0</v>
      </c>
      <c r="I933" s="4">
        <v>1.0</v>
      </c>
      <c r="J933" s="3"/>
      <c r="K933" s="3" t="s">
        <v>2780</v>
      </c>
      <c r="L933" s="3" t="s">
        <v>2781</v>
      </c>
      <c r="M933" s="3" t="s">
        <v>22</v>
      </c>
      <c r="N933" s="5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 t="s">
        <v>14</v>
      </c>
      <c r="B934" s="3" t="s">
        <v>2774</v>
      </c>
      <c r="C934" s="3" t="s">
        <v>2775</v>
      </c>
      <c r="D934" s="3" t="s">
        <v>2776</v>
      </c>
      <c r="E934" s="3" t="s">
        <v>2777</v>
      </c>
      <c r="F934" s="3" t="s">
        <v>425</v>
      </c>
      <c r="G934" s="3" t="s">
        <v>425</v>
      </c>
      <c r="H934" s="4">
        <v>2.0</v>
      </c>
      <c r="I934" s="4">
        <v>2.0</v>
      </c>
      <c r="J934" s="3"/>
      <c r="K934" s="3" t="s">
        <v>2780</v>
      </c>
      <c r="L934" s="3" t="s">
        <v>2781</v>
      </c>
      <c r="M934" s="3" t="s">
        <v>22</v>
      </c>
      <c r="N934" s="5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 t="s">
        <v>14</v>
      </c>
      <c r="B935" s="3" t="s">
        <v>2782</v>
      </c>
      <c r="C935" s="3" t="s">
        <v>2783</v>
      </c>
      <c r="D935" s="3" t="s">
        <v>2784</v>
      </c>
      <c r="E935" s="3" t="s">
        <v>2785</v>
      </c>
      <c r="F935" s="3" t="s">
        <v>2786</v>
      </c>
      <c r="G935" s="3" t="s">
        <v>753</v>
      </c>
      <c r="H935" s="4">
        <v>1.0</v>
      </c>
      <c r="I935" s="4">
        <v>1.0</v>
      </c>
      <c r="J935" s="3" t="s">
        <v>72</v>
      </c>
      <c r="K935" s="3" t="s">
        <v>2787</v>
      </c>
      <c r="L935" s="3" t="s">
        <v>2788</v>
      </c>
      <c r="M935" s="3" t="s">
        <v>22</v>
      </c>
      <c r="N935" s="5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 t="s">
        <v>14</v>
      </c>
      <c r="B936" s="3" t="s">
        <v>2782</v>
      </c>
      <c r="C936" s="3" t="s">
        <v>2783</v>
      </c>
      <c r="D936" s="3" t="s">
        <v>2784</v>
      </c>
      <c r="E936" s="3" t="s">
        <v>2785</v>
      </c>
      <c r="F936" s="3" t="s">
        <v>2023</v>
      </c>
      <c r="G936" s="3" t="s">
        <v>2789</v>
      </c>
      <c r="H936" s="4">
        <v>2.0</v>
      </c>
      <c r="I936" s="4">
        <v>2.0</v>
      </c>
      <c r="J936" s="3"/>
      <c r="K936" s="3" t="s">
        <v>2787</v>
      </c>
      <c r="L936" s="3" t="s">
        <v>2788</v>
      </c>
      <c r="M936" s="3" t="s">
        <v>22</v>
      </c>
      <c r="N936" s="5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 t="s">
        <v>14</v>
      </c>
      <c r="B937" s="3" t="s">
        <v>2782</v>
      </c>
      <c r="C937" s="3" t="s">
        <v>2783</v>
      </c>
      <c r="D937" s="3" t="s">
        <v>2784</v>
      </c>
      <c r="E937" s="3" t="s">
        <v>2785</v>
      </c>
      <c r="F937" s="3" t="s">
        <v>1647</v>
      </c>
      <c r="G937" s="3" t="s">
        <v>1983</v>
      </c>
      <c r="H937" s="4">
        <v>3.0</v>
      </c>
      <c r="I937" s="4">
        <v>3.0</v>
      </c>
      <c r="J937" s="3"/>
      <c r="K937" s="3" t="s">
        <v>2787</v>
      </c>
      <c r="L937" s="3" t="s">
        <v>2788</v>
      </c>
      <c r="M937" s="3" t="s">
        <v>22</v>
      </c>
      <c r="N937" s="5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 t="s">
        <v>14</v>
      </c>
      <c r="B938" s="3" t="s">
        <v>2790</v>
      </c>
      <c r="C938" s="3" t="s">
        <v>2791</v>
      </c>
      <c r="D938" s="3" t="s">
        <v>2792</v>
      </c>
      <c r="E938" s="3" t="s">
        <v>2791</v>
      </c>
      <c r="F938" s="3" t="s">
        <v>2793</v>
      </c>
      <c r="G938" s="3" t="s">
        <v>2791</v>
      </c>
      <c r="H938" s="4">
        <v>1.0</v>
      </c>
      <c r="I938" s="4">
        <v>1.0</v>
      </c>
      <c r="J938" s="3"/>
      <c r="K938" s="3" t="s">
        <v>2794</v>
      </c>
      <c r="L938" s="3" t="s">
        <v>2795</v>
      </c>
      <c r="M938" s="3" t="s">
        <v>22</v>
      </c>
      <c r="N938" s="5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 t="s">
        <v>14</v>
      </c>
      <c r="B939" s="3" t="s">
        <v>2790</v>
      </c>
      <c r="C939" s="3" t="s">
        <v>2791</v>
      </c>
      <c r="D939" s="3" t="s">
        <v>2792</v>
      </c>
      <c r="E939" s="3" t="s">
        <v>2791</v>
      </c>
      <c r="F939" s="3" t="s">
        <v>848</v>
      </c>
      <c r="G939" s="3" t="s">
        <v>36</v>
      </c>
      <c r="H939" s="4">
        <v>2.0</v>
      </c>
      <c r="I939" s="4" t="s">
        <v>36</v>
      </c>
      <c r="J939" s="3"/>
      <c r="K939" s="3" t="s">
        <v>2794</v>
      </c>
      <c r="L939" s="3" t="s">
        <v>2795</v>
      </c>
      <c r="M939" s="3" t="s">
        <v>22</v>
      </c>
      <c r="N939" s="5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 t="s">
        <v>14</v>
      </c>
      <c r="B940" s="3" t="s">
        <v>2796</v>
      </c>
      <c r="C940" s="3" t="s">
        <v>2797</v>
      </c>
      <c r="D940" s="3" t="s">
        <v>2796</v>
      </c>
      <c r="E940" s="3" t="s">
        <v>2797</v>
      </c>
      <c r="F940" s="3" t="s">
        <v>2796</v>
      </c>
      <c r="G940" s="3" t="s">
        <v>2797</v>
      </c>
      <c r="H940" s="4">
        <v>1.0</v>
      </c>
      <c r="I940" s="4">
        <v>1.0</v>
      </c>
      <c r="J940" s="3" t="s">
        <v>72</v>
      </c>
      <c r="K940" s="3" t="s">
        <v>2798</v>
      </c>
      <c r="L940" s="3" t="s">
        <v>2799</v>
      </c>
      <c r="M940" s="3" t="s">
        <v>22</v>
      </c>
      <c r="N940" s="5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 t="s">
        <v>14</v>
      </c>
      <c r="B941" s="3" t="s">
        <v>2800</v>
      </c>
      <c r="C941" s="3" t="s">
        <v>2801</v>
      </c>
      <c r="D941" s="3" t="s">
        <v>2802</v>
      </c>
      <c r="E941" s="3" t="s">
        <v>2803</v>
      </c>
      <c r="F941" s="3" t="s">
        <v>335</v>
      </c>
      <c r="G941" s="3" t="s">
        <v>2804</v>
      </c>
      <c r="H941" s="4">
        <v>1.0</v>
      </c>
      <c r="I941" s="4">
        <v>1.0</v>
      </c>
      <c r="J941" s="3"/>
      <c r="K941" s="3" t="s">
        <v>2805</v>
      </c>
      <c r="L941" s="3" t="s">
        <v>2806</v>
      </c>
      <c r="M941" s="3" t="s">
        <v>22</v>
      </c>
      <c r="N941" s="5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 t="s">
        <v>14</v>
      </c>
      <c r="B942" s="3" t="s">
        <v>2800</v>
      </c>
      <c r="C942" s="3" t="s">
        <v>2801</v>
      </c>
      <c r="D942" s="3" t="s">
        <v>2802</v>
      </c>
      <c r="E942" s="3" t="s">
        <v>2803</v>
      </c>
      <c r="F942" s="3" t="s">
        <v>784</v>
      </c>
      <c r="G942" s="3" t="s">
        <v>784</v>
      </c>
      <c r="H942" s="4">
        <v>2.0</v>
      </c>
      <c r="I942" s="4">
        <v>2.0</v>
      </c>
      <c r="J942" s="3"/>
      <c r="K942" s="3" t="s">
        <v>2805</v>
      </c>
      <c r="L942" s="3" t="s">
        <v>2806</v>
      </c>
      <c r="M942" s="3" t="s">
        <v>22</v>
      </c>
      <c r="N942" s="5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 t="s">
        <v>14</v>
      </c>
      <c r="B943" s="3" t="s">
        <v>2807</v>
      </c>
      <c r="C943" s="3" t="s">
        <v>2808</v>
      </c>
      <c r="D943" s="3" t="s">
        <v>2809</v>
      </c>
      <c r="E943" s="3" t="s">
        <v>2810</v>
      </c>
      <c r="F943" s="3" t="s">
        <v>30</v>
      </c>
      <c r="G943" s="3" t="s">
        <v>49</v>
      </c>
      <c r="H943" s="4">
        <v>1.0</v>
      </c>
      <c r="I943" s="4">
        <v>1.0</v>
      </c>
      <c r="J943" s="3" t="s">
        <v>80</v>
      </c>
      <c r="K943" s="3" t="s">
        <v>2811</v>
      </c>
      <c r="L943" s="3" t="s">
        <v>2812</v>
      </c>
      <c r="M943" s="3" t="s">
        <v>22</v>
      </c>
      <c r="N943" s="5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 t="s">
        <v>14</v>
      </c>
      <c r="B944" s="3" t="s">
        <v>2807</v>
      </c>
      <c r="C944" s="3" t="s">
        <v>2808</v>
      </c>
      <c r="D944" s="3" t="s">
        <v>2809</v>
      </c>
      <c r="E944" s="3" t="s">
        <v>2810</v>
      </c>
      <c r="F944" s="3" t="s">
        <v>466</v>
      </c>
      <c r="G944" s="3" t="s">
        <v>36</v>
      </c>
      <c r="H944" s="4">
        <v>2.0</v>
      </c>
      <c r="I944" s="4" t="s">
        <v>36</v>
      </c>
      <c r="J944" s="3"/>
      <c r="K944" s="3" t="s">
        <v>2813</v>
      </c>
      <c r="L944" s="3" t="s">
        <v>2812</v>
      </c>
      <c r="M944" s="3" t="s">
        <v>22</v>
      </c>
      <c r="N944" s="5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 t="s">
        <v>14</v>
      </c>
      <c r="B945" s="3" t="s">
        <v>2807</v>
      </c>
      <c r="C945" s="3" t="s">
        <v>2808</v>
      </c>
      <c r="D945" s="3" t="s">
        <v>2809</v>
      </c>
      <c r="E945" s="3" t="s">
        <v>2810</v>
      </c>
      <c r="F945" s="3" t="s">
        <v>197</v>
      </c>
      <c r="G945" s="3" t="s">
        <v>2814</v>
      </c>
      <c r="H945" s="4">
        <v>3.0</v>
      </c>
      <c r="I945" s="4">
        <v>2.0</v>
      </c>
      <c r="J945" s="3"/>
      <c r="K945" s="3" t="s">
        <v>2815</v>
      </c>
      <c r="L945" s="3" t="s">
        <v>2812</v>
      </c>
      <c r="M945" s="3" t="s">
        <v>22</v>
      </c>
      <c r="N945" s="5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 t="s">
        <v>14</v>
      </c>
      <c r="B946" s="3" t="s">
        <v>2816</v>
      </c>
      <c r="C946" s="3" t="s">
        <v>2817</v>
      </c>
      <c r="D946" s="3" t="s">
        <v>2818</v>
      </c>
      <c r="E946" s="3" t="s">
        <v>2819</v>
      </c>
      <c r="F946" s="3" t="s">
        <v>30</v>
      </c>
      <c r="G946" s="3" t="s">
        <v>49</v>
      </c>
      <c r="H946" s="4">
        <v>1.0</v>
      </c>
      <c r="I946" s="4">
        <v>1.0</v>
      </c>
      <c r="J946" s="3"/>
      <c r="K946" s="3" t="s">
        <v>2820</v>
      </c>
      <c r="L946" s="3" t="s">
        <v>2821</v>
      </c>
      <c r="M946" s="3" t="s">
        <v>22</v>
      </c>
      <c r="N946" s="5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 t="s">
        <v>14</v>
      </c>
      <c r="B947" s="3" t="s">
        <v>2816</v>
      </c>
      <c r="C947" s="3" t="s">
        <v>2817</v>
      </c>
      <c r="D947" s="3" t="s">
        <v>2818</v>
      </c>
      <c r="E947" s="3" t="s">
        <v>2819</v>
      </c>
      <c r="F947" s="3" t="s">
        <v>2822</v>
      </c>
      <c r="G947" s="3" t="s">
        <v>2822</v>
      </c>
      <c r="H947" s="4">
        <v>2.0</v>
      </c>
      <c r="I947" s="4">
        <v>2.0</v>
      </c>
      <c r="J947" s="3"/>
      <c r="K947" s="3" t="s">
        <v>2820</v>
      </c>
      <c r="L947" s="3" t="s">
        <v>2821</v>
      </c>
      <c r="M947" s="3" t="s">
        <v>22</v>
      </c>
      <c r="N947" s="5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14</v>
      </c>
      <c r="B948" s="3" t="s">
        <v>2816</v>
      </c>
      <c r="C948" s="3" t="s">
        <v>2817</v>
      </c>
      <c r="D948" s="3" t="s">
        <v>2818</v>
      </c>
      <c r="E948" s="3" t="s">
        <v>2819</v>
      </c>
      <c r="F948" s="3" t="s">
        <v>2206</v>
      </c>
      <c r="G948" s="3" t="s">
        <v>784</v>
      </c>
      <c r="H948" s="4">
        <v>3.0</v>
      </c>
      <c r="I948" s="4">
        <v>3.0</v>
      </c>
      <c r="J948" s="3"/>
      <c r="K948" s="3" t="s">
        <v>2823</v>
      </c>
      <c r="L948" s="3" t="s">
        <v>2821</v>
      </c>
      <c r="M948" s="3" t="s">
        <v>22</v>
      </c>
      <c r="N948" s="5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 t="s">
        <v>14</v>
      </c>
      <c r="B949" s="3" t="s">
        <v>2824</v>
      </c>
      <c r="C949" s="3" t="s">
        <v>2825</v>
      </c>
      <c r="D949" s="3" t="s">
        <v>2826</v>
      </c>
      <c r="E949" s="3" t="s">
        <v>2827</v>
      </c>
      <c r="F949" s="3" t="s">
        <v>30</v>
      </c>
      <c r="G949" s="3" t="s">
        <v>49</v>
      </c>
      <c r="H949" s="4">
        <v>1.0</v>
      </c>
      <c r="I949" s="4">
        <v>1.0</v>
      </c>
      <c r="J949" s="3" t="s">
        <v>80</v>
      </c>
      <c r="K949" s="3" t="s">
        <v>2828</v>
      </c>
      <c r="L949" s="3" t="s">
        <v>2829</v>
      </c>
      <c r="M949" s="3" t="s">
        <v>22</v>
      </c>
      <c r="N949" s="5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 t="s">
        <v>14</v>
      </c>
      <c r="B950" s="3" t="s">
        <v>2824</v>
      </c>
      <c r="C950" s="3" t="s">
        <v>2825</v>
      </c>
      <c r="D950" s="3" t="s">
        <v>2826</v>
      </c>
      <c r="E950" s="3" t="s">
        <v>2827</v>
      </c>
      <c r="F950" s="3" t="s">
        <v>162</v>
      </c>
      <c r="G950" s="3" t="s">
        <v>158</v>
      </c>
      <c r="H950" s="4">
        <v>2.0</v>
      </c>
      <c r="I950" s="4">
        <v>2.0</v>
      </c>
      <c r="J950" s="3"/>
      <c r="K950" s="3" t="s">
        <v>2828</v>
      </c>
      <c r="L950" s="3" t="s">
        <v>2829</v>
      </c>
      <c r="M950" s="3" t="s">
        <v>22</v>
      </c>
      <c r="N950" s="5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 t="s">
        <v>14</v>
      </c>
      <c r="B951" s="3" t="s">
        <v>2824</v>
      </c>
      <c r="C951" s="3" t="s">
        <v>2825</v>
      </c>
      <c r="D951" s="3" t="s">
        <v>2826</v>
      </c>
      <c r="E951" s="3" t="s">
        <v>2827</v>
      </c>
      <c r="F951" s="17" t="s">
        <v>36</v>
      </c>
      <c r="G951" s="3" t="s">
        <v>624</v>
      </c>
      <c r="H951" s="4" t="s">
        <v>36</v>
      </c>
      <c r="I951" s="4">
        <v>3.0</v>
      </c>
      <c r="J951" s="3"/>
      <c r="K951" s="3" t="s">
        <v>2828</v>
      </c>
      <c r="L951" s="3" t="s">
        <v>2829</v>
      </c>
      <c r="M951" s="3" t="s">
        <v>22</v>
      </c>
      <c r="N951" s="5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 t="s">
        <v>14</v>
      </c>
      <c r="B952" s="3" t="s">
        <v>2830</v>
      </c>
      <c r="C952" s="3" t="s">
        <v>2831</v>
      </c>
      <c r="D952" s="3" t="s">
        <v>2832</v>
      </c>
      <c r="E952" s="3" t="s">
        <v>2833</v>
      </c>
      <c r="F952" s="3" t="s">
        <v>471</v>
      </c>
      <c r="G952" s="3" t="s">
        <v>2834</v>
      </c>
      <c r="H952" s="4">
        <v>1.0</v>
      </c>
      <c r="I952" s="4">
        <v>1.0</v>
      </c>
      <c r="J952" s="3" t="s">
        <v>80</v>
      </c>
      <c r="K952" s="3" t="s">
        <v>2835</v>
      </c>
      <c r="L952" s="3" t="s">
        <v>2836</v>
      </c>
      <c r="M952" s="3" t="s">
        <v>22</v>
      </c>
      <c r="N952" s="5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 t="s">
        <v>14</v>
      </c>
      <c r="B953" s="3" t="s">
        <v>2830</v>
      </c>
      <c r="C953" s="3" t="s">
        <v>2831</v>
      </c>
      <c r="D953" s="3" t="s">
        <v>2832</v>
      </c>
      <c r="E953" s="3" t="s">
        <v>2833</v>
      </c>
      <c r="F953" s="3" t="s">
        <v>2837</v>
      </c>
      <c r="G953" s="3" t="s">
        <v>1800</v>
      </c>
      <c r="H953" s="4">
        <v>2.0</v>
      </c>
      <c r="I953" s="4">
        <v>2.0</v>
      </c>
      <c r="J953" s="3"/>
      <c r="K953" s="3" t="s">
        <v>2835</v>
      </c>
      <c r="L953" s="3" t="s">
        <v>2836</v>
      </c>
      <c r="M953" s="3" t="s">
        <v>22</v>
      </c>
      <c r="N953" s="5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 t="s">
        <v>14</v>
      </c>
      <c r="B954" s="3" t="s">
        <v>2830</v>
      </c>
      <c r="C954" s="3" t="s">
        <v>2831</v>
      </c>
      <c r="D954" s="3" t="s">
        <v>2832</v>
      </c>
      <c r="E954" s="3" t="s">
        <v>2833</v>
      </c>
      <c r="F954" s="3" t="s">
        <v>36</v>
      </c>
      <c r="G954" s="3" t="s">
        <v>2838</v>
      </c>
      <c r="H954" s="4" t="s">
        <v>36</v>
      </c>
      <c r="I954" s="4">
        <v>3.0</v>
      </c>
      <c r="J954" s="3"/>
      <c r="K954" s="3" t="s">
        <v>2835</v>
      </c>
      <c r="L954" s="3" t="s">
        <v>2836</v>
      </c>
      <c r="M954" s="3" t="s">
        <v>22</v>
      </c>
      <c r="N954" s="5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 t="s">
        <v>14</v>
      </c>
      <c r="B955" s="3" t="s">
        <v>2830</v>
      </c>
      <c r="C955" s="3" t="s">
        <v>2831</v>
      </c>
      <c r="D955" s="3" t="s">
        <v>2832</v>
      </c>
      <c r="E955" s="3" t="s">
        <v>2833</v>
      </c>
      <c r="F955" s="3" t="s">
        <v>55</v>
      </c>
      <c r="G955" s="3" t="s">
        <v>2839</v>
      </c>
      <c r="H955" s="4">
        <v>3.0</v>
      </c>
      <c r="I955" s="4">
        <v>4.0</v>
      </c>
      <c r="J955" s="5"/>
      <c r="K955" s="3" t="s">
        <v>2835</v>
      </c>
      <c r="L955" s="3" t="s">
        <v>2836</v>
      </c>
      <c r="M955" s="3" t="s">
        <v>22</v>
      </c>
      <c r="N955" s="5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 t="s">
        <v>14</v>
      </c>
      <c r="B956" s="3" t="s">
        <v>2840</v>
      </c>
      <c r="C956" s="3" t="s">
        <v>2841</v>
      </c>
      <c r="D956" s="3" t="s">
        <v>2842</v>
      </c>
      <c r="E956" s="3" t="s">
        <v>2843</v>
      </c>
      <c r="F956" s="3" t="s">
        <v>801</v>
      </c>
      <c r="G956" s="3" t="s">
        <v>334</v>
      </c>
      <c r="H956" s="4">
        <v>1.0</v>
      </c>
      <c r="I956" s="4">
        <v>1.0</v>
      </c>
      <c r="J956" s="5"/>
      <c r="K956" s="3" t="s">
        <v>2844</v>
      </c>
      <c r="L956" s="3" t="s">
        <v>2845</v>
      </c>
      <c r="M956" s="3" t="s">
        <v>22</v>
      </c>
      <c r="N956" s="5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 t="s">
        <v>14</v>
      </c>
      <c r="B957" s="3" t="s">
        <v>2840</v>
      </c>
      <c r="C957" s="3" t="s">
        <v>2841</v>
      </c>
      <c r="D957" s="3" t="s">
        <v>2842</v>
      </c>
      <c r="E957" s="3" t="s">
        <v>2843</v>
      </c>
      <c r="F957" s="3" t="s">
        <v>2846</v>
      </c>
      <c r="G957" s="3" t="s">
        <v>2846</v>
      </c>
      <c r="H957" s="4">
        <v>2.0</v>
      </c>
      <c r="I957" s="4">
        <v>2.0</v>
      </c>
      <c r="J957" s="5"/>
      <c r="K957" s="3" t="s">
        <v>2844</v>
      </c>
      <c r="L957" s="3" t="s">
        <v>2845</v>
      </c>
      <c r="M957" s="3" t="s">
        <v>22</v>
      </c>
      <c r="N957" s="5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 t="s">
        <v>14</v>
      </c>
      <c r="B958" s="3" t="s">
        <v>2840</v>
      </c>
      <c r="C958" s="3" t="s">
        <v>2841</v>
      </c>
      <c r="D958" s="3" t="s">
        <v>2842</v>
      </c>
      <c r="E958" s="3" t="s">
        <v>2843</v>
      </c>
      <c r="F958" s="3" t="s">
        <v>143</v>
      </c>
      <c r="G958" s="3" t="s">
        <v>1116</v>
      </c>
      <c r="H958" s="4">
        <v>3.0</v>
      </c>
      <c r="I958" s="4">
        <v>3.0</v>
      </c>
      <c r="J958" s="5"/>
      <c r="K958" s="3" t="s">
        <v>2844</v>
      </c>
      <c r="L958" s="3" t="s">
        <v>2845</v>
      </c>
      <c r="M958" s="3" t="s">
        <v>22</v>
      </c>
      <c r="N958" s="5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 t="s">
        <v>14</v>
      </c>
      <c r="B959" s="3" t="s">
        <v>409</v>
      </c>
      <c r="C959" s="3" t="s">
        <v>2847</v>
      </c>
      <c r="D959" s="3" t="s">
        <v>409</v>
      </c>
      <c r="E959" s="3" t="s">
        <v>2848</v>
      </c>
      <c r="F959" s="3" t="s">
        <v>409</v>
      </c>
      <c r="G959" s="3" t="s">
        <v>172</v>
      </c>
      <c r="H959" s="4">
        <v>1.0</v>
      </c>
      <c r="I959" s="4">
        <v>1.0</v>
      </c>
      <c r="J959" s="3" t="s">
        <v>80</v>
      </c>
      <c r="K959" s="3" t="s">
        <v>2849</v>
      </c>
      <c r="L959" s="3" t="s">
        <v>2850</v>
      </c>
      <c r="M959" s="3" t="s">
        <v>22</v>
      </c>
      <c r="N959" s="5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 t="s">
        <v>14</v>
      </c>
      <c r="B960" s="3" t="s">
        <v>409</v>
      </c>
      <c r="C960" s="3" t="s">
        <v>2847</v>
      </c>
      <c r="D960" s="3" t="s">
        <v>409</v>
      </c>
      <c r="E960" s="3" t="s">
        <v>2848</v>
      </c>
      <c r="F960" s="3" t="s">
        <v>36</v>
      </c>
      <c r="G960" s="3" t="s">
        <v>19</v>
      </c>
      <c r="H960" s="4" t="s">
        <v>36</v>
      </c>
      <c r="I960" s="4">
        <v>2.0</v>
      </c>
      <c r="J960" s="3"/>
      <c r="K960" s="3" t="s">
        <v>2849</v>
      </c>
      <c r="L960" s="3" t="s">
        <v>2850</v>
      </c>
      <c r="M960" s="3" t="s">
        <v>22</v>
      </c>
      <c r="N960" s="5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 t="s">
        <v>14</v>
      </c>
      <c r="B961" s="3" t="s">
        <v>2851</v>
      </c>
      <c r="C961" s="3" t="s">
        <v>2852</v>
      </c>
      <c r="D961" s="3" t="s">
        <v>2853</v>
      </c>
      <c r="E961" s="3" t="s">
        <v>2854</v>
      </c>
      <c r="F961" s="3" t="s">
        <v>2855</v>
      </c>
      <c r="G961" s="3" t="s">
        <v>387</v>
      </c>
      <c r="H961" s="4">
        <v>1.0</v>
      </c>
      <c r="I961" s="4">
        <v>1.0</v>
      </c>
      <c r="J961" s="5"/>
      <c r="K961" s="3" t="s">
        <v>2856</v>
      </c>
      <c r="L961" s="3" t="s">
        <v>2857</v>
      </c>
      <c r="M961" s="3" t="s">
        <v>22</v>
      </c>
      <c r="N961" s="5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14</v>
      </c>
      <c r="B962" s="3" t="s">
        <v>2851</v>
      </c>
      <c r="C962" s="3" t="s">
        <v>2852</v>
      </c>
      <c r="D962" s="3" t="s">
        <v>2853</v>
      </c>
      <c r="E962" s="3" t="s">
        <v>2854</v>
      </c>
      <c r="F962" s="3" t="s">
        <v>2858</v>
      </c>
      <c r="G962" s="3" t="s">
        <v>1830</v>
      </c>
      <c r="H962" s="4">
        <v>2.0</v>
      </c>
      <c r="I962" s="4">
        <v>2.0</v>
      </c>
      <c r="J962" s="5"/>
      <c r="K962" s="3" t="s">
        <v>2856</v>
      </c>
      <c r="L962" s="3" t="s">
        <v>2857</v>
      </c>
      <c r="M962" s="3" t="s">
        <v>22</v>
      </c>
      <c r="N962" s="5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 t="s">
        <v>14</v>
      </c>
      <c r="B963" s="3" t="s">
        <v>2851</v>
      </c>
      <c r="C963" s="3" t="s">
        <v>2852</v>
      </c>
      <c r="D963" s="3" t="s">
        <v>2853</v>
      </c>
      <c r="E963" s="3" t="s">
        <v>2854</v>
      </c>
      <c r="F963" s="3" t="s">
        <v>98</v>
      </c>
      <c r="G963" s="3" t="s">
        <v>98</v>
      </c>
      <c r="H963" s="4">
        <v>3.0</v>
      </c>
      <c r="I963" s="4">
        <v>3.0</v>
      </c>
      <c r="J963" s="5"/>
      <c r="K963" s="3" t="s">
        <v>2856</v>
      </c>
      <c r="L963" s="3" t="s">
        <v>2857</v>
      </c>
      <c r="M963" s="3" t="s">
        <v>22</v>
      </c>
      <c r="N963" s="5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14</v>
      </c>
      <c r="B964" s="3" t="s">
        <v>2859</v>
      </c>
      <c r="C964" s="3" t="s">
        <v>2860</v>
      </c>
      <c r="D964" s="3" t="s">
        <v>2861</v>
      </c>
      <c r="E964" s="3" t="s">
        <v>2862</v>
      </c>
      <c r="F964" s="3" t="s">
        <v>2863</v>
      </c>
      <c r="G964" s="3" t="s">
        <v>908</v>
      </c>
      <c r="H964" s="4">
        <v>1.0</v>
      </c>
      <c r="I964" s="4">
        <v>1.0</v>
      </c>
      <c r="J964" s="3" t="s">
        <v>80</v>
      </c>
      <c r="K964" s="3" t="s">
        <v>2864</v>
      </c>
      <c r="L964" s="3" t="s">
        <v>2865</v>
      </c>
      <c r="M964" s="3" t="s">
        <v>22</v>
      </c>
      <c r="N964" s="5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 t="s">
        <v>14</v>
      </c>
      <c r="B965" s="3" t="s">
        <v>2859</v>
      </c>
      <c r="C965" s="3" t="s">
        <v>2860</v>
      </c>
      <c r="D965" s="3" t="s">
        <v>2861</v>
      </c>
      <c r="E965" s="3" t="s">
        <v>2862</v>
      </c>
      <c r="F965" s="3" t="s">
        <v>806</v>
      </c>
      <c r="G965" s="3" t="s">
        <v>2755</v>
      </c>
      <c r="H965" s="4">
        <v>2.0</v>
      </c>
      <c r="I965" s="4">
        <v>2.0</v>
      </c>
      <c r="J965" s="5"/>
      <c r="K965" s="3" t="s">
        <v>2866</v>
      </c>
      <c r="L965" s="3" t="s">
        <v>2865</v>
      </c>
      <c r="M965" s="3" t="s">
        <v>22</v>
      </c>
      <c r="N965" s="5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14</v>
      </c>
      <c r="B966" s="3" t="s">
        <v>2859</v>
      </c>
      <c r="C966" s="3" t="s">
        <v>2860</v>
      </c>
      <c r="D966" s="3" t="s">
        <v>2861</v>
      </c>
      <c r="E966" s="3" t="s">
        <v>2862</v>
      </c>
      <c r="F966" s="3" t="s">
        <v>36</v>
      </c>
      <c r="G966" s="3" t="s">
        <v>2867</v>
      </c>
      <c r="H966" s="4" t="s">
        <v>36</v>
      </c>
      <c r="I966" s="4">
        <v>3.0</v>
      </c>
      <c r="J966" s="3"/>
      <c r="K966" s="3" t="s">
        <v>2868</v>
      </c>
      <c r="L966" s="3" t="s">
        <v>2865</v>
      </c>
      <c r="M966" s="3" t="s">
        <v>22</v>
      </c>
      <c r="N966" s="5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 t="s">
        <v>14</v>
      </c>
      <c r="B967" s="3" t="s">
        <v>2859</v>
      </c>
      <c r="C967" s="3" t="s">
        <v>2860</v>
      </c>
      <c r="D967" s="3" t="s">
        <v>2861</v>
      </c>
      <c r="E967" s="3" t="s">
        <v>2862</v>
      </c>
      <c r="F967" s="3" t="s">
        <v>2869</v>
      </c>
      <c r="G967" s="3" t="s">
        <v>1983</v>
      </c>
      <c r="H967" s="4">
        <v>3.0</v>
      </c>
      <c r="I967" s="4">
        <v>4.0</v>
      </c>
      <c r="J967" s="5"/>
      <c r="K967" s="3" t="s">
        <v>2864</v>
      </c>
      <c r="L967" s="3" t="s">
        <v>2865</v>
      </c>
      <c r="M967" s="3" t="s">
        <v>22</v>
      </c>
      <c r="N967" s="5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14</v>
      </c>
      <c r="B968" s="3" t="s">
        <v>2870</v>
      </c>
      <c r="C968" s="6" t="s">
        <v>2871</v>
      </c>
      <c r="D968" s="3" t="s">
        <v>2872</v>
      </c>
      <c r="E968" s="3" t="s">
        <v>2873</v>
      </c>
      <c r="F968" s="3" t="s">
        <v>2874</v>
      </c>
      <c r="G968" s="3" t="s">
        <v>2874</v>
      </c>
      <c r="H968" s="4">
        <v>1.0</v>
      </c>
      <c r="I968" s="4">
        <v>1.0</v>
      </c>
      <c r="J968" s="3" t="s">
        <v>80</v>
      </c>
      <c r="K968" s="3" t="s">
        <v>2875</v>
      </c>
      <c r="L968" s="3" t="s">
        <v>2876</v>
      </c>
      <c r="M968" s="3" t="s">
        <v>22</v>
      </c>
      <c r="N968" s="5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 t="s">
        <v>14</v>
      </c>
      <c r="B969" s="3" t="s">
        <v>2870</v>
      </c>
      <c r="C969" s="6" t="s">
        <v>2871</v>
      </c>
      <c r="D969" s="3" t="s">
        <v>2872</v>
      </c>
      <c r="E969" s="3" t="s">
        <v>2873</v>
      </c>
      <c r="F969" s="3" t="s">
        <v>238</v>
      </c>
      <c r="G969" s="3" t="s">
        <v>238</v>
      </c>
      <c r="H969" s="4">
        <v>2.0</v>
      </c>
      <c r="I969" s="4">
        <v>2.0</v>
      </c>
      <c r="J969" s="5"/>
      <c r="K969" s="3" t="s">
        <v>2875</v>
      </c>
      <c r="L969" s="3" t="s">
        <v>2876</v>
      </c>
      <c r="M969" s="3" t="s">
        <v>22</v>
      </c>
      <c r="N969" s="5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14</v>
      </c>
      <c r="B970" s="3" t="s">
        <v>2870</v>
      </c>
      <c r="C970" s="6" t="s">
        <v>2871</v>
      </c>
      <c r="D970" s="3" t="s">
        <v>2872</v>
      </c>
      <c r="E970" s="3" t="s">
        <v>2873</v>
      </c>
      <c r="F970" s="3" t="s">
        <v>36</v>
      </c>
      <c r="G970" s="3" t="s">
        <v>2877</v>
      </c>
      <c r="H970" s="4" t="s">
        <v>36</v>
      </c>
      <c r="I970" s="4">
        <v>3.0</v>
      </c>
      <c r="J970" s="3"/>
      <c r="K970" s="3" t="s">
        <v>2875</v>
      </c>
      <c r="L970" s="3" t="s">
        <v>2876</v>
      </c>
      <c r="M970" s="3" t="s">
        <v>22</v>
      </c>
      <c r="N970" s="5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 t="s">
        <v>14</v>
      </c>
      <c r="B971" s="3" t="s">
        <v>2870</v>
      </c>
      <c r="C971" s="6" t="s">
        <v>2871</v>
      </c>
      <c r="D971" s="3" t="s">
        <v>2872</v>
      </c>
      <c r="E971" s="3" t="s">
        <v>2873</v>
      </c>
      <c r="F971" s="3" t="s">
        <v>1920</v>
      </c>
      <c r="G971" s="3" t="s">
        <v>103</v>
      </c>
      <c r="H971" s="4">
        <v>3.0</v>
      </c>
      <c r="I971" s="4">
        <v>4.0</v>
      </c>
      <c r="J971" s="5"/>
      <c r="K971" s="3" t="s">
        <v>2875</v>
      </c>
      <c r="L971" s="3" t="s">
        <v>2876</v>
      </c>
      <c r="M971" s="3" t="s">
        <v>22</v>
      </c>
      <c r="N971" s="5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14</v>
      </c>
      <c r="B972" s="3" t="s">
        <v>2878</v>
      </c>
      <c r="C972" s="6" t="s">
        <v>2879</v>
      </c>
      <c r="D972" s="3" t="s">
        <v>2880</v>
      </c>
      <c r="E972" s="3" t="s">
        <v>2881</v>
      </c>
      <c r="F972" s="3" t="s">
        <v>1968</v>
      </c>
      <c r="G972" s="3" t="s">
        <v>1965</v>
      </c>
      <c r="H972" s="4">
        <v>1.0</v>
      </c>
      <c r="I972" s="4">
        <v>1.0</v>
      </c>
      <c r="J972" s="3" t="s">
        <v>80</v>
      </c>
      <c r="K972" s="3" t="s">
        <v>2882</v>
      </c>
      <c r="L972" s="3" t="s">
        <v>2883</v>
      </c>
      <c r="M972" s="3" t="s">
        <v>22</v>
      </c>
      <c r="N972" s="5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 t="s">
        <v>14</v>
      </c>
      <c r="B973" s="3" t="s">
        <v>2878</v>
      </c>
      <c r="C973" s="6" t="s">
        <v>2879</v>
      </c>
      <c r="D973" s="3" t="s">
        <v>2880</v>
      </c>
      <c r="E973" s="3" t="s">
        <v>2881</v>
      </c>
      <c r="F973" s="3" t="s">
        <v>238</v>
      </c>
      <c r="G973" s="3" t="s">
        <v>238</v>
      </c>
      <c r="H973" s="4">
        <v>2.0</v>
      </c>
      <c r="I973" s="4">
        <v>2.0</v>
      </c>
      <c r="J973" s="5"/>
      <c r="K973" s="3" t="s">
        <v>2882</v>
      </c>
      <c r="L973" s="3" t="s">
        <v>2883</v>
      </c>
      <c r="M973" s="3" t="s">
        <v>22</v>
      </c>
      <c r="N973" s="5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14</v>
      </c>
      <c r="B974" s="3" t="s">
        <v>2878</v>
      </c>
      <c r="C974" s="6" t="s">
        <v>2879</v>
      </c>
      <c r="D974" s="3" t="s">
        <v>2880</v>
      </c>
      <c r="E974" s="3" t="s">
        <v>2881</v>
      </c>
      <c r="F974" s="3" t="s">
        <v>36</v>
      </c>
      <c r="G974" s="3" t="s">
        <v>2877</v>
      </c>
      <c r="H974" s="4" t="s">
        <v>36</v>
      </c>
      <c r="I974" s="4">
        <v>3.0</v>
      </c>
      <c r="J974" s="3"/>
      <c r="K974" s="3" t="s">
        <v>2882</v>
      </c>
      <c r="L974" s="3" t="s">
        <v>2883</v>
      </c>
      <c r="M974" s="3" t="s">
        <v>22</v>
      </c>
      <c r="N974" s="5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 t="s">
        <v>14</v>
      </c>
      <c r="B975" s="3" t="s">
        <v>2878</v>
      </c>
      <c r="C975" s="6" t="s">
        <v>2879</v>
      </c>
      <c r="D975" s="3" t="s">
        <v>2880</v>
      </c>
      <c r="E975" s="3" t="s">
        <v>2881</v>
      </c>
      <c r="F975" s="3" t="s">
        <v>1920</v>
      </c>
      <c r="G975" s="3" t="s">
        <v>103</v>
      </c>
      <c r="H975" s="4">
        <v>3.0</v>
      </c>
      <c r="I975" s="4">
        <v>4.0</v>
      </c>
      <c r="J975" s="5"/>
      <c r="K975" s="3" t="s">
        <v>2882</v>
      </c>
      <c r="L975" s="3" t="s">
        <v>2883</v>
      </c>
      <c r="M975" s="3" t="s">
        <v>22</v>
      </c>
      <c r="N975" s="5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5" t="s">
        <v>14</v>
      </c>
      <c r="B976" s="15" t="s">
        <v>2884</v>
      </c>
      <c r="C976" s="15" t="s">
        <v>2555</v>
      </c>
      <c r="D976" s="15" t="s">
        <v>2885</v>
      </c>
      <c r="E976" s="15" t="s">
        <v>2557</v>
      </c>
      <c r="F976" s="15" t="s">
        <v>36</v>
      </c>
      <c r="G976" s="15" t="s">
        <v>301</v>
      </c>
      <c r="H976" s="18" t="s">
        <v>36</v>
      </c>
      <c r="I976" s="18">
        <v>1.0</v>
      </c>
      <c r="J976" s="15" t="s">
        <v>80</v>
      </c>
      <c r="K976" s="15" t="s">
        <v>2558</v>
      </c>
      <c r="L976" s="15" t="s">
        <v>2886</v>
      </c>
      <c r="M976" s="15" t="s">
        <v>22</v>
      </c>
      <c r="N976" s="20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5" t="s">
        <v>14</v>
      </c>
      <c r="B977" s="15" t="s">
        <v>2884</v>
      </c>
      <c r="C977" s="15" t="s">
        <v>2555</v>
      </c>
      <c r="D977" s="15" t="s">
        <v>2885</v>
      </c>
      <c r="E977" s="15" t="s">
        <v>2557</v>
      </c>
      <c r="F977" s="15" t="s">
        <v>961</v>
      </c>
      <c r="G977" s="15" t="s">
        <v>961</v>
      </c>
      <c r="H977" s="18">
        <v>1.0</v>
      </c>
      <c r="I977" s="18">
        <v>2.0</v>
      </c>
      <c r="J977" s="15"/>
      <c r="K977" s="15" t="s">
        <v>2558</v>
      </c>
      <c r="L977" s="15" t="s">
        <v>2886</v>
      </c>
      <c r="M977" s="15" t="s">
        <v>22</v>
      </c>
      <c r="N977" s="20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5" t="s">
        <v>14</v>
      </c>
      <c r="B978" s="15" t="s">
        <v>2884</v>
      </c>
      <c r="C978" s="15" t="s">
        <v>2555</v>
      </c>
      <c r="D978" s="15" t="s">
        <v>2885</v>
      </c>
      <c r="E978" s="15" t="s">
        <v>2557</v>
      </c>
      <c r="F978" s="15" t="s">
        <v>1647</v>
      </c>
      <c r="G978" s="15" t="s">
        <v>1983</v>
      </c>
      <c r="H978" s="18">
        <v>2.0</v>
      </c>
      <c r="I978" s="18">
        <v>3.0</v>
      </c>
      <c r="J978" s="20"/>
      <c r="K978" s="15" t="s">
        <v>2558</v>
      </c>
      <c r="L978" s="15" t="s">
        <v>2886</v>
      </c>
      <c r="M978" s="15" t="s">
        <v>22</v>
      </c>
      <c r="N978" s="20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5" t="s">
        <v>14</v>
      </c>
      <c r="B979" s="15" t="s">
        <v>2887</v>
      </c>
      <c r="C979" s="15" t="s">
        <v>2888</v>
      </c>
      <c r="D979" s="15" t="s">
        <v>2889</v>
      </c>
      <c r="E979" s="15" t="s">
        <v>2890</v>
      </c>
      <c r="F979" s="15" t="s">
        <v>128</v>
      </c>
      <c r="G979" s="15" t="s">
        <v>36</v>
      </c>
      <c r="H979" s="18">
        <v>1.0</v>
      </c>
      <c r="I979" s="18" t="s">
        <v>36</v>
      </c>
      <c r="J979" s="20"/>
      <c r="K979" s="15" t="s">
        <v>2813</v>
      </c>
      <c r="L979" s="15" t="s">
        <v>2891</v>
      </c>
      <c r="M979" s="15" t="s">
        <v>22</v>
      </c>
      <c r="N979" s="20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5" t="s">
        <v>14</v>
      </c>
      <c r="B980" s="15" t="s">
        <v>2887</v>
      </c>
      <c r="C980" s="15" t="s">
        <v>2888</v>
      </c>
      <c r="D980" s="15" t="s">
        <v>2889</v>
      </c>
      <c r="E980" s="15" t="s">
        <v>2890</v>
      </c>
      <c r="F980" s="15" t="s">
        <v>451</v>
      </c>
      <c r="G980" s="15" t="s">
        <v>2892</v>
      </c>
      <c r="H980" s="18">
        <v>2.0</v>
      </c>
      <c r="I980" s="18">
        <v>1.0</v>
      </c>
      <c r="J980" s="20"/>
      <c r="K980" s="15" t="s">
        <v>2813</v>
      </c>
      <c r="L980" s="15" t="s">
        <v>2891</v>
      </c>
      <c r="M980" s="15" t="s">
        <v>22</v>
      </c>
      <c r="N980" s="20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5" t="s">
        <v>14</v>
      </c>
      <c r="B981" s="15" t="s">
        <v>2887</v>
      </c>
      <c r="C981" s="15" t="s">
        <v>2888</v>
      </c>
      <c r="D981" s="15" t="s">
        <v>2889</v>
      </c>
      <c r="E981" s="15" t="s">
        <v>2890</v>
      </c>
      <c r="F981" s="15" t="s">
        <v>23</v>
      </c>
      <c r="G981" s="15" t="s">
        <v>128</v>
      </c>
      <c r="H981" s="18">
        <v>3.0</v>
      </c>
      <c r="I981" s="18">
        <v>2.0</v>
      </c>
      <c r="J981" s="20"/>
      <c r="K981" s="15" t="s">
        <v>2813</v>
      </c>
      <c r="L981" s="15" t="s">
        <v>2891</v>
      </c>
      <c r="M981" s="15" t="s">
        <v>22</v>
      </c>
      <c r="N981" s="20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3" t="s">
        <v>14</v>
      </c>
      <c r="B982" s="3" t="s">
        <v>2893</v>
      </c>
      <c r="C982" s="3" t="s">
        <v>2894</v>
      </c>
      <c r="D982" s="3" t="s">
        <v>2895</v>
      </c>
      <c r="E982" s="3" t="s">
        <v>2896</v>
      </c>
      <c r="F982" s="3" t="s">
        <v>128</v>
      </c>
      <c r="G982" s="3" t="s">
        <v>1211</v>
      </c>
      <c r="H982" s="4">
        <v>1.0</v>
      </c>
      <c r="I982" s="4">
        <v>1.0</v>
      </c>
      <c r="J982" s="5"/>
      <c r="K982" s="3" t="s">
        <v>2897</v>
      </c>
      <c r="L982" s="3" t="s">
        <v>2898</v>
      </c>
      <c r="M982" s="3" t="s">
        <v>22</v>
      </c>
      <c r="N982" s="5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 t="s">
        <v>14</v>
      </c>
      <c r="B983" s="3" t="s">
        <v>2893</v>
      </c>
      <c r="C983" s="3" t="s">
        <v>2894</v>
      </c>
      <c r="D983" s="3" t="s">
        <v>2895</v>
      </c>
      <c r="E983" s="3" t="s">
        <v>2896</v>
      </c>
      <c r="F983" s="3" t="s">
        <v>451</v>
      </c>
      <c r="G983" s="3" t="s">
        <v>36</v>
      </c>
      <c r="H983" s="4">
        <v>2.0</v>
      </c>
      <c r="I983" s="4" t="s">
        <v>36</v>
      </c>
      <c r="J983" s="5"/>
      <c r="K983" s="3" t="s">
        <v>2897</v>
      </c>
      <c r="L983" s="3" t="s">
        <v>2898</v>
      </c>
      <c r="M983" s="3" t="s">
        <v>22</v>
      </c>
      <c r="N983" s="5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14</v>
      </c>
      <c r="B984" s="3" t="s">
        <v>2893</v>
      </c>
      <c r="C984" s="3" t="s">
        <v>2894</v>
      </c>
      <c r="D984" s="3" t="s">
        <v>2895</v>
      </c>
      <c r="E984" s="3" t="s">
        <v>2896</v>
      </c>
      <c r="F984" s="3" t="s">
        <v>362</v>
      </c>
      <c r="G984" s="3" t="s">
        <v>362</v>
      </c>
      <c r="H984" s="4">
        <v>3.0</v>
      </c>
      <c r="I984" s="4">
        <v>2.0</v>
      </c>
      <c r="J984" s="5"/>
      <c r="K984" s="3" t="s">
        <v>2897</v>
      </c>
      <c r="L984" s="3" t="s">
        <v>2898</v>
      </c>
      <c r="M984" s="3" t="s">
        <v>22</v>
      </c>
      <c r="N984" s="5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5" t="s">
        <v>14</v>
      </c>
      <c r="B985" s="15" t="s">
        <v>2899</v>
      </c>
      <c r="C985" s="15" t="s">
        <v>2900</v>
      </c>
      <c r="D985" s="15" t="s">
        <v>2901</v>
      </c>
      <c r="E985" s="15" t="s">
        <v>2902</v>
      </c>
      <c r="F985" s="15" t="s">
        <v>128</v>
      </c>
      <c r="G985" s="15" t="s">
        <v>36</v>
      </c>
      <c r="H985" s="18">
        <v>1.0</v>
      </c>
      <c r="I985" s="18" t="s">
        <v>36</v>
      </c>
      <c r="J985" s="20"/>
      <c r="K985" s="15" t="s">
        <v>2903</v>
      </c>
      <c r="L985" s="15" t="s">
        <v>2904</v>
      </c>
      <c r="M985" s="15" t="s">
        <v>22</v>
      </c>
      <c r="N985" s="20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5" t="s">
        <v>14</v>
      </c>
      <c r="B986" s="15" t="s">
        <v>2899</v>
      </c>
      <c r="C986" s="15" t="s">
        <v>2900</v>
      </c>
      <c r="D986" s="15" t="s">
        <v>2901</v>
      </c>
      <c r="E986" s="15" t="s">
        <v>2902</v>
      </c>
      <c r="F986" s="15" t="s">
        <v>2123</v>
      </c>
      <c r="G986" s="15" t="s">
        <v>2905</v>
      </c>
      <c r="H986" s="18">
        <v>2.0</v>
      </c>
      <c r="I986" s="18">
        <v>1.0</v>
      </c>
      <c r="J986" s="20"/>
      <c r="K986" s="15" t="s">
        <v>2903</v>
      </c>
      <c r="L986" s="15" t="s">
        <v>2904</v>
      </c>
      <c r="M986" s="15" t="s">
        <v>22</v>
      </c>
      <c r="N986" s="20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5" t="s">
        <v>14</v>
      </c>
      <c r="B987" s="15" t="s">
        <v>2899</v>
      </c>
      <c r="C987" s="15" t="s">
        <v>2900</v>
      </c>
      <c r="D987" s="15" t="s">
        <v>2901</v>
      </c>
      <c r="E987" s="15" t="s">
        <v>2902</v>
      </c>
      <c r="F987" s="15" t="s">
        <v>55</v>
      </c>
      <c r="G987" s="15" t="s">
        <v>56</v>
      </c>
      <c r="H987" s="18">
        <v>3.0</v>
      </c>
      <c r="I987" s="18">
        <v>2.0</v>
      </c>
      <c r="J987" s="20"/>
      <c r="K987" s="15" t="s">
        <v>2903</v>
      </c>
      <c r="L987" s="15" t="s">
        <v>2904</v>
      </c>
      <c r="M987" s="15" t="s">
        <v>22</v>
      </c>
      <c r="N987" s="20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3" t="s">
        <v>14</v>
      </c>
      <c r="B988" s="3" t="s">
        <v>2906</v>
      </c>
      <c r="C988" s="3" t="s">
        <v>2907</v>
      </c>
      <c r="D988" s="3" t="s">
        <v>2908</v>
      </c>
      <c r="E988" s="3" t="s">
        <v>2909</v>
      </c>
      <c r="F988" s="3" t="s">
        <v>2910</v>
      </c>
      <c r="G988" s="3" t="s">
        <v>312</v>
      </c>
      <c r="H988" s="4">
        <v>1.0</v>
      </c>
      <c r="I988" s="4">
        <v>1.0</v>
      </c>
      <c r="J988" s="5"/>
      <c r="K988" s="3" t="s">
        <v>2911</v>
      </c>
      <c r="L988" s="3" t="s">
        <v>2912</v>
      </c>
      <c r="M988" s="3" t="s">
        <v>22</v>
      </c>
      <c r="N988" s="5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 t="s">
        <v>14</v>
      </c>
      <c r="B989" s="3" t="s">
        <v>2906</v>
      </c>
      <c r="C989" s="3" t="s">
        <v>2907</v>
      </c>
      <c r="D989" s="3" t="s">
        <v>2908</v>
      </c>
      <c r="E989" s="3" t="s">
        <v>2909</v>
      </c>
      <c r="F989" s="3" t="s">
        <v>2216</v>
      </c>
      <c r="G989" s="3" t="s">
        <v>2913</v>
      </c>
      <c r="H989" s="4">
        <v>2.0</v>
      </c>
      <c r="I989" s="4">
        <v>2.0</v>
      </c>
      <c r="J989" s="5"/>
      <c r="K989" s="3" t="s">
        <v>2911</v>
      </c>
      <c r="L989" s="3" t="s">
        <v>2912</v>
      </c>
      <c r="M989" s="3" t="s">
        <v>22</v>
      </c>
      <c r="N989" s="5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14</v>
      </c>
      <c r="B990" s="3" t="s">
        <v>2906</v>
      </c>
      <c r="C990" s="3" t="s">
        <v>2907</v>
      </c>
      <c r="D990" s="3" t="s">
        <v>2908</v>
      </c>
      <c r="E990" s="3" t="s">
        <v>2909</v>
      </c>
      <c r="F990" s="3" t="s">
        <v>143</v>
      </c>
      <c r="G990" s="3" t="s">
        <v>1116</v>
      </c>
      <c r="H990" s="4">
        <v>3.0</v>
      </c>
      <c r="I990" s="4">
        <v>3.0</v>
      </c>
      <c r="J990" s="5"/>
      <c r="K990" s="3" t="s">
        <v>2911</v>
      </c>
      <c r="L990" s="3" t="s">
        <v>2912</v>
      </c>
      <c r="M990" s="3" t="s">
        <v>22</v>
      </c>
      <c r="N990" s="5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 t="s">
        <v>14</v>
      </c>
      <c r="B991" s="3" t="s">
        <v>2914</v>
      </c>
      <c r="C991" s="3" t="s">
        <v>2915</v>
      </c>
      <c r="D991" s="3" t="s">
        <v>2916</v>
      </c>
      <c r="E991" s="3" t="s">
        <v>2917</v>
      </c>
      <c r="F991" s="3" t="s">
        <v>29</v>
      </c>
      <c r="G991" s="3" t="s">
        <v>29</v>
      </c>
      <c r="H991" s="4">
        <v>1.0</v>
      </c>
      <c r="I991" s="4">
        <v>1.0</v>
      </c>
      <c r="J991" s="5"/>
      <c r="K991" s="3" t="s">
        <v>2918</v>
      </c>
      <c r="L991" s="3" t="s">
        <v>2919</v>
      </c>
      <c r="M991" s="3" t="s">
        <v>22</v>
      </c>
      <c r="N991" s="5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14</v>
      </c>
      <c r="B992" s="3" t="s">
        <v>2914</v>
      </c>
      <c r="C992" s="3" t="s">
        <v>2915</v>
      </c>
      <c r="D992" s="3" t="s">
        <v>2916</v>
      </c>
      <c r="E992" s="3" t="s">
        <v>2917</v>
      </c>
      <c r="F992" s="3" t="s">
        <v>2424</v>
      </c>
      <c r="G992" s="3" t="s">
        <v>2424</v>
      </c>
      <c r="H992" s="4">
        <v>2.0</v>
      </c>
      <c r="I992" s="4">
        <v>2.0</v>
      </c>
      <c r="J992" s="5"/>
      <c r="K992" s="3" t="s">
        <v>2918</v>
      </c>
      <c r="L992" s="3" t="s">
        <v>2919</v>
      </c>
      <c r="M992" s="3" t="s">
        <v>22</v>
      </c>
      <c r="N992" s="5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 t="s">
        <v>14</v>
      </c>
      <c r="B993" s="3" t="s">
        <v>2914</v>
      </c>
      <c r="C993" s="3" t="s">
        <v>2915</v>
      </c>
      <c r="D993" s="3" t="s">
        <v>2916</v>
      </c>
      <c r="E993" s="3" t="s">
        <v>2917</v>
      </c>
      <c r="F993" s="3" t="s">
        <v>143</v>
      </c>
      <c r="G993" s="3" t="s">
        <v>1116</v>
      </c>
      <c r="H993" s="4">
        <v>3.0</v>
      </c>
      <c r="I993" s="4">
        <v>3.0</v>
      </c>
      <c r="J993" s="5"/>
      <c r="K993" s="3" t="s">
        <v>2918</v>
      </c>
      <c r="L993" s="3" t="s">
        <v>2919</v>
      </c>
      <c r="M993" s="3" t="s">
        <v>22</v>
      </c>
      <c r="N993" s="5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14</v>
      </c>
      <c r="B994" s="3" t="s">
        <v>2920</v>
      </c>
      <c r="C994" s="3" t="s">
        <v>2921</v>
      </c>
      <c r="D994" s="3" t="s">
        <v>2922</v>
      </c>
      <c r="E994" s="3" t="s">
        <v>2923</v>
      </c>
      <c r="F994" s="3" t="s">
        <v>219</v>
      </c>
      <c r="G994" s="3" t="s">
        <v>219</v>
      </c>
      <c r="H994" s="4">
        <v>1.0</v>
      </c>
      <c r="I994" s="4">
        <v>1.0</v>
      </c>
      <c r="J994" s="5"/>
      <c r="K994" s="3" t="s">
        <v>2924</v>
      </c>
      <c r="L994" s="3" t="s">
        <v>2925</v>
      </c>
      <c r="M994" s="3" t="s">
        <v>22</v>
      </c>
      <c r="N994" s="5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 t="s">
        <v>14</v>
      </c>
      <c r="B995" s="3" t="s">
        <v>2920</v>
      </c>
      <c r="C995" s="3" t="s">
        <v>2921</v>
      </c>
      <c r="D995" s="3" t="s">
        <v>2922</v>
      </c>
      <c r="E995" s="3" t="s">
        <v>2923</v>
      </c>
      <c r="F995" s="3" t="s">
        <v>2926</v>
      </c>
      <c r="G995" s="3" t="s">
        <v>2927</v>
      </c>
      <c r="H995" s="4">
        <v>2.0</v>
      </c>
      <c r="I995" s="4">
        <v>2.0</v>
      </c>
      <c r="J995" s="5"/>
      <c r="K995" s="3" t="s">
        <v>2924</v>
      </c>
      <c r="L995" s="3" t="s">
        <v>2925</v>
      </c>
      <c r="M995" s="3" t="s">
        <v>22</v>
      </c>
      <c r="N995" s="5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14</v>
      </c>
      <c r="B996" s="3" t="s">
        <v>2928</v>
      </c>
      <c r="C996" s="3" t="s">
        <v>2929</v>
      </c>
      <c r="D996" s="3" t="s">
        <v>2930</v>
      </c>
      <c r="E996" s="3" t="s">
        <v>2931</v>
      </c>
      <c r="F996" s="3" t="s">
        <v>1032</v>
      </c>
      <c r="G996" s="3" t="s">
        <v>1032</v>
      </c>
      <c r="H996" s="4">
        <v>1.0</v>
      </c>
      <c r="I996" s="4">
        <v>1.0</v>
      </c>
      <c r="J996" s="5"/>
      <c r="K996" s="3" t="s">
        <v>2932</v>
      </c>
      <c r="L996" s="3" t="s">
        <v>2933</v>
      </c>
      <c r="M996" s="3" t="s">
        <v>22</v>
      </c>
      <c r="N996" s="5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 t="s">
        <v>14</v>
      </c>
      <c r="B997" s="3" t="s">
        <v>2928</v>
      </c>
      <c r="C997" s="3" t="s">
        <v>2929</v>
      </c>
      <c r="D997" s="3" t="s">
        <v>2930</v>
      </c>
      <c r="E997" s="3" t="s">
        <v>2931</v>
      </c>
      <c r="F997" s="3" t="s">
        <v>143</v>
      </c>
      <c r="G997" s="3" t="s">
        <v>62</v>
      </c>
      <c r="H997" s="4">
        <v>2.0</v>
      </c>
      <c r="I997" s="4">
        <v>2.0</v>
      </c>
      <c r="J997" s="5"/>
      <c r="K997" s="3" t="s">
        <v>2932</v>
      </c>
      <c r="L997" s="3" t="s">
        <v>2933</v>
      </c>
      <c r="M997" s="3" t="s">
        <v>22</v>
      </c>
      <c r="N997" s="5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14</v>
      </c>
      <c r="B998" s="3" t="s">
        <v>2928</v>
      </c>
      <c r="C998" s="3" t="s">
        <v>2929</v>
      </c>
      <c r="D998" s="3" t="s">
        <v>2930</v>
      </c>
      <c r="E998" s="3" t="s">
        <v>2931</v>
      </c>
      <c r="F998" s="3" t="s">
        <v>387</v>
      </c>
      <c r="G998" s="3" t="s">
        <v>387</v>
      </c>
      <c r="H998" s="4">
        <v>3.0</v>
      </c>
      <c r="I998" s="4">
        <v>3.0</v>
      </c>
      <c r="J998" s="5"/>
      <c r="K998" s="3" t="s">
        <v>2932</v>
      </c>
      <c r="L998" s="3" t="s">
        <v>2933</v>
      </c>
      <c r="M998" s="3" t="s">
        <v>22</v>
      </c>
      <c r="N998" s="5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 t="s">
        <v>14</v>
      </c>
      <c r="B999" s="3" t="s">
        <v>2934</v>
      </c>
      <c r="C999" s="3" t="s">
        <v>2935</v>
      </c>
      <c r="D999" s="3" t="s">
        <v>2936</v>
      </c>
      <c r="E999" s="3" t="s">
        <v>2937</v>
      </c>
      <c r="F999" s="3" t="s">
        <v>614</v>
      </c>
      <c r="G999" s="3" t="s">
        <v>615</v>
      </c>
      <c r="H999" s="4">
        <v>1.0</v>
      </c>
      <c r="I999" s="4">
        <v>1.0</v>
      </c>
      <c r="J999" s="5"/>
      <c r="K999" s="3" t="s">
        <v>2938</v>
      </c>
      <c r="L999" s="3" t="s">
        <v>2939</v>
      </c>
      <c r="M999" s="3" t="s">
        <v>22</v>
      </c>
      <c r="N999" s="5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14</v>
      </c>
      <c r="B1000" s="3" t="s">
        <v>2934</v>
      </c>
      <c r="C1000" s="3" t="s">
        <v>2935</v>
      </c>
      <c r="D1000" s="3" t="s">
        <v>2936</v>
      </c>
      <c r="E1000" s="3" t="s">
        <v>2937</v>
      </c>
      <c r="F1000" s="3" t="s">
        <v>387</v>
      </c>
      <c r="G1000" s="3" t="s">
        <v>387</v>
      </c>
      <c r="H1000" s="4">
        <v>2.0</v>
      </c>
      <c r="I1000" s="4">
        <v>2.0</v>
      </c>
      <c r="J1000" s="5"/>
      <c r="K1000" s="3" t="s">
        <v>2938</v>
      </c>
      <c r="L1000" s="3" t="s">
        <v>2939</v>
      </c>
      <c r="M1000" s="3" t="s">
        <v>22</v>
      </c>
      <c r="N1000" s="5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 t="s">
        <v>14</v>
      </c>
      <c r="B1001" s="3" t="s">
        <v>2940</v>
      </c>
      <c r="C1001" s="3" t="s">
        <v>2941</v>
      </c>
      <c r="D1001" s="3" t="s">
        <v>2942</v>
      </c>
      <c r="E1001" s="3" t="s">
        <v>2943</v>
      </c>
      <c r="F1001" s="3" t="s">
        <v>2944</v>
      </c>
      <c r="G1001" s="3" t="s">
        <v>987</v>
      </c>
      <c r="H1001" s="4">
        <v>1.0</v>
      </c>
      <c r="I1001" s="4">
        <v>1.0</v>
      </c>
      <c r="J1001" s="3" t="s">
        <v>80</v>
      </c>
      <c r="K1001" s="3" t="s">
        <v>2945</v>
      </c>
      <c r="L1001" s="3" t="s">
        <v>2946</v>
      </c>
      <c r="M1001" s="3" t="s">
        <v>22</v>
      </c>
      <c r="N1001" s="5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14</v>
      </c>
      <c r="B1002" s="3" t="s">
        <v>2940</v>
      </c>
      <c r="C1002" s="3" t="s">
        <v>2941</v>
      </c>
      <c r="D1002" s="3" t="s">
        <v>2942</v>
      </c>
      <c r="E1002" s="3" t="s">
        <v>2943</v>
      </c>
      <c r="F1002" s="3" t="s">
        <v>116</v>
      </c>
      <c r="G1002" s="3" t="s">
        <v>2947</v>
      </c>
      <c r="H1002" s="4">
        <v>2.0</v>
      </c>
      <c r="I1002" s="4">
        <v>2.0</v>
      </c>
      <c r="J1002" s="5"/>
      <c r="K1002" s="3" t="s">
        <v>2945</v>
      </c>
      <c r="L1002" s="3" t="s">
        <v>2946</v>
      </c>
      <c r="M1002" s="3" t="s">
        <v>22</v>
      </c>
      <c r="N1002" s="5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 t="s">
        <v>14</v>
      </c>
      <c r="B1003" s="3" t="s">
        <v>2940</v>
      </c>
      <c r="C1003" s="3" t="s">
        <v>2941</v>
      </c>
      <c r="D1003" s="3" t="s">
        <v>2942</v>
      </c>
      <c r="E1003" s="3" t="s">
        <v>2943</v>
      </c>
      <c r="F1003" s="3" t="s">
        <v>36</v>
      </c>
      <c r="G1003" s="3" t="s">
        <v>116</v>
      </c>
      <c r="H1003" s="4" t="s">
        <v>36</v>
      </c>
      <c r="I1003" s="4">
        <v>3.0</v>
      </c>
      <c r="J1003" s="3"/>
      <c r="K1003" s="3" t="s">
        <v>2945</v>
      </c>
      <c r="L1003" s="3" t="s">
        <v>2946</v>
      </c>
      <c r="M1003" s="3" t="s">
        <v>22</v>
      </c>
      <c r="N1003" s="5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 t="s">
        <v>14</v>
      </c>
      <c r="B1004" s="3" t="s">
        <v>2940</v>
      </c>
      <c r="C1004" s="3" t="s">
        <v>2941</v>
      </c>
      <c r="D1004" s="3" t="s">
        <v>2942</v>
      </c>
      <c r="E1004" s="3" t="s">
        <v>2943</v>
      </c>
      <c r="F1004" s="3" t="s">
        <v>2948</v>
      </c>
      <c r="G1004" s="3" t="s">
        <v>1923</v>
      </c>
      <c r="H1004" s="4">
        <v>3.0</v>
      </c>
      <c r="I1004" s="4">
        <v>4.0</v>
      </c>
      <c r="J1004" s="3"/>
      <c r="K1004" s="3" t="s">
        <v>2945</v>
      </c>
      <c r="L1004" s="3" t="s">
        <v>2946</v>
      </c>
      <c r="M1004" s="3" t="s">
        <v>22</v>
      </c>
      <c r="N1004" s="5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 t="s">
        <v>14</v>
      </c>
      <c r="B1005" s="3" t="s">
        <v>2940</v>
      </c>
      <c r="C1005" s="3" t="s">
        <v>2941</v>
      </c>
      <c r="D1005" s="3" t="s">
        <v>2942</v>
      </c>
      <c r="E1005" s="3" t="s">
        <v>2943</v>
      </c>
      <c r="F1005" s="17" t="s">
        <v>36</v>
      </c>
      <c r="G1005" s="3" t="s">
        <v>103</v>
      </c>
      <c r="H1005" s="4" t="s">
        <v>36</v>
      </c>
      <c r="I1005" s="4">
        <v>5.0</v>
      </c>
      <c r="J1005" s="5"/>
      <c r="K1005" s="3" t="s">
        <v>2945</v>
      </c>
      <c r="L1005" s="3" t="s">
        <v>2946</v>
      </c>
      <c r="M1005" s="3" t="s">
        <v>22</v>
      </c>
      <c r="N1005" s="5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 t="s">
        <v>14</v>
      </c>
      <c r="B1006" s="3" t="s">
        <v>2949</v>
      </c>
      <c r="C1006" s="3" t="s">
        <v>2950</v>
      </c>
      <c r="D1006" s="3" t="s">
        <v>2951</v>
      </c>
      <c r="E1006" s="3" t="s">
        <v>2952</v>
      </c>
      <c r="F1006" s="3" t="s">
        <v>2953</v>
      </c>
      <c r="G1006" s="3" t="s">
        <v>2954</v>
      </c>
      <c r="H1006" s="4">
        <v>1.0</v>
      </c>
      <c r="I1006" s="4">
        <v>1.0</v>
      </c>
      <c r="J1006" s="3" t="s">
        <v>80</v>
      </c>
      <c r="K1006" s="3" t="s">
        <v>2955</v>
      </c>
      <c r="L1006" s="3" t="s">
        <v>2956</v>
      </c>
      <c r="M1006" s="3" t="s">
        <v>22</v>
      </c>
      <c r="N1006" s="5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 t="s">
        <v>14</v>
      </c>
      <c r="B1007" s="3" t="s">
        <v>2949</v>
      </c>
      <c r="C1007" s="3" t="s">
        <v>2950</v>
      </c>
      <c r="D1007" s="3" t="s">
        <v>2951</v>
      </c>
      <c r="E1007" s="3" t="s">
        <v>2952</v>
      </c>
      <c r="F1007" s="3" t="s">
        <v>238</v>
      </c>
      <c r="G1007" s="3" t="s">
        <v>238</v>
      </c>
      <c r="H1007" s="4">
        <v>2.0</v>
      </c>
      <c r="I1007" s="4">
        <v>2.0</v>
      </c>
      <c r="J1007" s="5"/>
      <c r="K1007" s="3" t="s">
        <v>2955</v>
      </c>
      <c r="L1007" s="3" t="s">
        <v>2956</v>
      </c>
      <c r="M1007" s="3" t="s">
        <v>22</v>
      </c>
      <c r="N1007" s="5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 t="s">
        <v>14</v>
      </c>
      <c r="B1008" s="3" t="s">
        <v>2949</v>
      </c>
      <c r="C1008" s="3" t="s">
        <v>2950</v>
      </c>
      <c r="D1008" s="3" t="s">
        <v>2951</v>
      </c>
      <c r="E1008" s="3" t="s">
        <v>2952</v>
      </c>
      <c r="F1008" s="3" t="s">
        <v>1920</v>
      </c>
      <c r="G1008" s="3" t="s">
        <v>2877</v>
      </c>
      <c r="H1008" s="4">
        <v>3.0</v>
      </c>
      <c r="I1008" s="4">
        <v>3.0</v>
      </c>
      <c r="J1008" s="3"/>
      <c r="K1008" s="3" t="s">
        <v>2955</v>
      </c>
      <c r="L1008" s="3" t="s">
        <v>2956</v>
      </c>
      <c r="M1008" s="3" t="s">
        <v>22</v>
      </c>
      <c r="N1008" s="5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 t="s">
        <v>14</v>
      </c>
      <c r="B1009" s="3" t="s">
        <v>2949</v>
      </c>
      <c r="C1009" s="3" t="s">
        <v>2950</v>
      </c>
      <c r="D1009" s="3" t="s">
        <v>2951</v>
      </c>
      <c r="E1009" s="3" t="s">
        <v>2952</v>
      </c>
      <c r="F1009" s="17" t="s">
        <v>36</v>
      </c>
      <c r="G1009" s="3" t="s">
        <v>103</v>
      </c>
      <c r="H1009" s="4" t="s">
        <v>36</v>
      </c>
      <c r="I1009" s="4">
        <v>4.0</v>
      </c>
      <c r="J1009" s="5"/>
      <c r="K1009" s="3" t="s">
        <v>2955</v>
      </c>
      <c r="L1009" s="3" t="s">
        <v>2956</v>
      </c>
      <c r="M1009" s="3" t="s">
        <v>22</v>
      </c>
      <c r="N1009" s="5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 t="s">
        <v>14</v>
      </c>
      <c r="B1010" s="3" t="s">
        <v>2957</v>
      </c>
      <c r="C1010" s="3" t="s">
        <v>2958</v>
      </c>
      <c r="D1010" s="3" t="s">
        <v>2959</v>
      </c>
      <c r="E1010" s="3" t="s">
        <v>2960</v>
      </c>
      <c r="F1010" s="3" t="s">
        <v>401</v>
      </c>
      <c r="G1010" s="3" t="s">
        <v>987</v>
      </c>
      <c r="H1010" s="4">
        <v>1.0</v>
      </c>
      <c r="I1010" s="4">
        <v>1.0</v>
      </c>
      <c r="J1010" s="5"/>
      <c r="K1010" s="3" t="s">
        <v>2961</v>
      </c>
      <c r="L1010" s="3" t="s">
        <v>2962</v>
      </c>
      <c r="M1010" s="3" t="s">
        <v>22</v>
      </c>
      <c r="N1010" s="5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 t="s">
        <v>14</v>
      </c>
      <c r="B1011" s="3" t="s">
        <v>2957</v>
      </c>
      <c r="C1011" s="3" t="s">
        <v>2958</v>
      </c>
      <c r="D1011" s="3" t="s">
        <v>2959</v>
      </c>
      <c r="E1011" s="3" t="s">
        <v>2960</v>
      </c>
      <c r="F1011" s="3" t="s">
        <v>2963</v>
      </c>
      <c r="G1011" s="3" t="s">
        <v>2964</v>
      </c>
      <c r="H1011" s="4">
        <v>2.0</v>
      </c>
      <c r="I1011" s="4">
        <v>2.0</v>
      </c>
      <c r="J1011" s="5"/>
      <c r="K1011" s="3" t="s">
        <v>2965</v>
      </c>
      <c r="L1011" s="3" t="s">
        <v>2962</v>
      </c>
      <c r="M1011" s="3" t="s">
        <v>22</v>
      </c>
      <c r="N1011" s="5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 t="s">
        <v>14</v>
      </c>
      <c r="B1012" s="3" t="s">
        <v>2957</v>
      </c>
      <c r="C1012" s="3" t="s">
        <v>2958</v>
      </c>
      <c r="D1012" s="3" t="s">
        <v>2959</v>
      </c>
      <c r="E1012" s="3" t="s">
        <v>2960</v>
      </c>
      <c r="F1012" s="3" t="s">
        <v>143</v>
      </c>
      <c r="G1012" s="3" t="s">
        <v>1116</v>
      </c>
      <c r="H1012" s="4">
        <v>3.0</v>
      </c>
      <c r="I1012" s="4">
        <v>3.0</v>
      </c>
      <c r="J1012" s="5"/>
      <c r="K1012" s="3" t="s">
        <v>2965</v>
      </c>
      <c r="L1012" s="3" t="s">
        <v>2962</v>
      </c>
      <c r="M1012" s="3" t="s">
        <v>22</v>
      </c>
      <c r="N1012" s="5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 t="s">
        <v>14</v>
      </c>
      <c r="B1013" s="3" t="s">
        <v>2966</v>
      </c>
      <c r="C1013" s="3" t="s">
        <v>2967</v>
      </c>
      <c r="D1013" s="3" t="s">
        <v>2968</v>
      </c>
      <c r="E1013" s="3" t="s">
        <v>2969</v>
      </c>
      <c r="F1013" s="3" t="s">
        <v>1075</v>
      </c>
      <c r="G1013" s="3" t="s">
        <v>1076</v>
      </c>
      <c r="H1013" s="4">
        <v>1.0</v>
      </c>
      <c r="I1013" s="4">
        <v>1.0</v>
      </c>
      <c r="J1013" s="5"/>
      <c r="K1013" s="3" t="s">
        <v>2970</v>
      </c>
      <c r="L1013" s="3" t="s">
        <v>2971</v>
      </c>
      <c r="M1013" s="3" t="s">
        <v>22</v>
      </c>
      <c r="N1013" s="5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 t="s">
        <v>14</v>
      </c>
      <c r="B1014" s="3" t="s">
        <v>2966</v>
      </c>
      <c r="C1014" s="3" t="s">
        <v>2967</v>
      </c>
      <c r="D1014" s="3" t="s">
        <v>2968</v>
      </c>
      <c r="E1014" s="3" t="s">
        <v>2969</v>
      </c>
      <c r="F1014" s="3" t="s">
        <v>172</v>
      </c>
      <c r="G1014" s="3" t="s">
        <v>334</v>
      </c>
      <c r="H1014" s="4">
        <v>2.0</v>
      </c>
      <c r="I1014" s="4">
        <v>2.0</v>
      </c>
      <c r="J1014" s="5"/>
      <c r="K1014" s="3" t="s">
        <v>2970</v>
      </c>
      <c r="L1014" s="3" t="s">
        <v>2971</v>
      </c>
      <c r="M1014" s="3" t="s">
        <v>22</v>
      </c>
      <c r="N1014" s="5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 t="s">
        <v>14</v>
      </c>
      <c r="B1015" s="3" t="s">
        <v>2972</v>
      </c>
      <c r="C1015" s="3" t="s">
        <v>2973</v>
      </c>
      <c r="D1015" s="3" t="s">
        <v>2974</v>
      </c>
      <c r="E1015" s="3" t="s">
        <v>2975</v>
      </c>
      <c r="F1015" s="3" t="s">
        <v>2023</v>
      </c>
      <c r="G1015" s="3" t="s">
        <v>1041</v>
      </c>
      <c r="H1015" s="4">
        <v>1.0</v>
      </c>
      <c r="I1015" s="4">
        <v>1.0</v>
      </c>
      <c r="J1015" s="3"/>
      <c r="K1015" s="3" t="s">
        <v>2976</v>
      </c>
      <c r="L1015" s="3" t="s">
        <v>2977</v>
      </c>
      <c r="M1015" s="3" t="s">
        <v>22</v>
      </c>
      <c r="N1015" s="5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 t="s">
        <v>14</v>
      </c>
      <c r="B1016" s="3" t="s">
        <v>2972</v>
      </c>
      <c r="C1016" s="3" t="s">
        <v>2973</v>
      </c>
      <c r="D1016" s="3" t="s">
        <v>2974</v>
      </c>
      <c r="E1016" s="3" t="s">
        <v>2975</v>
      </c>
      <c r="F1016" s="3" t="s">
        <v>402</v>
      </c>
      <c r="G1016" s="3" t="s">
        <v>402</v>
      </c>
      <c r="H1016" s="4">
        <v>2.0</v>
      </c>
      <c r="I1016" s="4">
        <v>2.0</v>
      </c>
      <c r="J1016" s="5"/>
      <c r="K1016" s="3" t="s">
        <v>2976</v>
      </c>
      <c r="L1016" s="3" t="s">
        <v>2977</v>
      </c>
      <c r="M1016" s="3" t="s">
        <v>22</v>
      </c>
      <c r="N1016" s="5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 t="s">
        <v>14</v>
      </c>
      <c r="B1017" s="3" t="s">
        <v>2972</v>
      </c>
      <c r="C1017" s="3" t="s">
        <v>2973</v>
      </c>
      <c r="D1017" s="3" t="s">
        <v>2974</v>
      </c>
      <c r="E1017" s="3" t="s">
        <v>2975</v>
      </c>
      <c r="F1017" s="3" t="s">
        <v>1920</v>
      </c>
      <c r="G1017" s="3" t="s">
        <v>2877</v>
      </c>
      <c r="H1017" s="4">
        <v>3.0</v>
      </c>
      <c r="I1017" s="4">
        <v>3.0</v>
      </c>
      <c r="J1017" s="3"/>
      <c r="K1017" s="3" t="s">
        <v>2976</v>
      </c>
      <c r="L1017" s="3" t="s">
        <v>2977</v>
      </c>
      <c r="M1017" s="3" t="s">
        <v>22</v>
      </c>
      <c r="N1017" s="5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 t="s">
        <v>14</v>
      </c>
      <c r="B1018" s="3" t="s">
        <v>2972</v>
      </c>
      <c r="C1018" s="3" t="s">
        <v>2973</v>
      </c>
      <c r="D1018" s="3" t="s">
        <v>2974</v>
      </c>
      <c r="E1018" s="3" t="s">
        <v>2975</v>
      </c>
      <c r="F1018" s="17" t="s">
        <v>36</v>
      </c>
      <c r="G1018" s="3" t="s">
        <v>103</v>
      </c>
      <c r="H1018" s="4" t="s">
        <v>36</v>
      </c>
      <c r="I1018" s="4">
        <v>4.0</v>
      </c>
      <c r="J1018" s="5"/>
      <c r="K1018" s="3" t="s">
        <v>2976</v>
      </c>
      <c r="L1018" s="3" t="s">
        <v>2977</v>
      </c>
      <c r="M1018" s="3" t="s">
        <v>22</v>
      </c>
      <c r="N1018" s="5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 t="s">
        <v>14</v>
      </c>
      <c r="B1019" s="3" t="s">
        <v>2978</v>
      </c>
      <c r="C1019" s="3" t="s">
        <v>2979</v>
      </c>
      <c r="D1019" s="3" t="s">
        <v>2980</v>
      </c>
      <c r="E1019" s="3" t="s">
        <v>2981</v>
      </c>
      <c r="F1019" s="3" t="s">
        <v>2982</v>
      </c>
      <c r="G1019" s="3" t="s">
        <v>758</v>
      </c>
      <c r="H1019" s="4">
        <v>1.0</v>
      </c>
      <c r="I1019" s="4">
        <v>1.0</v>
      </c>
      <c r="K1019" s="3" t="s">
        <v>2983</v>
      </c>
      <c r="L1019" s="3" t="s">
        <v>2984</v>
      </c>
      <c r="M1019" s="3" t="s">
        <v>22</v>
      </c>
      <c r="N1019" s="5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 t="s">
        <v>14</v>
      </c>
      <c r="B1020" s="3" t="s">
        <v>2978</v>
      </c>
      <c r="C1020" s="3" t="s">
        <v>2979</v>
      </c>
      <c r="D1020" s="3" t="s">
        <v>2980</v>
      </c>
      <c r="E1020" s="3" t="s">
        <v>2981</v>
      </c>
      <c r="F1020" s="3" t="s">
        <v>2985</v>
      </c>
      <c r="G1020" s="3" t="s">
        <v>2986</v>
      </c>
      <c r="H1020" s="4">
        <v>2.0</v>
      </c>
      <c r="I1020" s="4">
        <v>2.0</v>
      </c>
      <c r="J1020" s="3"/>
      <c r="K1020" s="3" t="s">
        <v>2983</v>
      </c>
      <c r="L1020" s="3" t="s">
        <v>2984</v>
      </c>
      <c r="M1020" s="3" t="s">
        <v>22</v>
      </c>
      <c r="N1020" s="5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 t="s">
        <v>14</v>
      </c>
      <c r="B1021" s="3" t="s">
        <v>2978</v>
      </c>
      <c r="C1021" s="3" t="s">
        <v>2979</v>
      </c>
      <c r="D1021" s="3" t="s">
        <v>2980</v>
      </c>
      <c r="E1021" s="3" t="s">
        <v>2981</v>
      </c>
      <c r="F1021" s="17" t="s">
        <v>36</v>
      </c>
      <c r="G1021" s="3" t="s">
        <v>1983</v>
      </c>
      <c r="H1021" s="4" t="s">
        <v>36</v>
      </c>
      <c r="I1021" s="4">
        <v>3.0</v>
      </c>
      <c r="J1021" s="5"/>
      <c r="K1021" s="3" t="s">
        <v>2983</v>
      </c>
      <c r="L1021" s="3" t="s">
        <v>2984</v>
      </c>
      <c r="M1021" s="3" t="s">
        <v>22</v>
      </c>
      <c r="N1021" s="5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 t="s">
        <v>14</v>
      </c>
      <c r="B1022" s="3" t="s">
        <v>2987</v>
      </c>
      <c r="C1022" s="3" t="s">
        <v>2988</v>
      </c>
      <c r="D1022" s="3" t="s">
        <v>2989</v>
      </c>
      <c r="E1022" s="3" t="s">
        <v>2990</v>
      </c>
      <c r="F1022" s="3" t="s">
        <v>2991</v>
      </c>
      <c r="G1022" s="3" t="s">
        <v>2991</v>
      </c>
      <c r="H1022" s="4">
        <v>1.0</v>
      </c>
      <c r="I1022" s="4">
        <v>1.0</v>
      </c>
      <c r="J1022" s="5"/>
      <c r="K1022" s="3" t="s">
        <v>2992</v>
      </c>
      <c r="L1022" s="3" t="s">
        <v>2993</v>
      </c>
      <c r="M1022" s="3" t="s">
        <v>22</v>
      </c>
      <c r="N1022" s="5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 t="s">
        <v>14</v>
      </c>
      <c r="B1023" s="3" t="s">
        <v>2987</v>
      </c>
      <c r="C1023" s="3" t="s">
        <v>2988</v>
      </c>
      <c r="D1023" s="3" t="s">
        <v>2989</v>
      </c>
      <c r="E1023" s="3" t="s">
        <v>2990</v>
      </c>
      <c r="F1023" s="3" t="s">
        <v>245</v>
      </c>
      <c r="G1023" s="3" t="s">
        <v>24</v>
      </c>
      <c r="H1023" s="4">
        <v>2.0</v>
      </c>
      <c r="I1023" s="4">
        <v>2.0</v>
      </c>
      <c r="J1023" s="5"/>
      <c r="K1023" s="3" t="s">
        <v>2992</v>
      </c>
      <c r="L1023" s="3" t="s">
        <v>2993</v>
      </c>
      <c r="M1023" s="3" t="s">
        <v>22</v>
      </c>
      <c r="N1023" s="5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 t="s">
        <v>14</v>
      </c>
      <c r="B1024" s="3" t="s">
        <v>2994</v>
      </c>
      <c r="C1024" s="3" t="s">
        <v>2995</v>
      </c>
      <c r="D1024" s="3" t="s">
        <v>2996</v>
      </c>
      <c r="E1024" s="3" t="s">
        <v>2997</v>
      </c>
      <c r="F1024" s="3" t="s">
        <v>2998</v>
      </c>
      <c r="G1024" s="3" t="s">
        <v>2991</v>
      </c>
      <c r="H1024" s="4">
        <v>1.0</v>
      </c>
      <c r="I1024" s="4">
        <v>1.0</v>
      </c>
      <c r="J1024" s="5"/>
      <c r="K1024" s="3" t="s">
        <v>2815</v>
      </c>
      <c r="L1024" s="3" t="s">
        <v>2999</v>
      </c>
      <c r="M1024" s="3" t="s">
        <v>22</v>
      </c>
      <c r="N1024" s="5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 t="s">
        <v>14</v>
      </c>
      <c r="B1025" s="3" t="s">
        <v>2994</v>
      </c>
      <c r="C1025" s="3" t="s">
        <v>2995</v>
      </c>
      <c r="D1025" s="3" t="s">
        <v>2996</v>
      </c>
      <c r="E1025" s="3" t="s">
        <v>2997</v>
      </c>
      <c r="F1025" s="3" t="s">
        <v>1899</v>
      </c>
      <c r="G1025" s="3" t="s">
        <v>1899</v>
      </c>
      <c r="H1025" s="4">
        <v>2.0</v>
      </c>
      <c r="I1025" s="4">
        <v>2.0</v>
      </c>
      <c r="J1025" s="5"/>
      <c r="K1025" s="3" t="s">
        <v>2815</v>
      </c>
      <c r="L1025" s="3" t="s">
        <v>2999</v>
      </c>
      <c r="M1025" s="3" t="s">
        <v>22</v>
      </c>
      <c r="N1025" s="5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 t="s">
        <v>14</v>
      </c>
      <c r="B1026" s="3" t="s">
        <v>3000</v>
      </c>
      <c r="C1026" s="3" t="s">
        <v>3001</v>
      </c>
      <c r="D1026" s="3" t="s">
        <v>3002</v>
      </c>
      <c r="E1026" s="3" t="s">
        <v>3003</v>
      </c>
      <c r="F1026" s="3" t="s">
        <v>19</v>
      </c>
      <c r="G1026" s="3" t="s">
        <v>2570</v>
      </c>
      <c r="H1026" s="4">
        <v>1.0</v>
      </c>
      <c r="I1026" s="4">
        <v>1.0</v>
      </c>
      <c r="J1026" s="3" t="s">
        <v>80</v>
      </c>
      <c r="K1026" s="3" t="s">
        <v>3004</v>
      </c>
      <c r="L1026" s="3" t="s">
        <v>3005</v>
      </c>
      <c r="M1026" s="3" t="s">
        <v>22</v>
      </c>
      <c r="N1026" s="5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 t="s">
        <v>14</v>
      </c>
      <c r="B1027" s="3" t="s">
        <v>3000</v>
      </c>
      <c r="C1027" s="3" t="s">
        <v>3001</v>
      </c>
      <c r="D1027" s="3" t="s">
        <v>3002</v>
      </c>
      <c r="E1027" s="3" t="s">
        <v>3003</v>
      </c>
      <c r="F1027" s="3" t="s">
        <v>197</v>
      </c>
      <c r="G1027" s="3" t="s">
        <v>36</v>
      </c>
      <c r="H1027" s="4">
        <v>2.0</v>
      </c>
      <c r="I1027" s="4" t="s">
        <v>36</v>
      </c>
      <c r="J1027" s="3" t="s">
        <v>80</v>
      </c>
      <c r="K1027" s="3" t="s">
        <v>3004</v>
      </c>
      <c r="L1027" s="3" t="s">
        <v>3005</v>
      </c>
      <c r="M1027" s="3" t="s">
        <v>22</v>
      </c>
      <c r="N1027" s="5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 t="s">
        <v>14</v>
      </c>
      <c r="B1028" s="3" t="s">
        <v>3000</v>
      </c>
      <c r="C1028" s="3" t="s">
        <v>3001</v>
      </c>
      <c r="D1028" s="3" t="s">
        <v>3002</v>
      </c>
      <c r="E1028" s="3" t="s">
        <v>3003</v>
      </c>
      <c r="F1028" s="3" t="s">
        <v>158</v>
      </c>
      <c r="G1028" s="3" t="s">
        <v>158</v>
      </c>
      <c r="H1028" s="4">
        <v>3.0</v>
      </c>
      <c r="I1028" s="4">
        <v>2.0</v>
      </c>
      <c r="J1028" s="5"/>
      <c r="K1028" s="3" t="s">
        <v>3004</v>
      </c>
      <c r="L1028" s="3" t="s">
        <v>3005</v>
      </c>
      <c r="M1028" s="3" t="s">
        <v>22</v>
      </c>
      <c r="N1028" s="5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 t="s">
        <v>14</v>
      </c>
      <c r="B1029" s="3" t="s">
        <v>3006</v>
      </c>
      <c r="C1029" s="3" t="s">
        <v>3007</v>
      </c>
      <c r="D1029" s="3" t="s">
        <v>3008</v>
      </c>
      <c r="E1029" s="3" t="s">
        <v>3007</v>
      </c>
      <c r="F1029" s="3" t="s">
        <v>1331</v>
      </c>
      <c r="G1029" s="3" t="s">
        <v>3007</v>
      </c>
      <c r="H1029" s="4">
        <v>1.0</v>
      </c>
      <c r="I1029" s="4">
        <v>1.0</v>
      </c>
      <c r="J1029" s="5"/>
      <c r="K1029" s="3" t="s">
        <v>3009</v>
      </c>
      <c r="L1029" s="3" t="s">
        <v>3010</v>
      </c>
      <c r="M1029" s="3" t="s">
        <v>22</v>
      </c>
      <c r="N1029" s="5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 t="s">
        <v>14</v>
      </c>
      <c r="B1030" s="3" t="s">
        <v>3006</v>
      </c>
      <c r="C1030" s="3" t="s">
        <v>3007</v>
      </c>
      <c r="D1030" s="3" t="s">
        <v>3008</v>
      </c>
      <c r="E1030" s="3" t="s">
        <v>3007</v>
      </c>
      <c r="F1030" s="3" t="s">
        <v>362</v>
      </c>
      <c r="G1030" s="3" t="s">
        <v>36</v>
      </c>
      <c r="H1030" s="4">
        <v>2.0</v>
      </c>
      <c r="I1030" s="4" t="s">
        <v>36</v>
      </c>
      <c r="J1030" s="5"/>
      <c r="K1030" s="3" t="s">
        <v>3009</v>
      </c>
      <c r="L1030" s="3" t="s">
        <v>3010</v>
      </c>
      <c r="M1030" s="3" t="s">
        <v>22</v>
      </c>
      <c r="N1030" s="5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 t="s">
        <v>14</v>
      </c>
      <c r="B1031" s="3" t="s">
        <v>3011</v>
      </c>
      <c r="C1031" s="3" t="s">
        <v>3012</v>
      </c>
      <c r="D1031" s="3" t="s">
        <v>3013</v>
      </c>
      <c r="E1031" s="3" t="s">
        <v>3014</v>
      </c>
      <c r="F1031" s="3" t="s">
        <v>128</v>
      </c>
      <c r="G1031" s="17" t="s">
        <v>36</v>
      </c>
      <c r="H1031" s="4">
        <v>1.0</v>
      </c>
      <c r="I1031" s="4" t="s">
        <v>36</v>
      </c>
      <c r="J1031" s="5"/>
      <c r="K1031" s="3" t="s">
        <v>3015</v>
      </c>
      <c r="L1031" s="3" t="s">
        <v>3016</v>
      </c>
      <c r="M1031" s="3" t="s">
        <v>22</v>
      </c>
      <c r="N1031" s="5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 t="s">
        <v>14</v>
      </c>
      <c r="B1032" s="3" t="s">
        <v>3011</v>
      </c>
      <c r="C1032" s="3" t="s">
        <v>3012</v>
      </c>
      <c r="D1032" s="3" t="s">
        <v>3013</v>
      </c>
      <c r="E1032" s="3" t="s">
        <v>3014</v>
      </c>
      <c r="F1032" s="3" t="s">
        <v>409</v>
      </c>
      <c r="G1032" s="3" t="s">
        <v>172</v>
      </c>
      <c r="H1032" s="4">
        <v>2.0</v>
      </c>
      <c r="I1032" s="4">
        <v>1.0</v>
      </c>
      <c r="J1032" s="5"/>
      <c r="K1032" s="3" t="s">
        <v>3015</v>
      </c>
      <c r="L1032" s="3" t="s">
        <v>3016</v>
      </c>
      <c r="M1032" s="3" t="s">
        <v>22</v>
      </c>
      <c r="N1032" s="5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 t="s">
        <v>14</v>
      </c>
      <c r="B1033" s="3" t="s">
        <v>3011</v>
      </c>
      <c r="C1033" s="3" t="s">
        <v>3012</v>
      </c>
      <c r="D1033" s="3" t="s">
        <v>3013</v>
      </c>
      <c r="E1033" s="3" t="s">
        <v>3014</v>
      </c>
      <c r="F1033" s="17" t="s">
        <v>36</v>
      </c>
      <c r="G1033" s="3" t="s">
        <v>19</v>
      </c>
      <c r="H1033" s="4" t="s">
        <v>36</v>
      </c>
      <c r="I1033" s="4">
        <v>2.0</v>
      </c>
      <c r="J1033" s="5"/>
      <c r="K1033" s="3" t="s">
        <v>3015</v>
      </c>
      <c r="L1033" s="3" t="s">
        <v>3016</v>
      </c>
      <c r="M1033" s="3" t="s">
        <v>22</v>
      </c>
      <c r="N1033" s="5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 t="s">
        <v>14</v>
      </c>
      <c r="B1034" s="3" t="s">
        <v>3011</v>
      </c>
      <c r="C1034" s="3" t="s">
        <v>3012</v>
      </c>
      <c r="D1034" s="3" t="s">
        <v>3013</v>
      </c>
      <c r="E1034" s="3" t="s">
        <v>3014</v>
      </c>
      <c r="F1034" s="3" t="s">
        <v>143</v>
      </c>
      <c r="G1034" s="3" t="s">
        <v>143</v>
      </c>
      <c r="H1034" s="4">
        <v>3.0</v>
      </c>
      <c r="I1034" s="4">
        <v>3.0</v>
      </c>
      <c r="J1034" s="5"/>
      <c r="K1034" s="3" t="s">
        <v>3015</v>
      </c>
      <c r="L1034" s="3" t="s">
        <v>3016</v>
      </c>
      <c r="M1034" s="3" t="s">
        <v>22</v>
      </c>
      <c r="N1034" s="5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 t="s">
        <v>14</v>
      </c>
      <c r="B1035" s="3" t="s">
        <v>3017</v>
      </c>
      <c r="C1035" s="3" t="s">
        <v>3018</v>
      </c>
      <c r="D1035" s="3" t="s">
        <v>3019</v>
      </c>
      <c r="E1035" s="3" t="s">
        <v>3020</v>
      </c>
      <c r="F1035" s="3" t="s">
        <v>3021</v>
      </c>
      <c r="G1035" s="3" t="s">
        <v>3022</v>
      </c>
      <c r="H1035" s="4">
        <v>1.0</v>
      </c>
      <c r="I1035" s="4">
        <v>1.0</v>
      </c>
      <c r="J1035" s="3" t="s">
        <v>80</v>
      </c>
      <c r="K1035" s="3" t="s">
        <v>3023</v>
      </c>
      <c r="L1035" s="3" t="s">
        <v>3024</v>
      </c>
      <c r="M1035" s="3" t="s">
        <v>22</v>
      </c>
      <c r="N1035" s="5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 t="s">
        <v>14</v>
      </c>
      <c r="B1036" s="3" t="s">
        <v>3017</v>
      </c>
      <c r="C1036" s="3" t="s">
        <v>3018</v>
      </c>
      <c r="D1036" s="3" t="s">
        <v>3019</v>
      </c>
      <c r="E1036" s="3" t="s">
        <v>3020</v>
      </c>
      <c r="F1036" s="3" t="s">
        <v>36</v>
      </c>
      <c r="G1036" s="3" t="s">
        <v>2024</v>
      </c>
      <c r="H1036" s="4" t="s">
        <v>36</v>
      </c>
      <c r="I1036" s="4">
        <v>2.0</v>
      </c>
      <c r="J1036" s="3"/>
      <c r="K1036" s="3" t="s">
        <v>3023</v>
      </c>
      <c r="L1036" s="3" t="s">
        <v>3024</v>
      </c>
      <c r="M1036" s="3" t="s">
        <v>22</v>
      </c>
      <c r="N1036" s="5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 t="s">
        <v>14</v>
      </c>
      <c r="B1037" s="3" t="s">
        <v>3017</v>
      </c>
      <c r="C1037" s="3" t="s">
        <v>3018</v>
      </c>
      <c r="D1037" s="3" t="s">
        <v>3019</v>
      </c>
      <c r="E1037" s="3" t="s">
        <v>3020</v>
      </c>
      <c r="F1037" s="3" t="s">
        <v>3025</v>
      </c>
      <c r="G1037" s="3" t="s">
        <v>49</v>
      </c>
      <c r="H1037" s="4">
        <v>2.0</v>
      </c>
      <c r="I1037" s="4">
        <v>3.0</v>
      </c>
      <c r="J1037" s="5"/>
      <c r="K1037" s="3" t="s">
        <v>3023</v>
      </c>
      <c r="L1037" s="3" t="s">
        <v>3024</v>
      </c>
      <c r="M1037" s="3" t="s">
        <v>22</v>
      </c>
      <c r="N1037" s="5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 t="s">
        <v>14</v>
      </c>
      <c r="B1038" s="3" t="s">
        <v>3026</v>
      </c>
      <c r="C1038" s="3" t="s">
        <v>3027</v>
      </c>
      <c r="D1038" s="3" t="s">
        <v>3028</v>
      </c>
      <c r="E1038" s="3" t="s">
        <v>3027</v>
      </c>
      <c r="F1038" s="3" t="s">
        <v>3029</v>
      </c>
      <c r="G1038" s="3" t="s">
        <v>3027</v>
      </c>
      <c r="H1038" s="4">
        <v>1.0</v>
      </c>
      <c r="I1038" s="4">
        <v>1.0</v>
      </c>
      <c r="J1038" s="5"/>
      <c r="K1038" s="3" t="s">
        <v>3030</v>
      </c>
      <c r="L1038" s="3" t="s">
        <v>3031</v>
      </c>
      <c r="M1038" s="3" t="s">
        <v>22</v>
      </c>
      <c r="N1038" s="5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 t="s">
        <v>14</v>
      </c>
      <c r="B1039" s="3" t="s">
        <v>3026</v>
      </c>
      <c r="C1039" s="3" t="s">
        <v>3027</v>
      </c>
      <c r="D1039" s="3" t="s">
        <v>3028</v>
      </c>
      <c r="E1039" s="3" t="s">
        <v>3027</v>
      </c>
      <c r="F1039" s="3" t="s">
        <v>1823</v>
      </c>
      <c r="G1039" s="3" t="s">
        <v>36</v>
      </c>
      <c r="H1039" s="4">
        <v>2.0</v>
      </c>
      <c r="I1039" s="4" t="s">
        <v>36</v>
      </c>
      <c r="J1039" s="5"/>
      <c r="K1039" s="3" t="s">
        <v>3030</v>
      </c>
      <c r="L1039" s="3" t="s">
        <v>3031</v>
      </c>
      <c r="M1039" s="3" t="s">
        <v>22</v>
      </c>
      <c r="N1039" s="5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 t="s">
        <v>14</v>
      </c>
      <c r="B1040" s="3" t="s">
        <v>3032</v>
      </c>
      <c r="C1040" s="3" t="s">
        <v>3033</v>
      </c>
      <c r="D1040" s="3" t="s">
        <v>3034</v>
      </c>
      <c r="E1040" s="3" t="s">
        <v>3035</v>
      </c>
      <c r="F1040" s="3" t="s">
        <v>575</v>
      </c>
      <c r="G1040" s="3" t="s">
        <v>575</v>
      </c>
      <c r="H1040" s="4">
        <v>1.0</v>
      </c>
      <c r="I1040" s="4">
        <v>1.0</v>
      </c>
      <c r="J1040" s="5"/>
      <c r="K1040" s="3" t="s">
        <v>3036</v>
      </c>
      <c r="L1040" s="3" t="s">
        <v>3037</v>
      </c>
      <c r="M1040" s="3" t="s">
        <v>22</v>
      </c>
      <c r="N1040" s="5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 t="s">
        <v>14</v>
      </c>
      <c r="B1041" s="3" t="s">
        <v>3032</v>
      </c>
      <c r="C1041" s="3" t="s">
        <v>3033</v>
      </c>
      <c r="D1041" s="3" t="s">
        <v>3034</v>
      </c>
      <c r="E1041" s="3" t="s">
        <v>3035</v>
      </c>
      <c r="F1041" s="3" t="s">
        <v>1608</v>
      </c>
      <c r="G1041" s="3" t="s">
        <v>1608</v>
      </c>
      <c r="H1041" s="4">
        <v>2.0</v>
      </c>
      <c r="I1041" s="4">
        <v>2.0</v>
      </c>
      <c r="J1041" s="5"/>
      <c r="K1041" s="3" t="s">
        <v>3036</v>
      </c>
      <c r="L1041" s="3" t="s">
        <v>3037</v>
      </c>
      <c r="M1041" s="3" t="s">
        <v>22</v>
      </c>
      <c r="N1041" s="5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 t="s">
        <v>14</v>
      </c>
      <c r="B1042" s="3" t="s">
        <v>3032</v>
      </c>
      <c r="C1042" s="3" t="s">
        <v>3033</v>
      </c>
      <c r="D1042" s="3" t="s">
        <v>3034</v>
      </c>
      <c r="E1042" s="3" t="s">
        <v>3035</v>
      </c>
      <c r="F1042" s="3" t="s">
        <v>620</v>
      </c>
      <c r="G1042" s="3" t="s">
        <v>282</v>
      </c>
      <c r="H1042" s="4">
        <v>3.0</v>
      </c>
      <c r="I1042" s="4">
        <v>3.0</v>
      </c>
      <c r="J1042" s="5"/>
      <c r="K1042" s="3" t="s">
        <v>3036</v>
      </c>
      <c r="L1042" s="3" t="s">
        <v>3037</v>
      </c>
      <c r="M1042" s="3" t="s">
        <v>22</v>
      </c>
      <c r="N1042" s="5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 t="s">
        <v>14</v>
      </c>
      <c r="B1043" s="3" t="s">
        <v>3038</v>
      </c>
      <c r="C1043" s="3" t="s">
        <v>3039</v>
      </c>
      <c r="D1043" s="3" t="s">
        <v>3040</v>
      </c>
      <c r="E1043" s="3" t="s">
        <v>3041</v>
      </c>
      <c r="F1043" s="17" t="s">
        <v>36</v>
      </c>
      <c r="G1043" s="3" t="s">
        <v>29</v>
      </c>
      <c r="H1043" s="4" t="s">
        <v>36</v>
      </c>
      <c r="I1043" s="4">
        <v>1.0</v>
      </c>
      <c r="J1043" s="3"/>
      <c r="K1043" s="3" t="s">
        <v>3042</v>
      </c>
      <c r="L1043" s="3" t="s">
        <v>3043</v>
      </c>
      <c r="M1043" s="3" t="s">
        <v>22</v>
      </c>
      <c r="N1043" s="5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 t="s">
        <v>14</v>
      </c>
      <c r="B1044" s="3" t="s">
        <v>3038</v>
      </c>
      <c r="C1044" s="3" t="s">
        <v>3039</v>
      </c>
      <c r="D1044" s="3" t="s">
        <v>3040</v>
      </c>
      <c r="E1044" s="3" t="s">
        <v>3041</v>
      </c>
      <c r="F1044" s="3" t="s">
        <v>2175</v>
      </c>
      <c r="G1044" s="3" t="s">
        <v>103</v>
      </c>
      <c r="H1044" s="4">
        <v>1.0</v>
      </c>
      <c r="I1044" s="4">
        <v>2.0</v>
      </c>
      <c r="J1044" s="3"/>
      <c r="K1044" s="3" t="s">
        <v>3042</v>
      </c>
      <c r="L1044" s="3" t="s">
        <v>3043</v>
      </c>
      <c r="M1044" s="3" t="s">
        <v>22</v>
      </c>
      <c r="N1044" s="5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 t="s">
        <v>14</v>
      </c>
      <c r="B1045" s="3" t="s">
        <v>3038</v>
      </c>
      <c r="C1045" s="3" t="s">
        <v>3039</v>
      </c>
      <c r="D1045" s="3" t="s">
        <v>3040</v>
      </c>
      <c r="E1045" s="3" t="s">
        <v>3041</v>
      </c>
      <c r="F1045" s="3" t="s">
        <v>181</v>
      </c>
      <c r="G1045" s="3" t="s">
        <v>428</v>
      </c>
      <c r="H1045" s="4">
        <v>2.0</v>
      </c>
      <c r="I1045" s="4">
        <v>3.0</v>
      </c>
      <c r="J1045" s="3"/>
      <c r="K1045" s="3" t="s">
        <v>3042</v>
      </c>
      <c r="L1045" s="3" t="s">
        <v>3043</v>
      </c>
      <c r="M1045" s="3" t="s">
        <v>22</v>
      </c>
      <c r="N1045" s="5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 t="s">
        <v>14</v>
      </c>
      <c r="B1046" s="3" t="s">
        <v>3044</v>
      </c>
      <c r="C1046" s="3" t="s">
        <v>3044</v>
      </c>
      <c r="D1046" s="3" t="s">
        <v>3045</v>
      </c>
      <c r="E1046" s="3" t="s">
        <v>3045</v>
      </c>
      <c r="F1046" s="3" t="s">
        <v>181</v>
      </c>
      <c r="G1046" s="3" t="s">
        <v>181</v>
      </c>
      <c r="H1046" s="4">
        <v>1.0</v>
      </c>
      <c r="I1046" s="4">
        <v>1.0</v>
      </c>
      <c r="J1046" s="5"/>
      <c r="K1046" s="3" t="s">
        <v>3046</v>
      </c>
      <c r="L1046" s="3" t="s">
        <v>3047</v>
      </c>
      <c r="M1046" s="3" t="s">
        <v>22</v>
      </c>
      <c r="N1046" s="5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 t="s">
        <v>14</v>
      </c>
      <c r="B1047" s="3" t="s">
        <v>3044</v>
      </c>
      <c r="C1047" s="3" t="s">
        <v>3044</v>
      </c>
      <c r="D1047" s="3" t="s">
        <v>3045</v>
      </c>
      <c r="E1047" s="3" t="s">
        <v>3045</v>
      </c>
      <c r="F1047" s="3" t="s">
        <v>784</v>
      </c>
      <c r="G1047" s="3" t="s">
        <v>784</v>
      </c>
      <c r="H1047" s="4">
        <v>2.0</v>
      </c>
      <c r="I1047" s="4">
        <v>2.0</v>
      </c>
      <c r="J1047" s="5"/>
      <c r="K1047" s="3" t="s">
        <v>3046</v>
      </c>
      <c r="L1047" s="3" t="s">
        <v>3047</v>
      </c>
      <c r="M1047" s="3" t="s">
        <v>22</v>
      </c>
      <c r="N1047" s="5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 t="s">
        <v>14</v>
      </c>
      <c r="B1048" s="3" t="s">
        <v>3048</v>
      </c>
      <c r="C1048" s="3" t="s">
        <v>3049</v>
      </c>
      <c r="D1048" s="3" t="s">
        <v>3050</v>
      </c>
      <c r="E1048" s="3" t="s">
        <v>3051</v>
      </c>
      <c r="F1048" s="3" t="s">
        <v>19</v>
      </c>
      <c r="G1048" s="3" t="s">
        <v>3052</v>
      </c>
      <c r="H1048" s="4">
        <v>1.0</v>
      </c>
      <c r="I1048" s="4">
        <v>1.0</v>
      </c>
      <c r="J1048" s="5"/>
      <c r="K1048" s="3" t="s">
        <v>3053</v>
      </c>
      <c r="L1048" s="3" t="s">
        <v>3054</v>
      </c>
      <c r="M1048" s="3" t="s">
        <v>22</v>
      </c>
      <c r="N1048" s="5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 t="s">
        <v>14</v>
      </c>
      <c r="B1049" s="3" t="s">
        <v>3048</v>
      </c>
      <c r="C1049" s="3" t="s">
        <v>3049</v>
      </c>
      <c r="D1049" s="3" t="s">
        <v>3050</v>
      </c>
      <c r="E1049" s="3" t="s">
        <v>3051</v>
      </c>
      <c r="F1049" s="3" t="s">
        <v>1907</v>
      </c>
      <c r="G1049" s="3" t="s">
        <v>36</v>
      </c>
      <c r="H1049" s="4">
        <v>2.0</v>
      </c>
      <c r="I1049" s="4" t="s">
        <v>36</v>
      </c>
      <c r="J1049" s="5"/>
      <c r="K1049" s="3" t="s">
        <v>3053</v>
      </c>
      <c r="L1049" s="3" t="s">
        <v>3054</v>
      </c>
      <c r="M1049" s="3" t="s">
        <v>22</v>
      </c>
      <c r="N1049" s="5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 t="s">
        <v>14</v>
      </c>
      <c r="B1050" s="3" t="s">
        <v>3048</v>
      </c>
      <c r="C1050" s="3" t="s">
        <v>3049</v>
      </c>
      <c r="D1050" s="3" t="s">
        <v>3050</v>
      </c>
      <c r="E1050" s="3" t="s">
        <v>3051</v>
      </c>
      <c r="F1050" s="3" t="s">
        <v>62</v>
      </c>
      <c r="G1050" s="3" t="s">
        <v>724</v>
      </c>
      <c r="H1050" s="4">
        <v>3.0</v>
      </c>
      <c r="I1050" s="4">
        <v>2.0</v>
      </c>
      <c r="J1050" s="5"/>
      <c r="K1050" s="3" t="s">
        <v>3053</v>
      </c>
      <c r="L1050" s="3" t="s">
        <v>3054</v>
      </c>
      <c r="M1050" s="3" t="s">
        <v>22</v>
      </c>
      <c r="N1050" s="5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5" t="s">
        <v>14</v>
      </c>
      <c r="B1051" s="15" t="s">
        <v>3055</v>
      </c>
      <c r="C1051" s="15" t="s">
        <v>3056</v>
      </c>
      <c r="D1051" s="15" t="s">
        <v>3057</v>
      </c>
      <c r="E1051" s="15" t="s">
        <v>3058</v>
      </c>
      <c r="F1051" s="15" t="s">
        <v>30</v>
      </c>
      <c r="G1051" s="15" t="s">
        <v>3059</v>
      </c>
      <c r="H1051" s="18">
        <v>1.0</v>
      </c>
      <c r="I1051" s="18">
        <v>1.0</v>
      </c>
      <c r="J1051" s="15" t="s">
        <v>72</v>
      </c>
      <c r="K1051" s="15" t="s">
        <v>3060</v>
      </c>
      <c r="L1051" s="15" t="s">
        <v>3061</v>
      </c>
      <c r="M1051" s="15" t="s">
        <v>22</v>
      </c>
      <c r="N1051" s="20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>
      <c r="A1052" s="15" t="s">
        <v>14</v>
      </c>
      <c r="B1052" s="15" t="s">
        <v>3055</v>
      </c>
      <c r="C1052" s="15" t="s">
        <v>3056</v>
      </c>
      <c r="D1052" s="15" t="s">
        <v>3057</v>
      </c>
      <c r="E1052" s="15" t="s">
        <v>3058</v>
      </c>
      <c r="F1052" s="15" t="s">
        <v>245</v>
      </c>
      <c r="G1052" s="15"/>
      <c r="H1052" s="18">
        <v>2.0</v>
      </c>
      <c r="I1052" s="18" t="s">
        <v>36</v>
      </c>
      <c r="J1052" s="20"/>
      <c r="K1052" s="15" t="s">
        <v>3060</v>
      </c>
      <c r="L1052" s="15" t="s">
        <v>3061</v>
      </c>
      <c r="M1052" s="15" t="s">
        <v>22</v>
      </c>
      <c r="N1052" s="20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>
      <c r="A1053" s="15" t="s">
        <v>14</v>
      </c>
      <c r="B1053" s="15" t="s">
        <v>3055</v>
      </c>
      <c r="C1053" s="15" t="s">
        <v>3056</v>
      </c>
      <c r="D1053" s="15" t="s">
        <v>3057</v>
      </c>
      <c r="E1053" s="15" t="s">
        <v>3058</v>
      </c>
      <c r="F1053" s="15" t="s">
        <v>98</v>
      </c>
      <c r="G1053" s="15" t="s">
        <v>98</v>
      </c>
      <c r="H1053" s="18">
        <v>3.0</v>
      </c>
      <c r="I1053" s="18">
        <v>2.0</v>
      </c>
      <c r="J1053" s="20"/>
      <c r="K1053" s="15" t="s">
        <v>3060</v>
      </c>
      <c r="L1053" s="15" t="s">
        <v>3061</v>
      </c>
      <c r="M1053" s="15" t="s">
        <v>22</v>
      </c>
      <c r="N1053" s="20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>
      <c r="A1054" s="15" t="s">
        <v>14</v>
      </c>
      <c r="B1054" s="15" t="s">
        <v>3055</v>
      </c>
      <c r="C1054" s="15" t="s">
        <v>3056</v>
      </c>
      <c r="D1054" s="15" t="s">
        <v>3057</v>
      </c>
      <c r="E1054" s="15" t="s">
        <v>3058</v>
      </c>
      <c r="F1054" s="15" t="s">
        <v>706</v>
      </c>
      <c r="G1054" s="15" t="s">
        <v>707</v>
      </c>
      <c r="H1054" s="18">
        <v>4.0</v>
      </c>
      <c r="I1054" s="18">
        <v>3.0</v>
      </c>
      <c r="J1054" s="15"/>
      <c r="K1054" s="15" t="s">
        <v>3060</v>
      </c>
      <c r="L1054" s="15" t="s">
        <v>3061</v>
      </c>
      <c r="M1054" s="15" t="s">
        <v>22</v>
      </c>
      <c r="N1054" s="20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>
      <c r="A1055" s="3" t="s">
        <v>14</v>
      </c>
      <c r="B1055" s="3" t="s">
        <v>1920</v>
      </c>
      <c r="C1055" s="3" t="s">
        <v>3062</v>
      </c>
      <c r="D1055" s="3" t="s">
        <v>1920</v>
      </c>
      <c r="E1055" s="3" t="s">
        <v>3063</v>
      </c>
      <c r="F1055" s="3" t="s">
        <v>1920</v>
      </c>
      <c r="G1055" s="3" t="s">
        <v>3064</v>
      </c>
      <c r="H1055" s="4">
        <v>1.0</v>
      </c>
      <c r="I1055" s="4">
        <v>1.0</v>
      </c>
      <c r="J1055" s="5"/>
      <c r="K1055" s="3" t="s">
        <v>3065</v>
      </c>
      <c r="L1055" s="3" t="s">
        <v>3066</v>
      </c>
      <c r="M1055" s="3" t="s">
        <v>22</v>
      </c>
      <c r="N1055" s="5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 t="s">
        <v>14</v>
      </c>
      <c r="B1056" s="3" t="s">
        <v>1920</v>
      </c>
      <c r="C1056" s="3" t="s">
        <v>3062</v>
      </c>
      <c r="D1056" s="3" t="s">
        <v>1920</v>
      </c>
      <c r="E1056" s="3" t="s">
        <v>3063</v>
      </c>
      <c r="F1056" s="3" t="s">
        <v>36</v>
      </c>
      <c r="G1056" s="3" t="s">
        <v>482</v>
      </c>
      <c r="H1056" s="4" t="s">
        <v>36</v>
      </c>
      <c r="I1056" s="4">
        <v>2.0</v>
      </c>
      <c r="J1056" s="3"/>
      <c r="K1056" s="3" t="s">
        <v>3065</v>
      </c>
      <c r="L1056" s="3" t="s">
        <v>3066</v>
      </c>
      <c r="M1056" s="3" t="s">
        <v>22</v>
      </c>
      <c r="N1056" s="5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 t="s">
        <v>14</v>
      </c>
      <c r="B1057" s="3" t="s">
        <v>3067</v>
      </c>
      <c r="C1057" s="3" t="s">
        <v>3068</v>
      </c>
      <c r="D1057" s="3" t="s">
        <v>3069</v>
      </c>
      <c r="E1057" s="3" t="s">
        <v>3068</v>
      </c>
      <c r="F1057" s="3" t="s">
        <v>128</v>
      </c>
      <c r="G1057" s="3" t="s">
        <v>3068</v>
      </c>
      <c r="H1057" s="4">
        <v>1.0</v>
      </c>
      <c r="I1057" s="4">
        <v>1.0</v>
      </c>
      <c r="J1057" s="5"/>
      <c r="K1057" s="3" t="s">
        <v>3070</v>
      </c>
      <c r="L1057" s="3" t="s">
        <v>3071</v>
      </c>
      <c r="M1057" s="3" t="s">
        <v>22</v>
      </c>
      <c r="N1057" s="5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 t="s">
        <v>14</v>
      </c>
      <c r="B1058" s="3" t="s">
        <v>3067</v>
      </c>
      <c r="C1058" s="3" t="s">
        <v>3068</v>
      </c>
      <c r="D1058" s="3" t="s">
        <v>3069</v>
      </c>
      <c r="E1058" s="3" t="s">
        <v>3068</v>
      </c>
      <c r="F1058" s="3" t="s">
        <v>2500</v>
      </c>
      <c r="G1058" s="3" t="s">
        <v>36</v>
      </c>
      <c r="H1058" s="4">
        <v>2.0</v>
      </c>
      <c r="I1058" s="4" t="s">
        <v>36</v>
      </c>
      <c r="J1058" s="5"/>
      <c r="K1058" s="3" t="s">
        <v>3070</v>
      </c>
      <c r="L1058" s="3" t="s">
        <v>3071</v>
      </c>
      <c r="M1058" s="3" t="s">
        <v>22</v>
      </c>
      <c r="N1058" s="5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 t="s">
        <v>14</v>
      </c>
      <c r="B1059" s="3" t="s">
        <v>3067</v>
      </c>
      <c r="C1059" s="3" t="s">
        <v>3068</v>
      </c>
      <c r="D1059" s="3" t="s">
        <v>3069</v>
      </c>
      <c r="E1059" s="3" t="s">
        <v>3068</v>
      </c>
      <c r="F1059" s="3" t="s">
        <v>197</v>
      </c>
      <c r="G1059" s="3" t="s">
        <v>36</v>
      </c>
      <c r="H1059" s="4">
        <v>3.0</v>
      </c>
      <c r="I1059" s="4" t="s">
        <v>36</v>
      </c>
      <c r="J1059" s="5"/>
      <c r="K1059" s="3" t="s">
        <v>3070</v>
      </c>
      <c r="L1059" s="3" t="s">
        <v>3071</v>
      </c>
      <c r="M1059" s="3" t="s">
        <v>22</v>
      </c>
      <c r="N1059" s="5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 t="s">
        <v>14</v>
      </c>
      <c r="B1060" s="3" t="s">
        <v>3072</v>
      </c>
      <c r="C1060" s="3" t="s">
        <v>3073</v>
      </c>
      <c r="D1060" s="3" t="s">
        <v>3072</v>
      </c>
      <c r="E1060" s="3" t="s">
        <v>3074</v>
      </c>
      <c r="F1060" s="3" t="s">
        <v>3072</v>
      </c>
      <c r="G1060" s="3" t="s">
        <v>175</v>
      </c>
      <c r="H1060" s="4">
        <v>1.0</v>
      </c>
      <c r="I1060" s="4">
        <v>1.0</v>
      </c>
      <c r="J1060" s="3" t="s">
        <v>80</v>
      </c>
      <c r="K1060" s="3" t="s">
        <v>3075</v>
      </c>
      <c r="L1060" s="3" t="s">
        <v>3076</v>
      </c>
      <c r="M1060" s="3" t="s">
        <v>22</v>
      </c>
      <c r="N1060" s="5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 t="s">
        <v>14</v>
      </c>
      <c r="B1061" s="3" t="s">
        <v>3072</v>
      </c>
      <c r="C1061" s="3" t="s">
        <v>3073</v>
      </c>
      <c r="D1061" s="3" t="s">
        <v>3072</v>
      </c>
      <c r="E1061" s="3" t="s">
        <v>3074</v>
      </c>
      <c r="F1061" s="3" t="s">
        <v>36</v>
      </c>
      <c r="G1061" s="3" t="s">
        <v>2647</v>
      </c>
      <c r="H1061" s="4" t="s">
        <v>36</v>
      </c>
      <c r="I1061" s="4">
        <v>2.0</v>
      </c>
      <c r="J1061" s="3"/>
      <c r="K1061" s="3" t="s">
        <v>3075</v>
      </c>
      <c r="L1061" s="3" t="s">
        <v>3076</v>
      </c>
      <c r="M1061" s="3" t="s">
        <v>22</v>
      </c>
      <c r="N1061" s="5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 t="s">
        <v>14</v>
      </c>
      <c r="B1062" s="3" t="s">
        <v>3072</v>
      </c>
      <c r="C1062" s="3" t="s">
        <v>3073</v>
      </c>
      <c r="D1062" s="3" t="s">
        <v>3072</v>
      </c>
      <c r="E1062" s="3" t="s">
        <v>3074</v>
      </c>
      <c r="F1062" s="3" t="s">
        <v>36</v>
      </c>
      <c r="G1062" s="3" t="s">
        <v>362</v>
      </c>
      <c r="H1062" s="4" t="s">
        <v>36</v>
      </c>
      <c r="I1062" s="4">
        <v>3.0</v>
      </c>
      <c r="J1062" s="3"/>
      <c r="K1062" s="3" t="s">
        <v>3075</v>
      </c>
      <c r="L1062" s="3" t="s">
        <v>3076</v>
      </c>
      <c r="M1062" s="3" t="s">
        <v>22</v>
      </c>
      <c r="N1062" s="5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 t="s">
        <v>14</v>
      </c>
      <c r="B1063" s="3" t="s">
        <v>3077</v>
      </c>
      <c r="C1063" s="3" t="s">
        <v>3078</v>
      </c>
      <c r="D1063" s="3" t="s">
        <v>3079</v>
      </c>
      <c r="E1063" s="3" t="s">
        <v>3080</v>
      </c>
      <c r="F1063" s="3" t="s">
        <v>1396</v>
      </c>
      <c r="G1063" s="3" t="s">
        <v>1396</v>
      </c>
      <c r="H1063" s="4">
        <v>1.0</v>
      </c>
      <c r="I1063" s="4">
        <v>1.0</v>
      </c>
      <c r="J1063" s="5"/>
      <c r="K1063" s="3" t="s">
        <v>3081</v>
      </c>
      <c r="L1063" s="3" t="s">
        <v>3082</v>
      </c>
      <c r="M1063" s="3" t="s">
        <v>22</v>
      </c>
      <c r="N1063" s="5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 t="s">
        <v>14</v>
      </c>
      <c r="B1064" s="3" t="s">
        <v>3077</v>
      </c>
      <c r="C1064" s="3" t="s">
        <v>3078</v>
      </c>
      <c r="D1064" s="3" t="s">
        <v>3079</v>
      </c>
      <c r="E1064" s="3" t="s">
        <v>3080</v>
      </c>
      <c r="F1064" s="3" t="s">
        <v>840</v>
      </c>
      <c r="G1064" s="3" t="s">
        <v>482</v>
      </c>
      <c r="H1064" s="4">
        <v>2.0</v>
      </c>
      <c r="I1064" s="4">
        <v>2.0</v>
      </c>
      <c r="J1064" s="5"/>
      <c r="K1064" s="3" t="s">
        <v>3081</v>
      </c>
      <c r="L1064" s="3" t="s">
        <v>3082</v>
      </c>
      <c r="M1064" s="3" t="s">
        <v>22</v>
      </c>
      <c r="N1064" s="5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5" t="s">
        <v>14</v>
      </c>
      <c r="B1065" s="15" t="s">
        <v>3083</v>
      </c>
      <c r="C1065" s="15" t="s">
        <v>3084</v>
      </c>
      <c r="D1065" s="15" t="s">
        <v>3085</v>
      </c>
      <c r="E1065" s="15" t="s">
        <v>3086</v>
      </c>
      <c r="F1065" s="15" t="s">
        <v>3087</v>
      </c>
      <c r="G1065" s="15" t="s">
        <v>3088</v>
      </c>
      <c r="H1065" s="18">
        <v>1.0</v>
      </c>
      <c r="I1065" s="18">
        <v>1.0</v>
      </c>
      <c r="J1065" s="15" t="s">
        <v>80</v>
      </c>
      <c r="K1065" s="15" t="s">
        <v>3089</v>
      </c>
      <c r="L1065" s="15" t="s">
        <v>3090</v>
      </c>
      <c r="M1065" s="15" t="s">
        <v>22</v>
      </c>
      <c r="N1065" s="20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>
      <c r="A1066" s="15" t="s">
        <v>14</v>
      </c>
      <c r="B1066" s="15" t="s">
        <v>3083</v>
      </c>
      <c r="C1066" s="15" t="s">
        <v>3084</v>
      </c>
      <c r="D1066" s="15" t="s">
        <v>3085</v>
      </c>
      <c r="E1066" s="15" t="s">
        <v>3086</v>
      </c>
      <c r="F1066" s="15" t="s">
        <v>158</v>
      </c>
      <c r="G1066" s="15" t="s">
        <v>810</v>
      </c>
      <c r="H1066" s="18">
        <v>2.0</v>
      </c>
      <c r="I1066" s="18">
        <v>2.0</v>
      </c>
      <c r="J1066" s="15"/>
      <c r="K1066" s="15" t="s">
        <v>3089</v>
      </c>
      <c r="L1066" s="15" t="s">
        <v>3090</v>
      </c>
      <c r="M1066" s="15" t="s">
        <v>22</v>
      </c>
      <c r="N1066" s="20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>
      <c r="A1067" s="15" t="s">
        <v>14</v>
      </c>
      <c r="B1067" s="15" t="s">
        <v>3083</v>
      </c>
      <c r="C1067" s="15" t="s">
        <v>3084</v>
      </c>
      <c r="D1067" s="15" t="s">
        <v>3085</v>
      </c>
      <c r="E1067" s="15" t="s">
        <v>3086</v>
      </c>
      <c r="F1067" s="15" t="s">
        <v>36</v>
      </c>
      <c r="G1067" s="15" t="s">
        <v>103</v>
      </c>
      <c r="H1067" s="18" t="s">
        <v>36</v>
      </c>
      <c r="I1067" s="18">
        <v>3.0</v>
      </c>
      <c r="J1067" s="20"/>
      <c r="K1067" s="15" t="s">
        <v>3089</v>
      </c>
      <c r="L1067" s="15" t="s">
        <v>3090</v>
      </c>
      <c r="M1067" s="15" t="s">
        <v>22</v>
      </c>
      <c r="N1067" s="20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>
      <c r="A1068" s="3" t="s">
        <v>14</v>
      </c>
      <c r="B1068" s="3" t="s">
        <v>3091</v>
      </c>
      <c r="C1068" s="3" t="s">
        <v>3092</v>
      </c>
      <c r="D1068" s="3" t="s">
        <v>3093</v>
      </c>
      <c r="E1068" s="3" t="s">
        <v>3094</v>
      </c>
      <c r="F1068" s="3" t="s">
        <v>1541</v>
      </c>
      <c r="G1068" s="3" t="s">
        <v>3088</v>
      </c>
      <c r="H1068" s="4">
        <v>1.0</v>
      </c>
      <c r="I1068" s="4">
        <v>1.0</v>
      </c>
      <c r="J1068" s="5"/>
      <c r="K1068" s="3" t="s">
        <v>3095</v>
      </c>
      <c r="L1068" s="3" t="s">
        <v>3096</v>
      </c>
      <c r="M1068" s="3" t="s">
        <v>22</v>
      </c>
      <c r="N1068" s="5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 t="s">
        <v>14</v>
      </c>
      <c r="B1069" s="3" t="s">
        <v>3091</v>
      </c>
      <c r="C1069" s="3" t="s">
        <v>3092</v>
      </c>
      <c r="D1069" s="3" t="s">
        <v>3093</v>
      </c>
      <c r="E1069" s="3" t="s">
        <v>3094</v>
      </c>
      <c r="F1069" s="3" t="s">
        <v>918</v>
      </c>
      <c r="G1069" s="3" t="s">
        <v>918</v>
      </c>
      <c r="H1069" s="4">
        <v>2.0</v>
      </c>
      <c r="I1069" s="4">
        <v>2.0</v>
      </c>
      <c r="J1069" s="5"/>
      <c r="K1069" s="3" t="s">
        <v>3095</v>
      </c>
      <c r="L1069" s="3" t="s">
        <v>3096</v>
      </c>
      <c r="M1069" s="3" t="s">
        <v>22</v>
      </c>
      <c r="N1069" s="5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 t="s">
        <v>14</v>
      </c>
      <c r="B1070" s="3" t="s">
        <v>3091</v>
      </c>
      <c r="C1070" s="3" t="s">
        <v>3092</v>
      </c>
      <c r="D1070" s="3" t="s">
        <v>3093</v>
      </c>
      <c r="E1070" s="3" t="s">
        <v>3094</v>
      </c>
      <c r="F1070" s="3" t="s">
        <v>784</v>
      </c>
      <c r="G1070" s="3" t="s">
        <v>784</v>
      </c>
      <c r="H1070" s="4">
        <v>3.0</v>
      </c>
      <c r="I1070" s="4">
        <v>3.0</v>
      </c>
      <c r="J1070" s="5"/>
      <c r="K1070" s="3" t="s">
        <v>3095</v>
      </c>
      <c r="L1070" s="3" t="s">
        <v>3096</v>
      </c>
      <c r="M1070" s="3" t="s">
        <v>22</v>
      </c>
      <c r="N1070" s="5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 t="s">
        <v>14</v>
      </c>
      <c r="B1071" s="3" t="s">
        <v>3097</v>
      </c>
      <c r="C1071" s="3" t="s">
        <v>3098</v>
      </c>
      <c r="D1071" s="3" t="s">
        <v>3099</v>
      </c>
      <c r="E1071" s="3" t="s">
        <v>3100</v>
      </c>
      <c r="F1071" s="3" t="s">
        <v>228</v>
      </c>
      <c r="G1071" s="3" t="s">
        <v>3101</v>
      </c>
      <c r="H1071" s="4">
        <v>1.0</v>
      </c>
      <c r="I1071" s="4">
        <v>1.0</v>
      </c>
      <c r="J1071" s="5"/>
      <c r="K1071" s="3" t="s">
        <v>3102</v>
      </c>
      <c r="L1071" s="3" t="s">
        <v>1736</v>
      </c>
      <c r="M1071" s="3" t="s">
        <v>22</v>
      </c>
      <c r="N1071" s="5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 t="s">
        <v>14</v>
      </c>
      <c r="B1072" s="3" t="s">
        <v>3097</v>
      </c>
      <c r="C1072" s="3" t="s">
        <v>3098</v>
      </c>
      <c r="D1072" s="3" t="s">
        <v>3099</v>
      </c>
      <c r="E1072" s="3" t="s">
        <v>3100</v>
      </c>
      <c r="F1072" s="3" t="s">
        <v>3103</v>
      </c>
      <c r="G1072" s="3" t="s">
        <v>238</v>
      </c>
      <c r="H1072" s="4">
        <v>2.0</v>
      </c>
      <c r="I1072" s="4">
        <v>2.0</v>
      </c>
      <c r="J1072" s="5"/>
      <c r="K1072" s="3" t="s">
        <v>3102</v>
      </c>
      <c r="L1072" s="3" t="s">
        <v>1736</v>
      </c>
      <c r="M1072" s="3" t="s">
        <v>22</v>
      </c>
      <c r="N1072" s="5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 t="s">
        <v>14</v>
      </c>
      <c r="B1073" s="3" t="s">
        <v>3104</v>
      </c>
      <c r="C1073" s="3" t="s">
        <v>3105</v>
      </c>
      <c r="D1073" s="3" t="s">
        <v>3106</v>
      </c>
      <c r="E1073" s="3" t="s">
        <v>3107</v>
      </c>
      <c r="F1073" s="3" t="s">
        <v>848</v>
      </c>
      <c r="G1073" s="3" t="s">
        <v>987</v>
      </c>
      <c r="H1073" s="4">
        <v>1.0</v>
      </c>
      <c r="I1073" s="4">
        <v>1.0</v>
      </c>
      <c r="J1073" s="5"/>
      <c r="K1073" s="3" t="s">
        <v>3108</v>
      </c>
      <c r="L1073" s="3" t="s">
        <v>3109</v>
      </c>
      <c r="M1073" s="3" t="s">
        <v>22</v>
      </c>
      <c r="N1073" s="5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 t="s">
        <v>14</v>
      </c>
      <c r="B1074" s="3" t="s">
        <v>3104</v>
      </c>
      <c r="C1074" s="3" t="s">
        <v>3105</v>
      </c>
      <c r="D1074" s="3" t="s">
        <v>3106</v>
      </c>
      <c r="E1074" s="3" t="s">
        <v>3107</v>
      </c>
      <c r="F1074" s="3" t="s">
        <v>3110</v>
      </c>
      <c r="G1074" s="3" t="s">
        <v>3111</v>
      </c>
      <c r="H1074" s="4">
        <v>2.0</v>
      </c>
      <c r="I1074" s="4">
        <v>2.0</v>
      </c>
      <c r="J1074" s="5"/>
      <c r="K1074" s="3" t="s">
        <v>3108</v>
      </c>
      <c r="L1074" s="3" t="s">
        <v>3109</v>
      </c>
      <c r="M1074" s="3" t="s">
        <v>22</v>
      </c>
      <c r="N1074" s="5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 t="s">
        <v>14</v>
      </c>
      <c r="B1075" s="3" t="s">
        <v>3104</v>
      </c>
      <c r="C1075" s="3" t="s">
        <v>3105</v>
      </c>
      <c r="D1075" s="3" t="s">
        <v>3106</v>
      </c>
      <c r="E1075" s="3" t="s">
        <v>3107</v>
      </c>
      <c r="F1075" s="3" t="s">
        <v>55</v>
      </c>
      <c r="G1075" s="3" t="s">
        <v>56</v>
      </c>
      <c r="H1075" s="4">
        <v>3.0</v>
      </c>
      <c r="I1075" s="4">
        <v>3.0</v>
      </c>
      <c r="J1075" s="5"/>
      <c r="K1075" s="3" t="s">
        <v>3108</v>
      </c>
      <c r="L1075" s="3" t="s">
        <v>3109</v>
      </c>
      <c r="M1075" s="3" t="s">
        <v>22</v>
      </c>
      <c r="N1075" s="5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 t="s">
        <v>14</v>
      </c>
      <c r="B1076" s="3" t="s">
        <v>3112</v>
      </c>
      <c r="C1076" s="3" t="s">
        <v>3113</v>
      </c>
      <c r="D1076" s="3" t="s">
        <v>3114</v>
      </c>
      <c r="E1076" s="3" t="s">
        <v>3115</v>
      </c>
      <c r="F1076" s="3" t="s">
        <v>362</v>
      </c>
      <c r="G1076" s="3" t="s">
        <v>301</v>
      </c>
      <c r="H1076" s="4">
        <v>1.0</v>
      </c>
      <c r="I1076" s="4">
        <v>1.0</v>
      </c>
      <c r="J1076" s="5"/>
      <c r="K1076" s="3" t="s">
        <v>3116</v>
      </c>
      <c r="L1076" s="3" t="s">
        <v>479</v>
      </c>
      <c r="M1076" s="3" t="s">
        <v>22</v>
      </c>
      <c r="N1076" s="5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 t="s">
        <v>14</v>
      </c>
      <c r="B1077" s="3" t="s">
        <v>3112</v>
      </c>
      <c r="C1077" s="3" t="s">
        <v>3113</v>
      </c>
      <c r="D1077" s="3" t="s">
        <v>3114</v>
      </c>
      <c r="E1077" s="3" t="s">
        <v>3115</v>
      </c>
      <c r="F1077" s="3" t="s">
        <v>436</v>
      </c>
      <c r="G1077" s="3" t="s">
        <v>436</v>
      </c>
      <c r="H1077" s="4">
        <v>2.0</v>
      </c>
      <c r="I1077" s="4">
        <v>2.0</v>
      </c>
      <c r="J1077" s="5"/>
      <c r="K1077" s="3" t="s">
        <v>3116</v>
      </c>
      <c r="L1077" s="3" t="s">
        <v>479</v>
      </c>
      <c r="M1077" s="3" t="s">
        <v>22</v>
      </c>
      <c r="N1077" s="5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 t="s">
        <v>14</v>
      </c>
      <c r="B1078" s="3" t="s">
        <v>3112</v>
      </c>
      <c r="C1078" s="3" t="s">
        <v>3113</v>
      </c>
      <c r="D1078" s="3" t="s">
        <v>3114</v>
      </c>
      <c r="E1078" s="3" t="s">
        <v>3115</v>
      </c>
      <c r="F1078" s="3" t="s">
        <v>190</v>
      </c>
      <c r="G1078" s="3" t="s">
        <v>190</v>
      </c>
      <c r="H1078" s="4">
        <v>3.0</v>
      </c>
      <c r="I1078" s="4">
        <v>3.0</v>
      </c>
      <c r="J1078" s="5"/>
      <c r="K1078" s="3" t="s">
        <v>3116</v>
      </c>
      <c r="L1078" s="3" t="s">
        <v>479</v>
      </c>
      <c r="M1078" s="3" t="s">
        <v>22</v>
      </c>
      <c r="N1078" s="5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 t="s">
        <v>14</v>
      </c>
      <c r="B1079" s="3" t="s">
        <v>3117</v>
      </c>
      <c r="C1079" s="3" t="s">
        <v>3118</v>
      </c>
      <c r="D1079" s="3" t="s">
        <v>3119</v>
      </c>
      <c r="E1079" s="3" t="s">
        <v>3120</v>
      </c>
      <c r="F1079" s="3" t="s">
        <v>128</v>
      </c>
      <c r="G1079" s="3" t="s">
        <v>1113</v>
      </c>
      <c r="H1079" s="4">
        <v>1.0</v>
      </c>
      <c r="I1079" s="4">
        <v>1.0</v>
      </c>
      <c r="J1079" s="5"/>
      <c r="K1079" s="3" t="s">
        <v>3121</v>
      </c>
      <c r="L1079" s="3" t="s">
        <v>3122</v>
      </c>
      <c r="M1079" s="3" t="s">
        <v>22</v>
      </c>
      <c r="N1079" s="5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 t="s">
        <v>14</v>
      </c>
      <c r="B1080" s="3" t="s">
        <v>3117</v>
      </c>
      <c r="C1080" s="3" t="s">
        <v>3118</v>
      </c>
      <c r="D1080" s="3" t="s">
        <v>3119</v>
      </c>
      <c r="E1080" s="3" t="s">
        <v>3120</v>
      </c>
      <c r="F1080" s="3" t="s">
        <v>1248</v>
      </c>
      <c r="G1080" s="3" t="s">
        <v>3123</v>
      </c>
      <c r="H1080" s="4">
        <v>2.0</v>
      </c>
      <c r="I1080" s="4">
        <v>2.0</v>
      </c>
      <c r="J1080" s="5"/>
      <c r="K1080" s="3" t="s">
        <v>3121</v>
      </c>
      <c r="L1080" s="3" t="s">
        <v>3122</v>
      </c>
      <c r="M1080" s="3" t="s">
        <v>22</v>
      </c>
      <c r="N1080" s="5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 t="s">
        <v>14</v>
      </c>
      <c r="B1081" s="3" t="s">
        <v>3117</v>
      </c>
      <c r="C1081" s="3" t="s">
        <v>3118</v>
      </c>
      <c r="D1081" s="3" t="s">
        <v>3119</v>
      </c>
      <c r="E1081" s="3" t="s">
        <v>3120</v>
      </c>
      <c r="F1081" s="3" t="s">
        <v>362</v>
      </c>
      <c r="G1081" s="3" t="s">
        <v>566</v>
      </c>
      <c r="H1081" s="4">
        <v>3.0</v>
      </c>
      <c r="I1081" s="4">
        <v>3.0</v>
      </c>
      <c r="J1081" s="5"/>
      <c r="K1081" s="3" t="s">
        <v>3121</v>
      </c>
      <c r="L1081" s="3" t="s">
        <v>3122</v>
      </c>
      <c r="M1081" s="3" t="s">
        <v>22</v>
      </c>
      <c r="N1081" s="5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5" t="s">
        <v>14</v>
      </c>
      <c r="B1082" s="15" t="s">
        <v>3124</v>
      </c>
      <c r="C1082" s="15" t="s">
        <v>3125</v>
      </c>
      <c r="D1082" s="15" t="s">
        <v>3126</v>
      </c>
      <c r="E1082" s="15" t="s">
        <v>3127</v>
      </c>
      <c r="F1082" s="15" t="s">
        <v>128</v>
      </c>
      <c r="G1082" s="15" t="s">
        <v>36</v>
      </c>
      <c r="H1082" s="18">
        <v>1.0</v>
      </c>
      <c r="I1082" s="18" t="s">
        <v>36</v>
      </c>
      <c r="J1082" s="20"/>
      <c r="K1082" s="15" t="s">
        <v>3128</v>
      </c>
      <c r="L1082" s="15" t="s">
        <v>3129</v>
      </c>
      <c r="M1082" s="15" t="s">
        <v>22</v>
      </c>
      <c r="N1082" s="20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>
      <c r="A1083" s="15" t="s">
        <v>14</v>
      </c>
      <c r="B1083" s="15" t="s">
        <v>3124</v>
      </c>
      <c r="C1083" s="15" t="s">
        <v>3125</v>
      </c>
      <c r="D1083" s="15" t="s">
        <v>3126</v>
      </c>
      <c r="E1083" s="15" t="s">
        <v>3127</v>
      </c>
      <c r="F1083" s="15" t="s">
        <v>54</v>
      </c>
      <c r="G1083" s="15" t="s">
        <v>54</v>
      </c>
      <c r="H1083" s="18">
        <v>2.0</v>
      </c>
      <c r="I1083" s="18">
        <v>1.0</v>
      </c>
      <c r="J1083" s="20"/>
      <c r="K1083" s="15" t="s">
        <v>3128</v>
      </c>
      <c r="L1083" s="15" t="s">
        <v>3129</v>
      </c>
      <c r="M1083" s="15" t="s">
        <v>22</v>
      </c>
      <c r="N1083" s="20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>
      <c r="A1084" s="15" t="s">
        <v>14</v>
      </c>
      <c r="B1084" s="15" t="s">
        <v>3124</v>
      </c>
      <c r="C1084" s="15" t="s">
        <v>3125</v>
      </c>
      <c r="D1084" s="15" t="s">
        <v>3126</v>
      </c>
      <c r="E1084" s="15" t="s">
        <v>3127</v>
      </c>
      <c r="F1084" s="15" t="s">
        <v>784</v>
      </c>
      <c r="G1084" s="15" t="s">
        <v>2207</v>
      </c>
      <c r="H1084" s="18">
        <v>3.0</v>
      </c>
      <c r="I1084" s="18">
        <v>2.0</v>
      </c>
      <c r="J1084" s="20"/>
      <c r="K1084" s="15" t="s">
        <v>3128</v>
      </c>
      <c r="L1084" s="15" t="s">
        <v>3129</v>
      </c>
      <c r="M1084" s="15" t="s">
        <v>22</v>
      </c>
      <c r="N1084" s="20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>
      <c r="A1085" s="3" t="s">
        <v>14</v>
      </c>
      <c r="B1085" s="3" t="s">
        <v>2500</v>
      </c>
      <c r="C1085" s="3" t="s">
        <v>3130</v>
      </c>
      <c r="D1085" s="3" t="s">
        <v>2500</v>
      </c>
      <c r="E1085" s="3" t="s">
        <v>3131</v>
      </c>
      <c r="F1085" s="3" t="s">
        <v>2500</v>
      </c>
      <c r="G1085" s="3" t="s">
        <v>2500</v>
      </c>
      <c r="H1085" s="4">
        <v>1.0</v>
      </c>
      <c r="I1085" s="4">
        <v>1.0</v>
      </c>
      <c r="J1085" s="3" t="s">
        <v>80</v>
      </c>
      <c r="K1085" s="3" t="s">
        <v>3132</v>
      </c>
      <c r="L1085" s="3" t="s">
        <v>3133</v>
      </c>
      <c r="M1085" s="3" t="s">
        <v>22</v>
      </c>
      <c r="N1085" s="5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 t="s">
        <v>14</v>
      </c>
      <c r="B1086" s="3" t="s">
        <v>2500</v>
      </c>
      <c r="C1086" s="3" t="s">
        <v>3130</v>
      </c>
      <c r="D1086" s="3" t="s">
        <v>2500</v>
      </c>
      <c r="E1086" s="3" t="s">
        <v>3131</v>
      </c>
      <c r="F1086" s="3" t="s">
        <v>36</v>
      </c>
      <c r="G1086" s="3" t="s">
        <v>103</v>
      </c>
      <c r="H1086" s="4" t="s">
        <v>36</v>
      </c>
      <c r="I1086" s="4">
        <v>2.0</v>
      </c>
      <c r="J1086" s="3"/>
      <c r="K1086" s="3" t="s">
        <v>3132</v>
      </c>
      <c r="L1086" s="3" t="s">
        <v>3133</v>
      </c>
      <c r="M1086" s="3" t="s">
        <v>22</v>
      </c>
      <c r="N1086" s="5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 t="s">
        <v>14</v>
      </c>
      <c r="B1087" s="3" t="s">
        <v>1608</v>
      </c>
      <c r="C1087" s="3" t="s">
        <v>1608</v>
      </c>
      <c r="D1087" s="3" t="s">
        <v>1608</v>
      </c>
      <c r="E1087" s="3" t="s">
        <v>1608</v>
      </c>
      <c r="F1087" s="8" t="s">
        <v>1425</v>
      </c>
      <c r="G1087" s="8" t="s">
        <v>1425</v>
      </c>
      <c r="H1087" s="4">
        <v>1.0</v>
      </c>
      <c r="I1087" s="4">
        <v>1.0</v>
      </c>
      <c r="J1087" s="5"/>
      <c r="K1087" s="3" t="s">
        <v>3134</v>
      </c>
      <c r="L1087" s="3" t="s">
        <v>3135</v>
      </c>
      <c r="M1087" s="3" t="s">
        <v>22</v>
      </c>
      <c r="N1087" s="5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 t="s">
        <v>14</v>
      </c>
      <c r="B1088" s="3" t="s">
        <v>3136</v>
      </c>
      <c r="C1088" s="3" t="s">
        <v>3137</v>
      </c>
      <c r="D1088" s="3" t="s">
        <v>3138</v>
      </c>
      <c r="E1088" s="3" t="s">
        <v>3138</v>
      </c>
      <c r="F1088" s="3" t="s">
        <v>2569</v>
      </c>
      <c r="G1088" s="3" t="s">
        <v>2569</v>
      </c>
      <c r="H1088" s="4">
        <v>1.0</v>
      </c>
      <c r="I1088" s="4">
        <v>1.0</v>
      </c>
      <c r="J1088" s="5"/>
      <c r="K1088" s="3" t="s">
        <v>3139</v>
      </c>
      <c r="L1088" s="3" t="s">
        <v>3140</v>
      </c>
      <c r="M1088" s="3" t="s">
        <v>22</v>
      </c>
      <c r="N1088" s="5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 t="s">
        <v>14</v>
      </c>
      <c r="B1089" s="3" t="s">
        <v>3136</v>
      </c>
      <c r="C1089" s="3" t="s">
        <v>3137</v>
      </c>
      <c r="D1089" s="3" t="s">
        <v>3138</v>
      </c>
      <c r="E1089" s="3" t="s">
        <v>3138</v>
      </c>
      <c r="F1089" s="3" t="s">
        <v>213</v>
      </c>
      <c r="G1089" s="3" t="s">
        <v>213</v>
      </c>
      <c r="H1089" s="4">
        <v>2.0</v>
      </c>
      <c r="I1089" s="4">
        <v>2.0</v>
      </c>
      <c r="J1089" s="5"/>
      <c r="K1089" s="3" t="s">
        <v>3139</v>
      </c>
      <c r="L1089" s="3" t="s">
        <v>3140</v>
      </c>
      <c r="M1089" s="3" t="s">
        <v>22</v>
      </c>
      <c r="N1089" s="5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 t="s">
        <v>14</v>
      </c>
      <c r="B1090" s="3" t="s">
        <v>3141</v>
      </c>
      <c r="C1090" s="3" t="s">
        <v>3142</v>
      </c>
      <c r="D1090" s="3" t="s">
        <v>3143</v>
      </c>
      <c r="E1090" s="3" t="s">
        <v>3144</v>
      </c>
      <c r="F1090" s="3" t="s">
        <v>469</v>
      </c>
      <c r="G1090" s="3" t="s">
        <v>2693</v>
      </c>
      <c r="H1090" s="4">
        <v>1.0</v>
      </c>
      <c r="I1090" s="4">
        <v>1.0</v>
      </c>
      <c r="J1090" s="5"/>
      <c r="K1090" s="3" t="s">
        <v>3145</v>
      </c>
      <c r="L1090" s="3" t="s">
        <v>3146</v>
      </c>
      <c r="M1090" s="3" t="s">
        <v>22</v>
      </c>
      <c r="N1090" s="5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 t="s">
        <v>14</v>
      </c>
      <c r="B1091" s="3" t="s">
        <v>3141</v>
      </c>
      <c r="C1091" s="3" t="s">
        <v>3142</v>
      </c>
      <c r="D1091" s="3" t="s">
        <v>3143</v>
      </c>
      <c r="E1091" s="3" t="s">
        <v>3144</v>
      </c>
      <c r="F1091" s="3" t="s">
        <v>784</v>
      </c>
      <c r="G1091" s="3" t="s">
        <v>784</v>
      </c>
      <c r="H1091" s="4">
        <v>2.0</v>
      </c>
      <c r="I1091" s="4">
        <v>2.0</v>
      </c>
      <c r="J1091" s="5"/>
      <c r="K1091" s="3" t="s">
        <v>3145</v>
      </c>
      <c r="L1091" s="3" t="s">
        <v>3146</v>
      </c>
      <c r="M1091" s="3" t="s">
        <v>22</v>
      </c>
      <c r="N1091" s="5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 t="s">
        <v>14</v>
      </c>
      <c r="B1092" s="3" t="s">
        <v>3147</v>
      </c>
      <c r="C1092" s="3" t="s">
        <v>3148</v>
      </c>
      <c r="D1092" s="3" t="s">
        <v>3149</v>
      </c>
      <c r="E1092" s="3" t="s">
        <v>3150</v>
      </c>
      <c r="F1092" s="3" t="s">
        <v>848</v>
      </c>
      <c r="G1092" s="3" t="s">
        <v>301</v>
      </c>
      <c r="H1092" s="4">
        <v>1.0</v>
      </c>
      <c r="I1092" s="4">
        <v>1.0</v>
      </c>
      <c r="J1092" s="5"/>
      <c r="K1092" s="3" t="s">
        <v>3151</v>
      </c>
      <c r="L1092" s="3" t="s">
        <v>3152</v>
      </c>
      <c r="M1092" s="3" t="s">
        <v>22</v>
      </c>
      <c r="N1092" s="5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 t="s">
        <v>14</v>
      </c>
      <c r="B1093" s="3" t="s">
        <v>3147</v>
      </c>
      <c r="C1093" s="3" t="s">
        <v>3148</v>
      </c>
      <c r="D1093" s="3" t="s">
        <v>3149</v>
      </c>
      <c r="E1093" s="3" t="s">
        <v>3150</v>
      </c>
      <c r="F1093" s="3" t="s">
        <v>3153</v>
      </c>
      <c r="G1093" s="3" t="s">
        <v>3154</v>
      </c>
      <c r="H1093" s="4">
        <v>2.0</v>
      </c>
      <c r="I1093" s="4">
        <v>2.0</v>
      </c>
      <c r="J1093" s="5"/>
      <c r="K1093" s="3" t="s">
        <v>3151</v>
      </c>
      <c r="L1093" s="3" t="s">
        <v>3152</v>
      </c>
      <c r="M1093" s="3" t="s">
        <v>22</v>
      </c>
      <c r="N1093" s="5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 t="s">
        <v>14</v>
      </c>
      <c r="B1094" s="3" t="s">
        <v>3147</v>
      </c>
      <c r="C1094" s="3" t="s">
        <v>3148</v>
      </c>
      <c r="D1094" s="3" t="s">
        <v>3149</v>
      </c>
      <c r="E1094" s="3" t="s">
        <v>3150</v>
      </c>
      <c r="F1094" s="3" t="s">
        <v>112</v>
      </c>
      <c r="G1094" s="3" t="s">
        <v>387</v>
      </c>
      <c r="H1094" s="4">
        <v>3.0</v>
      </c>
      <c r="I1094" s="4">
        <v>3.0</v>
      </c>
      <c r="J1094" s="5"/>
      <c r="K1094" s="3" t="s">
        <v>3151</v>
      </c>
      <c r="L1094" s="3" t="s">
        <v>3152</v>
      </c>
      <c r="M1094" s="3" t="s">
        <v>22</v>
      </c>
      <c r="N1094" s="5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5" t="s">
        <v>14</v>
      </c>
      <c r="B1095" s="15" t="s">
        <v>3155</v>
      </c>
      <c r="C1095" s="15" t="s">
        <v>3156</v>
      </c>
      <c r="D1095" s="15" t="s">
        <v>3157</v>
      </c>
      <c r="E1095" s="15" t="s">
        <v>3158</v>
      </c>
      <c r="F1095" s="15" t="s">
        <v>1016</v>
      </c>
      <c r="G1095" s="15" t="s">
        <v>1017</v>
      </c>
      <c r="H1095" s="18">
        <v>1.0</v>
      </c>
      <c r="I1095" s="18">
        <v>1.0</v>
      </c>
      <c r="J1095" s="15" t="s">
        <v>80</v>
      </c>
      <c r="K1095" s="15" t="s">
        <v>3159</v>
      </c>
      <c r="L1095" s="15" t="s">
        <v>3160</v>
      </c>
      <c r="M1095" s="15" t="s">
        <v>22</v>
      </c>
      <c r="N1095" s="20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>
      <c r="A1096" s="15" t="s">
        <v>14</v>
      </c>
      <c r="B1096" s="15" t="s">
        <v>3155</v>
      </c>
      <c r="C1096" s="15" t="s">
        <v>3156</v>
      </c>
      <c r="D1096" s="15" t="s">
        <v>3157</v>
      </c>
      <c r="E1096" s="15" t="s">
        <v>3158</v>
      </c>
      <c r="F1096" s="15" t="s">
        <v>409</v>
      </c>
      <c r="G1096" s="15" t="s">
        <v>3161</v>
      </c>
      <c r="H1096" s="18">
        <v>2.0</v>
      </c>
      <c r="I1096" s="18">
        <v>2.0</v>
      </c>
      <c r="J1096" s="15"/>
      <c r="K1096" s="15" t="s">
        <v>3159</v>
      </c>
      <c r="L1096" s="15" t="s">
        <v>3160</v>
      </c>
      <c r="M1096" s="15" t="s">
        <v>22</v>
      </c>
      <c r="N1096" s="20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>
      <c r="A1097" s="15" t="s">
        <v>14</v>
      </c>
      <c r="B1097" s="15" t="s">
        <v>3155</v>
      </c>
      <c r="C1097" s="15" t="s">
        <v>3156</v>
      </c>
      <c r="D1097" s="15" t="s">
        <v>3157</v>
      </c>
      <c r="E1097" s="15" t="s">
        <v>3158</v>
      </c>
      <c r="F1097" s="15" t="s">
        <v>36</v>
      </c>
      <c r="G1097" s="15" t="s">
        <v>103</v>
      </c>
      <c r="H1097" s="18" t="s">
        <v>36</v>
      </c>
      <c r="I1097" s="18">
        <v>3.0</v>
      </c>
      <c r="J1097" s="20"/>
      <c r="K1097" s="15" t="s">
        <v>3159</v>
      </c>
      <c r="L1097" s="15" t="s">
        <v>3160</v>
      </c>
      <c r="M1097" s="15" t="s">
        <v>22</v>
      </c>
      <c r="N1097" s="20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>
      <c r="A1098" s="3" t="s">
        <v>14</v>
      </c>
      <c r="B1098" s="3" t="s">
        <v>3162</v>
      </c>
      <c r="C1098" s="3" t="s">
        <v>3163</v>
      </c>
      <c r="D1098" s="3" t="s">
        <v>3164</v>
      </c>
      <c r="E1098" s="3" t="s">
        <v>3165</v>
      </c>
      <c r="F1098" s="3" t="s">
        <v>128</v>
      </c>
      <c r="G1098" s="3" t="s">
        <v>70</v>
      </c>
      <c r="H1098" s="4">
        <v>1.0</v>
      </c>
      <c r="I1098" s="4">
        <v>1.0</v>
      </c>
      <c r="J1098" s="5"/>
      <c r="K1098" s="3" t="s">
        <v>3166</v>
      </c>
      <c r="L1098" s="3" t="s">
        <v>3167</v>
      </c>
      <c r="M1098" s="3" t="s">
        <v>22</v>
      </c>
      <c r="N1098" s="5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 t="s">
        <v>14</v>
      </c>
      <c r="B1099" s="3" t="s">
        <v>3162</v>
      </c>
      <c r="C1099" s="3" t="s">
        <v>3163</v>
      </c>
      <c r="D1099" s="3" t="s">
        <v>3164</v>
      </c>
      <c r="E1099" s="3" t="s">
        <v>3165</v>
      </c>
      <c r="F1099" s="3" t="s">
        <v>70</v>
      </c>
      <c r="G1099" s="3" t="s">
        <v>36</v>
      </c>
      <c r="H1099" s="4">
        <v>2.0</v>
      </c>
      <c r="I1099" s="4" t="s">
        <v>36</v>
      </c>
      <c r="J1099" s="5"/>
      <c r="K1099" s="3" t="s">
        <v>3166</v>
      </c>
      <c r="L1099" s="3" t="s">
        <v>3167</v>
      </c>
      <c r="M1099" s="3" t="s">
        <v>22</v>
      </c>
      <c r="N1099" s="5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 t="s">
        <v>14</v>
      </c>
      <c r="B1100" s="3" t="s">
        <v>3162</v>
      </c>
      <c r="C1100" s="3" t="s">
        <v>3163</v>
      </c>
      <c r="D1100" s="3" t="s">
        <v>3164</v>
      </c>
      <c r="E1100" s="3" t="s">
        <v>3165</v>
      </c>
      <c r="F1100" s="3" t="s">
        <v>425</v>
      </c>
      <c r="G1100" s="3" t="s">
        <v>425</v>
      </c>
      <c r="H1100" s="4">
        <v>3.0</v>
      </c>
      <c r="I1100" s="4">
        <v>2.0</v>
      </c>
      <c r="J1100" s="5"/>
      <c r="K1100" s="3" t="s">
        <v>3166</v>
      </c>
      <c r="L1100" s="3" t="s">
        <v>3167</v>
      </c>
      <c r="M1100" s="3" t="s">
        <v>22</v>
      </c>
      <c r="N1100" s="5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 t="s">
        <v>14</v>
      </c>
      <c r="B1101" s="3" t="s">
        <v>3168</v>
      </c>
      <c r="C1101" s="3" t="s">
        <v>3168</v>
      </c>
      <c r="D1101" s="3" t="s">
        <v>3169</v>
      </c>
      <c r="E1101" s="3" t="s">
        <v>3169</v>
      </c>
      <c r="F1101" s="3" t="s">
        <v>1248</v>
      </c>
      <c r="G1101" s="3" t="s">
        <v>1248</v>
      </c>
      <c r="H1101" s="4">
        <v>1.0</v>
      </c>
      <c r="I1101" s="4">
        <v>1.0</v>
      </c>
      <c r="J1101" s="5"/>
      <c r="K1101" s="3" t="s">
        <v>3170</v>
      </c>
      <c r="L1101" s="3" t="s">
        <v>3171</v>
      </c>
      <c r="M1101" s="3" t="s">
        <v>22</v>
      </c>
      <c r="N1101" s="5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 t="s">
        <v>14</v>
      </c>
      <c r="B1102" s="3" t="s">
        <v>3168</v>
      </c>
      <c r="C1102" s="3" t="s">
        <v>3168</v>
      </c>
      <c r="D1102" s="3" t="s">
        <v>3169</v>
      </c>
      <c r="E1102" s="3" t="s">
        <v>3169</v>
      </c>
      <c r="F1102" s="3" t="s">
        <v>668</v>
      </c>
      <c r="G1102" s="3" t="s">
        <v>668</v>
      </c>
      <c r="H1102" s="4">
        <v>2.0</v>
      </c>
      <c r="I1102" s="4">
        <v>2.0</v>
      </c>
      <c r="J1102" s="5"/>
      <c r="K1102" s="3" t="s">
        <v>3170</v>
      </c>
      <c r="L1102" s="3" t="s">
        <v>3171</v>
      </c>
      <c r="M1102" s="3" t="s">
        <v>22</v>
      </c>
      <c r="N1102" s="5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5" t="s">
        <v>14</v>
      </c>
      <c r="B1103" s="15" t="s">
        <v>3172</v>
      </c>
      <c r="C1103" s="15" t="s">
        <v>3173</v>
      </c>
      <c r="D1103" s="15" t="s">
        <v>3174</v>
      </c>
      <c r="E1103" s="15" t="s">
        <v>3175</v>
      </c>
      <c r="F1103" s="15" t="s">
        <v>599</v>
      </c>
      <c r="G1103" s="15" t="s">
        <v>724</v>
      </c>
      <c r="H1103" s="18">
        <v>1.0</v>
      </c>
      <c r="I1103" s="18">
        <v>1.0</v>
      </c>
      <c r="J1103" s="15" t="s">
        <v>80</v>
      </c>
      <c r="K1103" s="15" t="s">
        <v>3176</v>
      </c>
      <c r="L1103" s="15" t="s">
        <v>3177</v>
      </c>
      <c r="M1103" s="15" t="s">
        <v>22</v>
      </c>
      <c r="N1103" s="20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>
      <c r="A1104" s="15" t="s">
        <v>14</v>
      </c>
      <c r="B1104" s="15" t="s">
        <v>3172</v>
      </c>
      <c r="C1104" s="15" t="s">
        <v>3173</v>
      </c>
      <c r="D1104" s="15" t="s">
        <v>3174</v>
      </c>
      <c r="E1104" s="15" t="s">
        <v>3175</v>
      </c>
      <c r="F1104" s="15" t="s">
        <v>1777</v>
      </c>
      <c r="G1104" s="15" t="s">
        <v>251</v>
      </c>
      <c r="H1104" s="18">
        <v>2.0</v>
      </c>
      <c r="I1104" s="18">
        <v>2.0</v>
      </c>
      <c r="J1104" s="15"/>
      <c r="K1104" s="15" t="s">
        <v>3176</v>
      </c>
      <c r="L1104" s="15" t="s">
        <v>3177</v>
      </c>
      <c r="M1104" s="15" t="s">
        <v>22</v>
      </c>
      <c r="N1104" s="20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>
      <c r="A1105" s="15" t="s">
        <v>14</v>
      </c>
      <c r="B1105" s="15" t="s">
        <v>3172</v>
      </c>
      <c r="C1105" s="15" t="s">
        <v>3173</v>
      </c>
      <c r="D1105" s="15" t="s">
        <v>3174</v>
      </c>
      <c r="E1105" s="15" t="s">
        <v>3175</v>
      </c>
      <c r="F1105" s="15" t="s">
        <v>36</v>
      </c>
      <c r="G1105" s="15" t="s">
        <v>103</v>
      </c>
      <c r="H1105" s="18" t="s">
        <v>36</v>
      </c>
      <c r="I1105" s="18">
        <v>3.0</v>
      </c>
      <c r="J1105" s="20"/>
      <c r="K1105" s="15" t="s">
        <v>3176</v>
      </c>
      <c r="L1105" s="15" t="s">
        <v>3177</v>
      </c>
      <c r="M1105" s="15" t="s">
        <v>22</v>
      </c>
      <c r="N1105" s="20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>
      <c r="A1106" s="3" t="s">
        <v>14</v>
      </c>
      <c r="B1106" s="3" t="s">
        <v>3178</v>
      </c>
      <c r="C1106" s="3" t="s">
        <v>3179</v>
      </c>
      <c r="D1106" s="3" t="s">
        <v>3180</v>
      </c>
      <c r="E1106" s="3" t="s">
        <v>3181</v>
      </c>
      <c r="F1106" s="3" t="s">
        <v>143</v>
      </c>
      <c r="G1106" s="3" t="s">
        <v>143</v>
      </c>
      <c r="H1106" s="4">
        <v>1.0</v>
      </c>
      <c r="I1106" s="4">
        <v>1.0</v>
      </c>
      <c r="J1106" s="3" t="s">
        <v>72</v>
      </c>
      <c r="K1106" s="3" t="s">
        <v>3182</v>
      </c>
      <c r="L1106" s="3" t="s">
        <v>3183</v>
      </c>
      <c r="M1106" s="3" t="s">
        <v>22</v>
      </c>
      <c r="N1106" s="5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 t="s">
        <v>14</v>
      </c>
      <c r="B1107" s="3" t="s">
        <v>3178</v>
      </c>
      <c r="C1107" s="3" t="s">
        <v>3179</v>
      </c>
      <c r="D1107" s="3" t="s">
        <v>3180</v>
      </c>
      <c r="E1107" s="3" t="s">
        <v>3181</v>
      </c>
      <c r="F1107" s="3" t="s">
        <v>2003</v>
      </c>
      <c r="G1107" s="3" t="s">
        <v>2004</v>
      </c>
      <c r="H1107" s="4">
        <v>2.0</v>
      </c>
      <c r="I1107" s="4">
        <v>2.0</v>
      </c>
      <c r="J1107" s="3"/>
      <c r="K1107" s="3" t="s">
        <v>3182</v>
      </c>
      <c r="L1107" s="3" t="s">
        <v>3183</v>
      </c>
      <c r="M1107" s="3" t="s">
        <v>22</v>
      </c>
      <c r="N1107" s="5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5" t="s">
        <v>14</v>
      </c>
      <c r="B1108" s="15" t="s">
        <v>3184</v>
      </c>
      <c r="C1108" s="15" t="s">
        <v>3185</v>
      </c>
      <c r="D1108" s="15" t="s">
        <v>3186</v>
      </c>
      <c r="E1108" s="15" t="s">
        <v>3187</v>
      </c>
      <c r="F1108" s="15" t="s">
        <v>128</v>
      </c>
      <c r="G1108" s="15" t="s">
        <v>36</v>
      </c>
      <c r="H1108" s="18">
        <v>1.0</v>
      </c>
      <c r="I1108" s="18" t="s">
        <v>36</v>
      </c>
      <c r="J1108" s="20"/>
      <c r="K1108" s="15" t="s">
        <v>3188</v>
      </c>
      <c r="L1108" s="15" t="s">
        <v>3189</v>
      </c>
      <c r="M1108" s="15" t="s">
        <v>22</v>
      </c>
      <c r="N1108" s="20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>
      <c r="A1109" s="15" t="s">
        <v>14</v>
      </c>
      <c r="B1109" s="15" t="s">
        <v>3184</v>
      </c>
      <c r="C1109" s="15" t="s">
        <v>3185</v>
      </c>
      <c r="D1109" s="15" t="s">
        <v>3186</v>
      </c>
      <c r="E1109" s="15" t="s">
        <v>3187</v>
      </c>
      <c r="F1109" s="15" t="s">
        <v>3190</v>
      </c>
      <c r="G1109" s="15" t="s">
        <v>3190</v>
      </c>
      <c r="H1109" s="18">
        <v>2.0</v>
      </c>
      <c r="I1109" s="18">
        <v>1.0</v>
      </c>
      <c r="J1109" s="20"/>
      <c r="K1109" s="15" t="s">
        <v>3188</v>
      </c>
      <c r="L1109" s="15" t="s">
        <v>3189</v>
      </c>
      <c r="M1109" s="15" t="s">
        <v>22</v>
      </c>
      <c r="N1109" s="20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>
      <c r="A1110" s="15" t="s">
        <v>14</v>
      </c>
      <c r="B1110" s="15" t="s">
        <v>3184</v>
      </c>
      <c r="C1110" s="15" t="s">
        <v>3185</v>
      </c>
      <c r="D1110" s="15" t="s">
        <v>3186</v>
      </c>
      <c r="E1110" s="15" t="s">
        <v>3187</v>
      </c>
      <c r="F1110" s="15" t="s">
        <v>175</v>
      </c>
      <c r="G1110" s="15" t="s">
        <v>175</v>
      </c>
      <c r="H1110" s="18">
        <v>3.0</v>
      </c>
      <c r="I1110" s="18">
        <v>2.0</v>
      </c>
      <c r="J1110" s="20"/>
      <c r="K1110" s="15" t="s">
        <v>3188</v>
      </c>
      <c r="L1110" s="15" t="s">
        <v>3189</v>
      </c>
      <c r="M1110" s="15" t="s">
        <v>22</v>
      </c>
      <c r="N1110" s="20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>
      <c r="A1111" s="26" t="s">
        <v>14</v>
      </c>
      <c r="B1111" s="26" t="s">
        <v>3191</v>
      </c>
      <c r="C1111" s="26" t="s">
        <v>3192</v>
      </c>
      <c r="D1111" s="26" t="s">
        <v>3193</v>
      </c>
      <c r="E1111" s="26" t="s">
        <v>3194</v>
      </c>
      <c r="F1111" s="26" t="s">
        <v>36</v>
      </c>
      <c r="G1111" s="26" t="s">
        <v>3059</v>
      </c>
      <c r="H1111" s="27" t="s">
        <v>36</v>
      </c>
      <c r="I1111" s="27">
        <v>1.0</v>
      </c>
      <c r="J1111" s="26" t="s">
        <v>80</v>
      </c>
      <c r="K1111" s="26" t="s">
        <v>3195</v>
      </c>
      <c r="L1111" s="26" t="s">
        <v>1579</v>
      </c>
      <c r="M1111" s="26" t="s">
        <v>22</v>
      </c>
      <c r="N1111" s="28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</row>
    <row r="1112">
      <c r="A1112" s="26" t="s">
        <v>14</v>
      </c>
      <c r="B1112" s="26" t="s">
        <v>3191</v>
      </c>
      <c r="C1112" s="26" t="s">
        <v>3192</v>
      </c>
      <c r="D1112" s="26" t="s">
        <v>3193</v>
      </c>
      <c r="E1112" s="26" t="s">
        <v>3194</v>
      </c>
      <c r="F1112" s="26" t="s">
        <v>1186</v>
      </c>
      <c r="G1112" s="26" t="s">
        <v>1186</v>
      </c>
      <c r="H1112" s="27">
        <v>1.0</v>
      </c>
      <c r="I1112" s="27">
        <v>2.0</v>
      </c>
      <c r="J1112" s="28"/>
      <c r="K1112" s="26" t="s">
        <v>3195</v>
      </c>
      <c r="L1112" s="26" t="s">
        <v>1579</v>
      </c>
      <c r="M1112" s="26" t="s">
        <v>22</v>
      </c>
      <c r="N1112" s="28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</row>
    <row r="1113">
      <c r="A1113" s="26" t="s">
        <v>14</v>
      </c>
      <c r="B1113" s="26" t="s">
        <v>3191</v>
      </c>
      <c r="C1113" s="26" t="s">
        <v>3192</v>
      </c>
      <c r="D1113" s="26" t="s">
        <v>3193</v>
      </c>
      <c r="E1113" s="26" t="s">
        <v>3194</v>
      </c>
      <c r="F1113" s="26" t="s">
        <v>3196</v>
      </c>
      <c r="G1113" s="26" t="s">
        <v>3196</v>
      </c>
      <c r="H1113" s="27">
        <v>2.0</v>
      </c>
      <c r="I1113" s="27">
        <v>3.0</v>
      </c>
      <c r="J1113" s="26"/>
      <c r="K1113" s="26" t="s">
        <v>3195</v>
      </c>
      <c r="L1113" s="26" t="s">
        <v>1579</v>
      </c>
      <c r="M1113" s="26" t="s">
        <v>22</v>
      </c>
      <c r="N1113" s="28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</row>
    <row r="1114">
      <c r="A1114" s="26" t="s">
        <v>14</v>
      </c>
      <c r="B1114" s="26" t="s">
        <v>3191</v>
      </c>
      <c r="C1114" s="26" t="s">
        <v>3192</v>
      </c>
      <c r="D1114" s="26" t="s">
        <v>3193</v>
      </c>
      <c r="E1114" s="26" t="s">
        <v>3194</v>
      </c>
      <c r="F1114" s="26" t="s">
        <v>152</v>
      </c>
      <c r="G1114" s="26" t="s">
        <v>56</v>
      </c>
      <c r="H1114" s="27">
        <v>3.0</v>
      </c>
      <c r="I1114" s="27">
        <v>4.0</v>
      </c>
      <c r="J1114" s="28"/>
      <c r="K1114" s="26" t="s">
        <v>3195</v>
      </c>
      <c r="L1114" s="26" t="s">
        <v>1579</v>
      </c>
      <c r="M1114" s="26" t="s">
        <v>22</v>
      </c>
      <c r="N1114" s="28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</row>
    <row r="1115">
      <c r="A1115" s="3" t="s">
        <v>14</v>
      </c>
      <c r="B1115" s="3" t="s">
        <v>3197</v>
      </c>
      <c r="C1115" s="3" t="s">
        <v>3198</v>
      </c>
      <c r="D1115" s="3" t="s">
        <v>3199</v>
      </c>
      <c r="E1115" s="3" t="s">
        <v>3200</v>
      </c>
      <c r="F1115" s="3" t="s">
        <v>386</v>
      </c>
      <c r="G1115" s="3" t="s">
        <v>190</v>
      </c>
      <c r="H1115" s="4">
        <v>1.0</v>
      </c>
      <c r="I1115" s="4">
        <v>1.0</v>
      </c>
      <c r="J1115" s="5"/>
      <c r="K1115" s="3" t="s">
        <v>3201</v>
      </c>
      <c r="L1115" s="3" t="s">
        <v>3202</v>
      </c>
      <c r="M1115" s="3" t="s">
        <v>22</v>
      </c>
      <c r="N1115" s="5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 t="s">
        <v>14</v>
      </c>
      <c r="B1116" s="3" t="s">
        <v>3197</v>
      </c>
      <c r="C1116" s="3" t="s">
        <v>3198</v>
      </c>
      <c r="D1116" s="3" t="s">
        <v>3199</v>
      </c>
      <c r="E1116" s="3" t="s">
        <v>3200</v>
      </c>
      <c r="F1116" s="3" t="s">
        <v>326</v>
      </c>
      <c r="G1116" s="3" t="s">
        <v>327</v>
      </c>
      <c r="H1116" s="4">
        <v>2.0</v>
      </c>
      <c r="I1116" s="4">
        <v>2.0</v>
      </c>
      <c r="J1116" s="5"/>
      <c r="K1116" s="3" t="s">
        <v>3201</v>
      </c>
      <c r="L1116" s="3" t="s">
        <v>3202</v>
      </c>
      <c r="M1116" s="3" t="s">
        <v>22</v>
      </c>
      <c r="N1116" s="5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 t="s">
        <v>14</v>
      </c>
      <c r="B1117" s="3" t="s">
        <v>3197</v>
      </c>
      <c r="C1117" s="3" t="s">
        <v>3198</v>
      </c>
      <c r="D1117" s="3" t="s">
        <v>3199</v>
      </c>
      <c r="E1117" s="3" t="s">
        <v>3200</v>
      </c>
      <c r="F1117" s="3" t="s">
        <v>79</v>
      </c>
      <c r="G1117" s="3" t="s">
        <v>79</v>
      </c>
      <c r="H1117" s="4">
        <v>3.0</v>
      </c>
      <c r="I1117" s="4">
        <v>3.0</v>
      </c>
      <c r="J1117" s="5"/>
      <c r="K1117" s="3" t="s">
        <v>3201</v>
      </c>
      <c r="L1117" s="3" t="s">
        <v>3202</v>
      </c>
      <c r="M1117" s="3" t="s">
        <v>22</v>
      </c>
      <c r="N1117" s="5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5" t="s">
        <v>14</v>
      </c>
      <c r="B1118" s="15" t="s">
        <v>3203</v>
      </c>
      <c r="C1118" s="15" t="s">
        <v>3204</v>
      </c>
      <c r="D1118" s="15" t="s">
        <v>3205</v>
      </c>
      <c r="E1118" s="15" t="s">
        <v>3206</v>
      </c>
      <c r="F1118" s="15" t="s">
        <v>128</v>
      </c>
      <c r="G1118" s="15" t="s">
        <v>36</v>
      </c>
      <c r="H1118" s="18">
        <v>1.0</v>
      </c>
      <c r="I1118" s="18" t="s">
        <v>36</v>
      </c>
      <c r="J1118" s="20"/>
      <c r="K1118" s="15" t="s">
        <v>3207</v>
      </c>
      <c r="L1118" s="15" t="s">
        <v>3208</v>
      </c>
      <c r="M1118" s="15" t="s">
        <v>22</v>
      </c>
      <c r="N1118" s="20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>
      <c r="A1119" s="15" t="s">
        <v>14</v>
      </c>
      <c r="B1119" s="15" t="s">
        <v>3203</v>
      </c>
      <c r="C1119" s="15" t="s">
        <v>3204</v>
      </c>
      <c r="D1119" s="15" t="s">
        <v>3205</v>
      </c>
      <c r="E1119" s="15" t="s">
        <v>3206</v>
      </c>
      <c r="F1119" s="15" t="s">
        <v>629</v>
      </c>
      <c r="G1119" s="15" t="s">
        <v>630</v>
      </c>
      <c r="H1119" s="18">
        <v>2.0</v>
      </c>
      <c r="I1119" s="18">
        <v>1.0</v>
      </c>
      <c r="J1119" s="20"/>
      <c r="K1119" s="15" t="s">
        <v>3207</v>
      </c>
      <c r="L1119" s="15" t="s">
        <v>3208</v>
      </c>
      <c r="M1119" s="15" t="s">
        <v>22</v>
      </c>
      <c r="N1119" s="20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>
      <c r="A1120" s="15" t="s">
        <v>14</v>
      </c>
      <c r="B1120" s="15" t="s">
        <v>3203</v>
      </c>
      <c r="C1120" s="15" t="s">
        <v>3204</v>
      </c>
      <c r="D1120" s="15" t="s">
        <v>3205</v>
      </c>
      <c r="E1120" s="15" t="s">
        <v>3206</v>
      </c>
      <c r="F1120" s="15" t="s">
        <v>1210</v>
      </c>
      <c r="G1120" s="15" t="s">
        <v>1210</v>
      </c>
      <c r="H1120" s="18">
        <v>3.0</v>
      </c>
      <c r="I1120" s="18">
        <v>2.0</v>
      </c>
      <c r="J1120" s="20"/>
      <c r="K1120" s="15" t="s">
        <v>3207</v>
      </c>
      <c r="L1120" s="15" t="s">
        <v>3208</v>
      </c>
      <c r="M1120" s="15" t="s">
        <v>22</v>
      </c>
      <c r="N1120" s="20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>
      <c r="A1121" s="3" t="s">
        <v>14</v>
      </c>
      <c r="B1121" s="3" t="s">
        <v>3209</v>
      </c>
      <c r="C1121" s="3" t="s">
        <v>3210</v>
      </c>
      <c r="D1121" s="6" t="s">
        <v>3211</v>
      </c>
      <c r="E1121" s="3" t="s">
        <v>3212</v>
      </c>
      <c r="F1121" s="6" t="s">
        <v>3213</v>
      </c>
      <c r="G1121" s="3" t="s">
        <v>301</v>
      </c>
      <c r="H1121" s="4">
        <v>1.0</v>
      </c>
      <c r="I1121" s="4">
        <v>1.0</v>
      </c>
      <c r="J1121" s="3" t="s">
        <v>80</v>
      </c>
      <c r="K1121" s="3" t="s">
        <v>3214</v>
      </c>
      <c r="L1121" s="3" t="s">
        <v>3215</v>
      </c>
      <c r="M1121" s="3" t="s">
        <v>22</v>
      </c>
      <c r="N1121" s="5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 t="s">
        <v>14</v>
      </c>
      <c r="B1122" s="3" t="s">
        <v>3209</v>
      </c>
      <c r="C1122" s="3" t="s">
        <v>3210</v>
      </c>
      <c r="D1122" s="6" t="s">
        <v>3211</v>
      </c>
      <c r="E1122" s="3" t="s">
        <v>3212</v>
      </c>
      <c r="F1122" s="6" t="s">
        <v>36</v>
      </c>
      <c r="G1122" s="3" t="s">
        <v>1075</v>
      </c>
      <c r="H1122" s="4" t="s">
        <v>36</v>
      </c>
      <c r="I1122" s="4">
        <v>2.0</v>
      </c>
      <c r="J1122" s="3"/>
      <c r="K1122" s="3" t="s">
        <v>3214</v>
      </c>
      <c r="L1122" s="3" t="s">
        <v>3215</v>
      </c>
      <c r="M1122" s="3" t="s">
        <v>22</v>
      </c>
      <c r="N1122" s="5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 t="s">
        <v>14</v>
      </c>
      <c r="B1123" s="3" t="s">
        <v>3209</v>
      </c>
      <c r="C1123" s="3" t="s">
        <v>3210</v>
      </c>
      <c r="D1123" s="6" t="s">
        <v>3211</v>
      </c>
      <c r="E1123" s="3" t="s">
        <v>3212</v>
      </c>
      <c r="F1123" s="6" t="s">
        <v>175</v>
      </c>
      <c r="G1123" s="3" t="s">
        <v>175</v>
      </c>
      <c r="H1123" s="4">
        <v>2.0</v>
      </c>
      <c r="I1123" s="4">
        <v>3.0</v>
      </c>
      <c r="J1123" s="5"/>
      <c r="K1123" s="3" t="s">
        <v>3214</v>
      </c>
      <c r="L1123" s="3" t="s">
        <v>3215</v>
      </c>
      <c r="M1123" s="3" t="s">
        <v>22</v>
      </c>
      <c r="N1123" s="5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 t="s">
        <v>14</v>
      </c>
      <c r="B1124" s="3" t="s">
        <v>3216</v>
      </c>
      <c r="C1124" s="3" t="s">
        <v>3216</v>
      </c>
      <c r="D1124" s="3" t="s">
        <v>3217</v>
      </c>
      <c r="E1124" s="3" t="s">
        <v>3217</v>
      </c>
      <c r="F1124" s="3" t="s">
        <v>596</v>
      </c>
      <c r="G1124" s="3" t="s">
        <v>596</v>
      </c>
      <c r="H1124" s="4">
        <v>1.0</v>
      </c>
      <c r="I1124" s="4">
        <v>1.0</v>
      </c>
      <c r="J1124" s="5"/>
      <c r="K1124" s="3" t="s">
        <v>3218</v>
      </c>
      <c r="L1124" s="3" t="s">
        <v>3219</v>
      </c>
      <c r="M1124" s="3" t="s">
        <v>22</v>
      </c>
      <c r="N1124" s="5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 t="s">
        <v>14</v>
      </c>
      <c r="B1125" s="3" t="s">
        <v>3216</v>
      </c>
      <c r="C1125" s="3" t="s">
        <v>3216</v>
      </c>
      <c r="D1125" s="3" t="s">
        <v>3217</v>
      </c>
      <c r="E1125" s="3" t="s">
        <v>3217</v>
      </c>
      <c r="F1125" s="3" t="s">
        <v>437</v>
      </c>
      <c r="G1125" s="3" t="s">
        <v>437</v>
      </c>
      <c r="H1125" s="4">
        <v>2.0</v>
      </c>
      <c r="I1125" s="4">
        <v>2.0</v>
      </c>
      <c r="J1125" s="5"/>
      <c r="K1125" s="3" t="s">
        <v>3218</v>
      </c>
      <c r="L1125" s="3" t="s">
        <v>3219</v>
      </c>
      <c r="M1125" s="3" t="s">
        <v>22</v>
      </c>
      <c r="N1125" s="5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 t="s">
        <v>14</v>
      </c>
      <c r="B1126" s="3" t="s">
        <v>3220</v>
      </c>
      <c r="C1126" s="3" t="s">
        <v>3221</v>
      </c>
      <c r="D1126" s="3" t="s">
        <v>3220</v>
      </c>
      <c r="E1126" s="3" t="s">
        <v>3222</v>
      </c>
      <c r="F1126" s="3" t="s">
        <v>3220</v>
      </c>
      <c r="G1126" s="3" t="s">
        <v>3223</v>
      </c>
      <c r="H1126" s="4">
        <v>1.0</v>
      </c>
      <c r="I1126" s="4">
        <v>1.0</v>
      </c>
      <c r="J1126" s="3" t="s">
        <v>80</v>
      </c>
      <c r="K1126" s="3" t="s">
        <v>3224</v>
      </c>
      <c r="L1126" s="3" t="s">
        <v>3225</v>
      </c>
      <c r="M1126" s="3" t="s">
        <v>22</v>
      </c>
      <c r="N1126" s="5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 t="s">
        <v>14</v>
      </c>
      <c r="B1127" s="3" t="s">
        <v>3220</v>
      </c>
      <c r="C1127" s="3" t="s">
        <v>3221</v>
      </c>
      <c r="D1127" s="3" t="s">
        <v>3220</v>
      </c>
      <c r="E1127" s="3" t="s">
        <v>3222</v>
      </c>
      <c r="F1127" s="3" t="s">
        <v>36</v>
      </c>
      <c r="G1127" s="3" t="s">
        <v>116</v>
      </c>
      <c r="H1127" s="4" t="s">
        <v>36</v>
      </c>
      <c r="I1127" s="4">
        <v>2.0</v>
      </c>
      <c r="J1127" s="3"/>
      <c r="K1127" s="3" t="s">
        <v>3224</v>
      </c>
      <c r="L1127" s="3" t="s">
        <v>3225</v>
      </c>
      <c r="M1127" s="3" t="s">
        <v>22</v>
      </c>
      <c r="N1127" s="5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 t="s">
        <v>14</v>
      </c>
      <c r="B1128" s="3" t="s">
        <v>3226</v>
      </c>
      <c r="C1128" s="3" t="s">
        <v>3227</v>
      </c>
      <c r="D1128" s="3" t="s">
        <v>3228</v>
      </c>
      <c r="E1128" s="3" t="s">
        <v>3229</v>
      </c>
      <c r="F1128" s="3" t="s">
        <v>3230</v>
      </c>
      <c r="G1128" s="3" t="s">
        <v>425</v>
      </c>
      <c r="H1128" s="4">
        <v>1.0</v>
      </c>
      <c r="I1128" s="4">
        <v>1.0</v>
      </c>
      <c r="J1128" s="3" t="s">
        <v>80</v>
      </c>
      <c r="K1128" s="3" t="s">
        <v>3231</v>
      </c>
      <c r="L1128" s="3" t="s">
        <v>3232</v>
      </c>
      <c r="M1128" s="3" t="s">
        <v>22</v>
      </c>
      <c r="N1128" s="5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 t="s">
        <v>14</v>
      </c>
      <c r="B1129" s="3" t="s">
        <v>3226</v>
      </c>
      <c r="C1129" s="3" t="s">
        <v>3227</v>
      </c>
      <c r="D1129" s="3" t="s">
        <v>3228</v>
      </c>
      <c r="E1129" s="3" t="s">
        <v>3229</v>
      </c>
      <c r="F1129" s="3" t="s">
        <v>36</v>
      </c>
      <c r="G1129" s="3" t="s">
        <v>49</v>
      </c>
      <c r="H1129" s="4" t="s">
        <v>36</v>
      </c>
      <c r="I1129" s="4">
        <v>2.0</v>
      </c>
      <c r="J1129" s="3"/>
      <c r="K1129" s="3" t="s">
        <v>3231</v>
      </c>
      <c r="L1129" s="3" t="s">
        <v>3232</v>
      </c>
      <c r="M1129" s="3" t="s">
        <v>22</v>
      </c>
      <c r="N1129" s="5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 t="s">
        <v>14</v>
      </c>
      <c r="B1130" s="3" t="s">
        <v>3226</v>
      </c>
      <c r="C1130" s="3" t="s">
        <v>3227</v>
      </c>
      <c r="D1130" s="3" t="s">
        <v>3228</v>
      </c>
      <c r="E1130" s="3" t="s">
        <v>3229</v>
      </c>
      <c r="F1130" s="3" t="s">
        <v>878</v>
      </c>
      <c r="G1130" s="3" t="s">
        <v>879</v>
      </c>
      <c r="H1130" s="4">
        <v>2.0</v>
      </c>
      <c r="I1130" s="4">
        <v>3.0</v>
      </c>
      <c r="J1130" s="5"/>
      <c r="K1130" s="3" t="s">
        <v>3231</v>
      </c>
      <c r="L1130" s="3" t="s">
        <v>3232</v>
      </c>
      <c r="M1130" s="3" t="s">
        <v>22</v>
      </c>
      <c r="N1130" s="5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 t="s">
        <v>14</v>
      </c>
      <c r="B1131" s="3" t="s">
        <v>3233</v>
      </c>
      <c r="C1131" s="3" t="s">
        <v>3234</v>
      </c>
      <c r="D1131" s="3" t="s">
        <v>3235</v>
      </c>
      <c r="E1131" s="3" t="s">
        <v>3236</v>
      </c>
      <c r="F1131" s="3" t="s">
        <v>1435</v>
      </c>
      <c r="G1131" s="3" t="s">
        <v>1435</v>
      </c>
      <c r="H1131" s="4">
        <v>1.0</v>
      </c>
      <c r="I1131" s="4">
        <v>1.0</v>
      </c>
      <c r="J1131" s="3" t="s">
        <v>72</v>
      </c>
      <c r="K1131" s="3" t="s">
        <v>3237</v>
      </c>
      <c r="L1131" s="3" t="s">
        <v>3238</v>
      </c>
      <c r="M1131" s="3" t="s">
        <v>22</v>
      </c>
      <c r="N1131" s="5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 t="s">
        <v>14</v>
      </c>
      <c r="B1132" s="3" t="s">
        <v>3233</v>
      </c>
      <c r="C1132" s="3" t="s">
        <v>3234</v>
      </c>
      <c r="D1132" s="3" t="s">
        <v>3235</v>
      </c>
      <c r="E1132" s="3" t="s">
        <v>3236</v>
      </c>
      <c r="F1132" s="3" t="s">
        <v>36</v>
      </c>
      <c r="G1132" s="3" t="s">
        <v>233</v>
      </c>
      <c r="H1132" s="4" t="s">
        <v>36</v>
      </c>
      <c r="I1132" s="4">
        <v>2.0</v>
      </c>
      <c r="J1132" s="3"/>
      <c r="K1132" s="3" t="s">
        <v>3237</v>
      </c>
      <c r="L1132" s="3" t="s">
        <v>3238</v>
      </c>
      <c r="M1132" s="3" t="s">
        <v>22</v>
      </c>
      <c r="N1132" s="5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 t="s">
        <v>14</v>
      </c>
      <c r="B1133" s="3" t="s">
        <v>3233</v>
      </c>
      <c r="C1133" s="3" t="s">
        <v>3234</v>
      </c>
      <c r="D1133" s="3" t="s">
        <v>3235</v>
      </c>
      <c r="E1133" s="3" t="s">
        <v>3236</v>
      </c>
      <c r="F1133" s="3" t="s">
        <v>3239</v>
      </c>
      <c r="G1133" s="3" t="s">
        <v>3240</v>
      </c>
      <c r="H1133" s="4">
        <v>2.0</v>
      </c>
      <c r="I1133" s="4">
        <v>3.0</v>
      </c>
      <c r="J1133" s="3"/>
      <c r="K1133" s="3" t="s">
        <v>3237</v>
      </c>
      <c r="L1133" s="3" t="s">
        <v>3238</v>
      </c>
      <c r="M1133" s="3" t="s">
        <v>22</v>
      </c>
      <c r="N1133" s="5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 t="s">
        <v>14</v>
      </c>
      <c r="B1134" s="3" t="s">
        <v>3241</v>
      </c>
      <c r="C1134" s="3" t="s">
        <v>1439</v>
      </c>
      <c r="D1134" s="3" t="s">
        <v>3242</v>
      </c>
      <c r="E1134" s="3" t="s">
        <v>1441</v>
      </c>
      <c r="F1134" s="3" t="s">
        <v>3243</v>
      </c>
      <c r="G1134" s="3" t="s">
        <v>1435</v>
      </c>
      <c r="H1134" s="4">
        <v>1.0</v>
      </c>
      <c r="I1134" s="4">
        <v>1.0</v>
      </c>
      <c r="J1134" s="5"/>
      <c r="K1134" s="3" t="s">
        <v>3244</v>
      </c>
      <c r="L1134" s="3" t="s">
        <v>3245</v>
      </c>
      <c r="M1134" s="3" t="s">
        <v>22</v>
      </c>
      <c r="N1134" s="5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 t="s">
        <v>14</v>
      </c>
      <c r="B1135" s="3" t="s">
        <v>3241</v>
      </c>
      <c r="C1135" s="3" t="s">
        <v>1439</v>
      </c>
      <c r="D1135" s="3" t="s">
        <v>3242</v>
      </c>
      <c r="E1135" s="3" t="s">
        <v>1441</v>
      </c>
      <c r="F1135" s="3" t="s">
        <v>402</v>
      </c>
      <c r="G1135" s="3" t="s">
        <v>1129</v>
      </c>
      <c r="H1135" s="4">
        <v>2.0</v>
      </c>
      <c r="I1135" s="4">
        <v>2.0</v>
      </c>
      <c r="J1135" s="5"/>
      <c r="K1135" s="3" t="s">
        <v>3244</v>
      </c>
      <c r="L1135" s="3" t="s">
        <v>3245</v>
      </c>
      <c r="M1135" s="3" t="s">
        <v>22</v>
      </c>
      <c r="N1135" s="5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 t="s">
        <v>14</v>
      </c>
      <c r="B1136" s="3" t="s">
        <v>3246</v>
      </c>
      <c r="C1136" s="3" t="s">
        <v>3247</v>
      </c>
      <c r="D1136" s="3" t="s">
        <v>3248</v>
      </c>
      <c r="E1136" s="3" t="s">
        <v>3249</v>
      </c>
      <c r="F1136" s="3" t="s">
        <v>157</v>
      </c>
      <c r="G1136" s="3" t="s">
        <v>3250</v>
      </c>
      <c r="H1136" s="4">
        <v>1.0</v>
      </c>
      <c r="I1136" s="4">
        <v>1.0</v>
      </c>
      <c r="J1136" s="5"/>
      <c r="K1136" s="3" t="s">
        <v>3251</v>
      </c>
      <c r="L1136" s="3" t="s">
        <v>3252</v>
      </c>
      <c r="M1136" s="3" t="s">
        <v>22</v>
      </c>
      <c r="N1136" s="5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 t="s">
        <v>14</v>
      </c>
      <c r="B1137" s="3" t="s">
        <v>3246</v>
      </c>
      <c r="C1137" s="3" t="s">
        <v>3247</v>
      </c>
      <c r="D1137" s="3" t="s">
        <v>3248</v>
      </c>
      <c r="E1137" s="3" t="s">
        <v>3249</v>
      </c>
      <c r="F1137" s="3" t="s">
        <v>2023</v>
      </c>
      <c r="G1137" s="3" t="s">
        <v>1040</v>
      </c>
      <c r="H1137" s="4">
        <v>2.0</v>
      </c>
      <c r="I1137" s="4">
        <v>2.0</v>
      </c>
      <c r="J1137" s="5"/>
      <c r="K1137" s="3" t="s">
        <v>3251</v>
      </c>
      <c r="L1137" s="3" t="s">
        <v>3252</v>
      </c>
      <c r="M1137" s="3" t="s">
        <v>22</v>
      </c>
      <c r="N1137" s="5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 t="s">
        <v>14</v>
      </c>
      <c r="B1138" s="3" t="s">
        <v>3246</v>
      </c>
      <c r="C1138" s="3" t="s">
        <v>3247</v>
      </c>
      <c r="D1138" s="3" t="s">
        <v>3248</v>
      </c>
      <c r="E1138" s="3" t="s">
        <v>3249</v>
      </c>
      <c r="F1138" s="3" t="s">
        <v>245</v>
      </c>
      <c r="G1138" s="3" t="s">
        <v>245</v>
      </c>
      <c r="H1138" s="4">
        <v>3.0</v>
      </c>
      <c r="I1138" s="4">
        <v>3.0</v>
      </c>
      <c r="J1138" s="5"/>
      <c r="K1138" s="3" t="s">
        <v>3251</v>
      </c>
      <c r="L1138" s="3" t="s">
        <v>3252</v>
      </c>
      <c r="M1138" s="3" t="s">
        <v>22</v>
      </c>
      <c r="N1138" s="5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 t="s">
        <v>14</v>
      </c>
      <c r="B1139" s="3" t="s">
        <v>3253</v>
      </c>
      <c r="C1139" s="3" t="s">
        <v>3254</v>
      </c>
      <c r="D1139" s="3" t="s">
        <v>3255</v>
      </c>
      <c r="E1139" s="3" t="s">
        <v>3256</v>
      </c>
      <c r="F1139" s="3" t="s">
        <v>157</v>
      </c>
      <c r="G1139" s="3" t="s">
        <v>158</v>
      </c>
      <c r="H1139" s="4">
        <v>1.0</v>
      </c>
      <c r="I1139" s="4">
        <v>1.0</v>
      </c>
      <c r="J1139" s="5"/>
      <c r="K1139" s="3" t="s">
        <v>3257</v>
      </c>
      <c r="L1139" s="3" t="s">
        <v>3258</v>
      </c>
      <c r="M1139" s="3" t="s">
        <v>22</v>
      </c>
      <c r="N1139" s="5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 t="s">
        <v>14</v>
      </c>
      <c r="B1140" s="3" t="s">
        <v>3253</v>
      </c>
      <c r="C1140" s="3" t="s">
        <v>3254</v>
      </c>
      <c r="D1140" s="3" t="s">
        <v>3255</v>
      </c>
      <c r="E1140" s="3" t="s">
        <v>3256</v>
      </c>
      <c r="F1140" s="3" t="s">
        <v>1032</v>
      </c>
      <c r="G1140" s="3" t="s">
        <v>3259</v>
      </c>
      <c r="H1140" s="4">
        <v>2.0</v>
      </c>
      <c r="I1140" s="4">
        <v>2.0</v>
      </c>
      <c r="J1140" s="5"/>
      <c r="K1140" s="3" t="s">
        <v>3257</v>
      </c>
      <c r="L1140" s="3" t="s">
        <v>3258</v>
      </c>
      <c r="M1140" s="3" t="s">
        <v>22</v>
      </c>
      <c r="N1140" s="5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 t="s">
        <v>14</v>
      </c>
      <c r="B1141" s="3" t="s">
        <v>3253</v>
      </c>
      <c r="C1141" s="3" t="s">
        <v>3254</v>
      </c>
      <c r="D1141" s="3" t="s">
        <v>3255</v>
      </c>
      <c r="E1141" s="3" t="s">
        <v>3256</v>
      </c>
      <c r="F1141" s="3" t="s">
        <v>387</v>
      </c>
      <c r="G1141" s="3" t="s">
        <v>387</v>
      </c>
      <c r="H1141" s="4">
        <v>3.0</v>
      </c>
      <c r="I1141" s="4">
        <v>3.0</v>
      </c>
      <c r="J1141" s="5"/>
      <c r="K1141" s="3" t="s">
        <v>3257</v>
      </c>
      <c r="L1141" s="3" t="s">
        <v>3258</v>
      </c>
      <c r="M1141" s="3" t="s">
        <v>22</v>
      </c>
      <c r="N1141" s="5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 t="s">
        <v>14</v>
      </c>
      <c r="B1142" s="3" t="s">
        <v>3260</v>
      </c>
      <c r="C1142" s="3" t="s">
        <v>3261</v>
      </c>
      <c r="D1142" s="3" t="s">
        <v>3262</v>
      </c>
      <c r="E1142" s="3" t="s">
        <v>3263</v>
      </c>
      <c r="F1142" s="3" t="s">
        <v>3264</v>
      </c>
      <c r="G1142" s="3" t="s">
        <v>610</v>
      </c>
      <c r="H1142" s="4">
        <v>1.0</v>
      </c>
      <c r="I1142" s="4">
        <v>1.0</v>
      </c>
      <c r="J1142" s="3" t="s">
        <v>80</v>
      </c>
      <c r="K1142" s="3" t="s">
        <v>3265</v>
      </c>
      <c r="L1142" s="3" t="s">
        <v>3266</v>
      </c>
      <c r="M1142" s="3" t="s">
        <v>22</v>
      </c>
      <c r="N1142" s="5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 t="s">
        <v>14</v>
      </c>
      <c r="B1143" s="3" t="s">
        <v>3260</v>
      </c>
      <c r="C1143" s="3" t="s">
        <v>3261</v>
      </c>
      <c r="D1143" s="3" t="s">
        <v>3262</v>
      </c>
      <c r="E1143" s="3" t="s">
        <v>3263</v>
      </c>
      <c r="F1143" s="3" t="s">
        <v>36</v>
      </c>
      <c r="G1143" s="3" t="s">
        <v>2352</v>
      </c>
      <c r="H1143" s="4" t="s">
        <v>36</v>
      </c>
      <c r="I1143" s="4">
        <v>2.0</v>
      </c>
      <c r="J1143" s="3"/>
      <c r="K1143" s="3" t="s">
        <v>3265</v>
      </c>
      <c r="L1143" s="3" t="s">
        <v>3266</v>
      </c>
      <c r="M1143" s="3" t="s">
        <v>22</v>
      </c>
      <c r="N1143" s="5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 t="s">
        <v>14</v>
      </c>
      <c r="B1144" s="3" t="s">
        <v>3260</v>
      </c>
      <c r="C1144" s="3" t="s">
        <v>3261</v>
      </c>
      <c r="D1144" s="3" t="s">
        <v>3262</v>
      </c>
      <c r="E1144" s="3" t="s">
        <v>3263</v>
      </c>
      <c r="F1144" s="3" t="s">
        <v>116</v>
      </c>
      <c r="G1144" s="3" t="s">
        <v>116</v>
      </c>
      <c r="H1144" s="4">
        <v>2.0</v>
      </c>
      <c r="I1144" s="4">
        <v>3.0</v>
      </c>
      <c r="J1144" s="5"/>
      <c r="K1144" s="3" t="s">
        <v>3265</v>
      </c>
      <c r="L1144" s="3" t="s">
        <v>3266</v>
      </c>
      <c r="M1144" s="3" t="s">
        <v>22</v>
      </c>
      <c r="N1144" s="5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 t="s">
        <v>14</v>
      </c>
      <c r="B1145" s="3" t="s">
        <v>3267</v>
      </c>
      <c r="C1145" s="3" t="s">
        <v>3268</v>
      </c>
      <c r="D1145" s="3" t="s">
        <v>3269</v>
      </c>
      <c r="E1145" s="3" t="s">
        <v>3270</v>
      </c>
      <c r="F1145" s="3" t="s">
        <v>1541</v>
      </c>
      <c r="G1145" s="3" t="s">
        <v>254</v>
      </c>
      <c r="H1145" s="4">
        <v>1.0</v>
      </c>
      <c r="I1145" s="4">
        <v>1.0</v>
      </c>
      <c r="J1145" s="5"/>
      <c r="K1145" s="3" t="s">
        <v>3271</v>
      </c>
      <c r="L1145" s="3" t="s">
        <v>3272</v>
      </c>
      <c r="M1145" s="3" t="s">
        <v>22</v>
      </c>
      <c r="N1145" s="5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 t="s">
        <v>14</v>
      </c>
      <c r="B1146" s="3" t="s">
        <v>3267</v>
      </c>
      <c r="C1146" s="3" t="s">
        <v>3268</v>
      </c>
      <c r="D1146" s="3" t="s">
        <v>3269</v>
      </c>
      <c r="E1146" s="3" t="s">
        <v>3270</v>
      </c>
      <c r="F1146" s="3" t="s">
        <v>3273</v>
      </c>
      <c r="G1146" s="3" t="s">
        <v>3196</v>
      </c>
      <c r="H1146" s="4">
        <v>2.0</v>
      </c>
      <c r="I1146" s="4">
        <v>2.0</v>
      </c>
      <c r="J1146" s="5"/>
      <c r="K1146" s="3" t="s">
        <v>3271</v>
      </c>
      <c r="L1146" s="3" t="s">
        <v>3272</v>
      </c>
      <c r="M1146" s="3" t="s">
        <v>22</v>
      </c>
      <c r="N1146" s="5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 t="s">
        <v>14</v>
      </c>
      <c r="B1147" s="3" t="s">
        <v>3267</v>
      </c>
      <c r="C1147" s="3" t="s">
        <v>3268</v>
      </c>
      <c r="D1147" s="3" t="s">
        <v>3269</v>
      </c>
      <c r="E1147" s="3" t="s">
        <v>3270</v>
      </c>
      <c r="F1147" s="3" t="s">
        <v>1426</v>
      </c>
      <c r="G1147" s="3" t="s">
        <v>1426</v>
      </c>
      <c r="H1147" s="4">
        <v>3.0</v>
      </c>
      <c r="I1147" s="4">
        <v>3.0</v>
      </c>
      <c r="J1147" s="5"/>
      <c r="K1147" s="3" t="s">
        <v>3271</v>
      </c>
      <c r="L1147" s="3" t="s">
        <v>3272</v>
      </c>
      <c r="M1147" s="3" t="s">
        <v>22</v>
      </c>
      <c r="N1147" s="5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 t="s">
        <v>14</v>
      </c>
      <c r="B1148" s="3" t="s">
        <v>3274</v>
      </c>
      <c r="C1148" s="3" t="s">
        <v>3275</v>
      </c>
      <c r="D1148" s="3" t="s">
        <v>3276</v>
      </c>
      <c r="E1148" s="3" t="s">
        <v>3277</v>
      </c>
      <c r="F1148" s="3" t="s">
        <v>3278</v>
      </c>
      <c r="G1148" s="3" t="s">
        <v>3278</v>
      </c>
      <c r="H1148" s="4">
        <v>1.0</v>
      </c>
      <c r="I1148" s="4">
        <v>1.0</v>
      </c>
      <c r="J1148" s="3"/>
      <c r="K1148" s="3" t="s">
        <v>3279</v>
      </c>
      <c r="L1148" s="3" t="s">
        <v>3280</v>
      </c>
      <c r="M1148" s="3" t="s">
        <v>22</v>
      </c>
      <c r="N1148" s="5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 t="s">
        <v>14</v>
      </c>
      <c r="B1149" s="3" t="s">
        <v>3274</v>
      </c>
      <c r="C1149" s="3" t="s">
        <v>3275</v>
      </c>
      <c r="D1149" s="3" t="s">
        <v>3276</v>
      </c>
      <c r="E1149" s="3" t="s">
        <v>3277</v>
      </c>
      <c r="F1149" s="3" t="s">
        <v>152</v>
      </c>
      <c r="G1149" s="3" t="s">
        <v>56</v>
      </c>
      <c r="H1149" s="4">
        <v>2.0</v>
      </c>
      <c r="I1149" s="4">
        <v>2.0</v>
      </c>
      <c r="J1149" s="3"/>
      <c r="K1149" s="3" t="s">
        <v>3279</v>
      </c>
      <c r="L1149" s="3" t="s">
        <v>3280</v>
      </c>
      <c r="M1149" s="3" t="s">
        <v>22</v>
      </c>
      <c r="N1149" s="5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 t="s">
        <v>14</v>
      </c>
      <c r="B1150" s="3" t="s">
        <v>3281</v>
      </c>
      <c r="C1150" s="3" t="s">
        <v>3282</v>
      </c>
      <c r="D1150" s="3" t="s">
        <v>3283</v>
      </c>
      <c r="E1150" s="3" t="s">
        <v>3284</v>
      </c>
      <c r="F1150" s="3" t="s">
        <v>233</v>
      </c>
      <c r="G1150" s="3" t="s">
        <v>1234</v>
      </c>
      <c r="H1150" s="4">
        <v>1.0</v>
      </c>
      <c r="I1150" s="4">
        <v>1.0</v>
      </c>
      <c r="J1150" s="5"/>
      <c r="K1150" s="3" t="s">
        <v>3285</v>
      </c>
      <c r="L1150" s="3" t="s">
        <v>3286</v>
      </c>
      <c r="M1150" s="3" t="s">
        <v>22</v>
      </c>
      <c r="N1150" s="5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 t="s">
        <v>14</v>
      </c>
      <c r="B1151" s="3" t="s">
        <v>3281</v>
      </c>
      <c r="C1151" s="3" t="s">
        <v>3282</v>
      </c>
      <c r="D1151" s="3" t="s">
        <v>3283</v>
      </c>
      <c r="E1151" s="3" t="s">
        <v>3284</v>
      </c>
      <c r="F1151" s="3" t="s">
        <v>3273</v>
      </c>
      <c r="G1151" s="3" t="s">
        <v>3287</v>
      </c>
      <c r="H1151" s="4">
        <v>2.0</v>
      </c>
      <c r="I1151" s="4">
        <v>2.0</v>
      </c>
      <c r="J1151" s="5"/>
      <c r="K1151" s="3" t="s">
        <v>3285</v>
      </c>
      <c r="L1151" s="3" t="s">
        <v>3286</v>
      </c>
      <c r="M1151" s="3" t="s">
        <v>22</v>
      </c>
      <c r="N1151" s="5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 t="s">
        <v>14</v>
      </c>
      <c r="B1152" s="3" t="s">
        <v>3281</v>
      </c>
      <c r="C1152" s="3" t="s">
        <v>3282</v>
      </c>
      <c r="D1152" s="3" t="s">
        <v>3283</v>
      </c>
      <c r="E1152" s="3" t="s">
        <v>3284</v>
      </c>
      <c r="F1152" s="3" t="s">
        <v>668</v>
      </c>
      <c r="G1152" s="3" t="s">
        <v>103</v>
      </c>
      <c r="H1152" s="4">
        <v>3.0</v>
      </c>
      <c r="I1152" s="4">
        <v>3.0</v>
      </c>
      <c r="J1152" s="5"/>
      <c r="K1152" s="3" t="s">
        <v>3285</v>
      </c>
      <c r="L1152" s="3" t="s">
        <v>3286</v>
      </c>
      <c r="M1152" s="3" t="s">
        <v>22</v>
      </c>
      <c r="N1152" s="5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 t="s">
        <v>14</v>
      </c>
      <c r="B1153" s="3" t="s">
        <v>3288</v>
      </c>
      <c r="C1153" s="3" t="s">
        <v>3289</v>
      </c>
      <c r="D1153" s="3" t="s">
        <v>3290</v>
      </c>
      <c r="E1153" s="3" t="s">
        <v>3291</v>
      </c>
      <c r="F1153" s="3" t="s">
        <v>976</v>
      </c>
      <c r="G1153" s="3" t="s">
        <v>977</v>
      </c>
      <c r="H1153" s="4">
        <v>1.0</v>
      </c>
      <c r="I1153" s="4">
        <v>1.0</v>
      </c>
      <c r="J1153" s="5"/>
      <c r="K1153" s="3" t="s">
        <v>3292</v>
      </c>
      <c r="L1153" s="3" t="s">
        <v>3293</v>
      </c>
      <c r="M1153" s="3" t="s">
        <v>22</v>
      </c>
      <c r="N1153" s="5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 t="s">
        <v>14</v>
      </c>
      <c r="B1154" s="3" t="s">
        <v>3288</v>
      </c>
      <c r="C1154" s="3" t="s">
        <v>3289</v>
      </c>
      <c r="D1154" s="3" t="s">
        <v>3290</v>
      </c>
      <c r="E1154" s="3" t="s">
        <v>3291</v>
      </c>
      <c r="F1154" s="3" t="s">
        <v>784</v>
      </c>
      <c r="G1154" s="3" t="s">
        <v>784</v>
      </c>
      <c r="H1154" s="4">
        <v>2.0</v>
      </c>
      <c r="I1154" s="4">
        <v>2.0</v>
      </c>
      <c r="J1154" s="5"/>
      <c r="K1154" s="3" t="s">
        <v>3292</v>
      </c>
      <c r="L1154" s="3" t="s">
        <v>3293</v>
      </c>
      <c r="M1154" s="3" t="s">
        <v>22</v>
      </c>
      <c r="N1154" s="5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 t="s">
        <v>14</v>
      </c>
      <c r="B1155" s="3" t="s">
        <v>3294</v>
      </c>
      <c r="C1155" s="3" t="s">
        <v>3295</v>
      </c>
      <c r="D1155" s="3" t="s">
        <v>3296</v>
      </c>
      <c r="E1155" s="3" t="s">
        <v>3297</v>
      </c>
      <c r="F1155" s="3" t="s">
        <v>780</v>
      </c>
      <c r="G1155" s="3" t="s">
        <v>781</v>
      </c>
      <c r="H1155" s="4">
        <v>1.0</v>
      </c>
      <c r="I1155" s="4">
        <v>1.0</v>
      </c>
      <c r="J1155" s="5"/>
      <c r="K1155" s="3" t="s">
        <v>3298</v>
      </c>
      <c r="L1155" s="3" t="s">
        <v>548</v>
      </c>
      <c r="M1155" s="3" t="s">
        <v>22</v>
      </c>
      <c r="N1155" s="5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 t="s">
        <v>14</v>
      </c>
      <c r="B1156" s="3" t="s">
        <v>3294</v>
      </c>
      <c r="C1156" s="3" t="s">
        <v>3295</v>
      </c>
      <c r="D1156" s="3" t="s">
        <v>3296</v>
      </c>
      <c r="E1156" s="3" t="s">
        <v>3297</v>
      </c>
      <c r="F1156" s="3" t="s">
        <v>98</v>
      </c>
      <c r="G1156" s="3" t="s">
        <v>98</v>
      </c>
      <c r="H1156" s="4">
        <v>2.0</v>
      </c>
      <c r="I1156" s="4">
        <v>2.0</v>
      </c>
      <c r="J1156" s="5"/>
      <c r="K1156" s="3" t="s">
        <v>3298</v>
      </c>
      <c r="L1156" s="3" t="s">
        <v>548</v>
      </c>
      <c r="M1156" s="3" t="s">
        <v>22</v>
      </c>
      <c r="N1156" s="5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 t="s">
        <v>14</v>
      </c>
      <c r="B1157" s="3" t="s">
        <v>3299</v>
      </c>
      <c r="C1157" s="3" t="s">
        <v>3300</v>
      </c>
      <c r="D1157" s="3" t="s">
        <v>3301</v>
      </c>
      <c r="E1157" s="3" t="s">
        <v>3302</v>
      </c>
      <c r="F1157" s="3" t="s">
        <v>789</v>
      </c>
      <c r="G1157" s="3" t="s">
        <v>790</v>
      </c>
      <c r="H1157" s="4">
        <v>1.0</v>
      </c>
      <c r="I1157" s="4">
        <v>1.0</v>
      </c>
      <c r="J1157" s="5"/>
      <c r="K1157" s="3" t="s">
        <v>3303</v>
      </c>
      <c r="L1157" s="3" t="s">
        <v>3304</v>
      </c>
      <c r="M1157" s="3" t="s">
        <v>22</v>
      </c>
      <c r="N1157" s="5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 t="s">
        <v>14</v>
      </c>
      <c r="B1158" s="3" t="s">
        <v>3299</v>
      </c>
      <c r="C1158" s="3" t="s">
        <v>3300</v>
      </c>
      <c r="D1158" s="3" t="s">
        <v>3301</v>
      </c>
      <c r="E1158" s="3" t="s">
        <v>3302</v>
      </c>
      <c r="F1158" s="3" t="s">
        <v>116</v>
      </c>
      <c r="G1158" s="3" t="s">
        <v>116</v>
      </c>
      <c r="H1158" s="4">
        <v>2.0</v>
      </c>
      <c r="I1158" s="4">
        <v>2.0</v>
      </c>
      <c r="J1158" s="5"/>
      <c r="K1158" s="3" t="s">
        <v>3303</v>
      </c>
      <c r="L1158" s="3" t="s">
        <v>3304</v>
      </c>
      <c r="M1158" s="3" t="s">
        <v>22</v>
      </c>
      <c r="N1158" s="5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 t="s">
        <v>14</v>
      </c>
      <c r="B1159" s="3" t="s">
        <v>3305</v>
      </c>
      <c r="C1159" s="3" t="s">
        <v>3306</v>
      </c>
      <c r="D1159" s="3" t="s">
        <v>3307</v>
      </c>
      <c r="E1159" s="3" t="s">
        <v>3308</v>
      </c>
      <c r="F1159" s="3" t="s">
        <v>2175</v>
      </c>
      <c r="G1159" s="3" t="s">
        <v>1137</v>
      </c>
      <c r="H1159" s="4">
        <v>1.0</v>
      </c>
      <c r="I1159" s="4">
        <v>1.0</v>
      </c>
      <c r="J1159" s="5"/>
      <c r="K1159" s="3" t="s">
        <v>3309</v>
      </c>
      <c r="L1159" s="3" t="s">
        <v>3202</v>
      </c>
      <c r="M1159" s="3" t="s">
        <v>22</v>
      </c>
      <c r="N1159" s="5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 t="s">
        <v>14</v>
      </c>
      <c r="B1160" s="3" t="s">
        <v>3305</v>
      </c>
      <c r="C1160" s="3" t="s">
        <v>3306</v>
      </c>
      <c r="D1160" s="3" t="s">
        <v>3307</v>
      </c>
      <c r="E1160" s="3" t="s">
        <v>3308</v>
      </c>
      <c r="F1160" s="3" t="s">
        <v>3310</v>
      </c>
      <c r="G1160" s="3" t="s">
        <v>878</v>
      </c>
      <c r="H1160" s="4">
        <v>2.0</v>
      </c>
      <c r="I1160" s="4">
        <v>2.0</v>
      </c>
      <c r="J1160" s="5"/>
      <c r="K1160" s="3" t="s">
        <v>3309</v>
      </c>
      <c r="L1160" s="3" t="s">
        <v>3202</v>
      </c>
      <c r="M1160" s="3" t="s">
        <v>22</v>
      </c>
      <c r="N1160" s="5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 t="s">
        <v>14</v>
      </c>
      <c r="B1161" s="3" t="s">
        <v>3305</v>
      </c>
      <c r="C1161" s="3" t="s">
        <v>3306</v>
      </c>
      <c r="D1161" s="3" t="s">
        <v>3307</v>
      </c>
      <c r="E1161" s="3" t="s">
        <v>3308</v>
      </c>
      <c r="F1161" s="3" t="s">
        <v>158</v>
      </c>
      <c r="G1161" s="3" t="s">
        <v>158</v>
      </c>
      <c r="H1161" s="4">
        <v>3.0</v>
      </c>
      <c r="I1161" s="4">
        <v>3.0</v>
      </c>
      <c r="J1161" s="5"/>
      <c r="K1161" s="3" t="s">
        <v>3309</v>
      </c>
      <c r="L1161" s="3" t="s">
        <v>3202</v>
      </c>
      <c r="M1161" s="3" t="s">
        <v>22</v>
      </c>
      <c r="N1161" s="5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5" t="s">
        <v>14</v>
      </c>
      <c r="B1162" s="15" t="s">
        <v>3311</v>
      </c>
      <c r="C1162" s="15" t="s">
        <v>3312</v>
      </c>
      <c r="D1162" s="15" t="s">
        <v>3313</v>
      </c>
      <c r="E1162" s="15" t="s">
        <v>3314</v>
      </c>
      <c r="F1162" s="15" t="s">
        <v>36</v>
      </c>
      <c r="G1162" s="15" t="s">
        <v>1113</v>
      </c>
      <c r="H1162" s="18" t="s">
        <v>36</v>
      </c>
      <c r="I1162" s="18">
        <v>1.0</v>
      </c>
      <c r="J1162" s="15" t="s">
        <v>80</v>
      </c>
      <c r="K1162" s="15" t="s">
        <v>3315</v>
      </c>
      <c r="L1162" s="15" t="s">
        <v>3316</v>
      </c>
      <c r="M1162" s="15" t="s">
        <v>22</v>
      </c>
      <c r="N1162" s="20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</row>
    <row r="1163">
      <c r="A1163" s="15" t="s">
        <v>14</v>
      </c>
      <c r="B1163" s="15" t="s">
        <v>3311</v>
      </c>
      <c r="C1163" s="15" t="s">
        <v>3312</v>
      </c>
      <c r="D1163" s="15" t="s">
        <v>3313</v>
      </c>
      <c r="E1163" s="15" t="s">
        <v>3314</v>
      </c>
      <c r="F1163" s="15" t="s">
        <v>1032</v>
      </c>
      <c r="G1163" s="15" t="s">
        <v>3259</v>
      </c>
      <c r="H1163" s="18">
        <v>1.0</v>
      </c>
      <c r="I1163" s="18">
        <v>2.0</v>
      </c>
      <c r="J1163" s="15"/>
      <c r="K1163" s="15" t="s">
        <v>3315</v>
      </c>
      <c r="L1163" s="15" t="s">
        <v>3316</v>
      </c>
      <c r="M1163" s="15" t="s">
        <v>22</v>
      </c>
      <c r="N1163" s="20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</row>
    <row r="1164">
      <c r="A1164" s="15" t="s">
        <v>14</v>
      </c>
      <c r="B1164" s="15" t="s">
        <v>3311</v>
      </c>
      <c r="C1164" s="15" t="s">
        <v>3312</v>
      </c>
      <c r="D1164" s="15" t="s">
        <v>3313</v>
      </c>
      <c r="E1164" s="15" t="s">
        <v>3314</v>
      </c>
      <c r="F1164" s="15" t="s">
        <v>116</v>
      </c>
      <c r="G1164" s="15" t="s">
        <v>116</v>
      </c>
      <c r="H1164" s="18">
        <v>2.0</v>
      </c>
      <c r="I1164" s="18">
        <v>3.0</v>
      </c>
      <c r="J1164" s="20"/>
      <c r="K1164" s="15" t="s">
        <v>3315</v>
      </c>
      <c r="L1164" s="15" t="s">
        <v>3316</v>
      </c>
      <c r="M1164" s="15" t="s">
        <v>22</v>
      </c>
      <c r="N1164" s="20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</row>
    <row r="1165">
      <c r="A1165" s="3" t="s">
        <v>14</v>
      </c>
      <c r="B1165" s="3" t="s">
        <v>3317</v>
      </c>
      <c r="C1165" s="3" t="s">
        <v>3318</v>
      </c>
      <c r="D1165" s="3" t="s">
        <v>3319</v>
      </c>
      <c r="E1165" s="3" t="s">
        <v>3320</v>
      </c>
      <c r="F1165" s="3" t="s">
        <v>214</v>
      </c>
      <c r="G1165" s="3" t="s">
        <v>3321</v>
      </c>
      <c r="H1165" s="4">
        <v>1.0</v>
      </c>
      <c r="I1165" s="4">
        <v>1.0</v>
      </c>
      <c r="J1165" s="5"/>
      <c r="K1165" s="3" t="s">
        <v>3322</v>
      </c>
      <c r="L1165" s="3" t="s">
        <v>3323</v>
      </c>
      <c r="M1165" s="3" t="s">
        <v>22</v>
      </c>
      <c r="N1165" s="5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 t="s">
        <v>14</v>
      </c>
      <c r="B1166" s="3" t="s">
        <v>3317</v>
      </c>
      <c r="C1166" s="3" t="s">
        <v>3318</v>
      </c>
      <c r="D1166" s="3" t="s">
        <v>3319</v>
      </c>
      <c r="E1166" s="3" t="s">
        <v>3320</v>
      </c>
      <c r="F1166" s="3" t="s">
        <v>312</v>
      </c>
      <c r="G1166" s="3" t="s">
        <v>312</v>
      </c>
      <c r="H1166" s="4">
        <v>2.0</v>
      </c>
      <c r="I1166" s="4">
        <v>2.0</v>
      </c>
      <c r="J1166" s="5"/>
      <c r="K1166" s="3" t="s">
        <v>3322</v>
      </c>
      <c r="L1166" s="3" t="s">
        <v>3323</v>
      </c>
      <c r="M1166" s="3" t="s">
        <v>22</v>
      </c>
      <c r="N1166" s="5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5" t="s">
        <v>14</v>
      </c>
      <c r="B1167" s="15" t="s">
        <v>3324</v>
      </c>
      <c r="C1167" s="15" t="s">
        <v>3325</v>
      </c>
      <c r="D1167" s="15" t="s">
        <v>3326</v>
      </c>
      <c r="E1167" s="15" t="s">
        <v>3327</v>
      </c>
      <c r="F1167" s="15" t="s">
        <v>36</v>
      </c>
      <c r="G1167" s="15" t="s">
        <v>49</v>
      </c>
      <c r="H1167" s="18" t="s">
        <v>36</v>
      </c>
      <c r="I1167" s="18">
        <v>1.0</v>
      </c>
      <c r="J1167" s="15" t="s">
        <v>80</v>
      </c>
      <c r="K1167" s="15" t="s">
        <v>3328</v>
      </c>
      <c r="L1167" s="15" t="s">
        <v>3329</v>
      </c>
      <c r="M1167" s="15" t="s">
        <v>22</v>
      </c>
      <c r="N1167" s="20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</row>
    <row r="1168">
      <c r="A1168" s="15" t="s">
        <v>14</v>
      </c>
      <c r="B1168" s="15" t="s">
        <v>3324</v>
      </c>
      <c r="C1168" s="15" t="s">
        <v>3325</v>
      </c>
      <c r="D1168" s="15" t="s">
        <v>3326</v>
      </c>
      <c r="E1168" s="15" t="s">
        <v>3327</v>
      </c>
      <c r="F1168" s="15" t="s">
        <v>251</v>
      </c>
      <c r="G1168" s="15" t="s">
        <v>3330</v>
      </c>
      <c r="H1168" s="18">
        <v>1.0</v>
      </c>
      <c r="I1168" s="18">
        <v>2.0</v>
      </c>
      <c r="J1168" s="15"/>
      <c r="K1168" s="15" t="s">
        <v>3328</v>
      </c>
      <c r="L1168" s="15" t="s">
        <v>3329</v>
      </c>
      <c r="M1168" s="15" t="s">
        <v>22</v>
      </c>
      <c r="N1168" s="20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</row>
    <row r="1169">
      <c r="A1169" s="15" t="s">
        <v>14</v>
      </c>
      <c r="B1169" s="15" t="s">
        <v>3324</v>
      </c>
      <c r="C1169" s="15" t="s">
        <v>3325</v>
      </c>
      <c r="D1169" s="15" t="s">
        <v>3326</v>
      </c>
      <c r="E1169" s="15" t="s">
        <v>3327</v>
      </c>
      <c r="F1169" s="15" t="s">
        <v>55</v>
      </c>
      <c r="G1169" s="15" t="s">
        <v>56</v>
      </c>
      <c r="H1169" s="18">
        <v>2.0</v>
      </c>
      <c r="I1169" s="18">
        <v>3.0</v>
      </c>
      <c r="J1169" s="20"/>
      <c r="K1169" s="15" t="s">
        <v>3328</v>
      </c>
      <c r="L1169" s="15" t="s">
        <v>3329</v>
      </c>
      <c r="M1169" s="15" t="s">
        <v>22</v>
      </c>
      <c r="N1169" s="20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</row>
    <row r="1170">
      <c r="A1170" s="15" t="s">
        <v>14</v>
      </c>
      <c r="B1170" s="15" t="s">
        <v>3331</v>
      </c>
      <c r="C1170" s="15" t="s">
        <v>3332</v>
      </c>
      <c r="D1170" s="15" t="s">
        <v>3333</v>
      </c>
      <c r="E1170" s="15" t="s">
        <v>3334</v>
      </c>
      <c r="F1170" s="15" t="s">
        <v>362</v>
      </c>
      <c r="G1170" s="15" t="s">
        <v>301</v>
      </c>
      <c r="H1170" s="18">
        <v>1.0</v>
      </c>
      <c r="I1170" s="18">
        <v>1.0</v>
      </c>
      <c r="J1170" s="15" t="s">
        <v>80</v>
      </c>
      <c r="K1170" s="15" t="s">
        <v>3335</v>
      </c>
      <c r="L1170" s="15" t="s">
        <v>3336</v>
      </c>
      <c r="M1170" s="15" t="s">
        <v>22</v>
      </c>
      <c r="N1170" s="20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</row>
    <row r="1171">
      <c r="A1171" s="15" t="s">
        <v>14</v>
      </c>
      <c r="B1171" s="15" t="s">
        <v>3331</v>
      </c>
      <c r="C1171" s="15" t="s">
        <v>3332</v>
      </c>
      <c r="D1171" s="15" t="s">
        <v>3333</v>
      </c>
      <c r="E1171" s="15" t="s">
        <v>3334</v>
      </c>
      <c r="F1171" s="15" t="s">
        <v>317</v>
      </c>
      <c r="G1171" s="15" t="s">
        <v>3337</v>
      </c>
      <c r="H1171" s="18">
        <v>2.0</v>
      </c>
      <c r="I1171" s="18">
        <v>2.0</v>
      </c>
      <c r="J1171" s="15"/>
      <c r="K1171" s="15" t="s">
        <v>3335</v>
      </c>
      <c r="L1171" s="15" t="s">
        <v>3336</v>
      </c>
      <c r="M1171" s="15" t="s">
        <v>22</v>
      </c>
      <c r="N1171" s="20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</row>
    <row r="1172">
      <c r="A1172" s="15" t="s">
        <v>14</v>
      </c>
      <c r="B1172" s="15" t="s">
        <v>3331</v>
      </c>
      <c r="C1172" s="15" t="s">
        <v>3332</v>
      </c>
      <c r="D1172" s="15" t="s">
        <v>3333</v>
      </c>
      <c r="E1172" s="15" t="s">
        <v>3334</v>
      </c>
      <c r="F1172" s="15" t="s">
        <v>36</v>
      </c>
      <c r="G1172" s="15" t="s">
        <v>24</v>
      </c>
      <c r="H1172" s="18" t="s">
        <v>36</v>
      </c>
      <c r="I1172" s="18">
        <v>3.0</v>
      </c>
      <c r="J1172" s="20"/>
      <c r="K1172" s="15" t="s">
        <v>3335</v>
      </c>
      <c r="L1172" s="15" t="s">
        <v>3336</v>
      </c>
      <c r="M1172" s="15" t="s">
        <v>22</v>
      </c>
      <c r="N1172" s="20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</row>
    <row r="1173">
      <c r="A1173" s="3" t="s">
        <v>14</v>
      </c>
      <c r="B1173" s="3" t="s">
        <v>3338</v>
      </c>
      <c r="C1173" s="3" t="s">
        <v>3338</v>
      </c>
      <c r="D1173" s="3" t="s">
        <v>3339</v>
      </c>
      <c r="E1173" s="3" t="s">
        <v>3339</v>
      </c>
      <c r="F1173" s="3" t="s">
        <v>2003</v>
      </c>
      <c r="G1173" s="3" t="s">
        <v>2003</v>
      </c>
      <c r="H1173" s="4">
        <v>1.0</v>
      </c>
      <c r="I1173" s="4">
        <v>1.0</v>
      </c>
      <c r="J1173" s="5"/>
      <c r="K1173" s="3" t="s">
        <v>3340</v>
      </c>
      <c r="L1173" s="3" t="s">
        <v>1373</v>
      </c>
      <c r="M1173" s="3" t="s">
        <v>22</v>
      </c>
      <c r="N1173" s="5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 t="s">
        <v>14</v>
      </c>
      <c r="B1174" s="3" t="s">
        <v>3338</v>
      </c>
      <c r="C1174" s="3" t="s">
        <v>3338</v>
      </c>
      <c r="D1174" s="3" t="s">
        <v>3339</v>
      </c>
      <c r="E1174" s="3" t="s">
        <v>3339</v>
      </c>
      <c r="F1174" s="3" t="s">
        <v>254</v>
      </c>
      <c r="G1174" s="3" t="s">
        <v>254</v>
      </c>
      <c r="H1174" s="4">
        <v>2.0</v>
      </c>
      <c r="I1174" s="4">
        <v>2.0</v>
      </c>
      <c r="J1174" s="5"/>
      <c r="K1174" s="3" t="s">
        <v>3340</v>
      </c>
      <c r="L1174" s="3" t="s">
        <v>1373</v>
      </c>
      <c r="M1174" s="3" t="s">
        <v>22</v>
      </c>
      <c r="N1174" s="5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5" t="s">
        <v>14</v>
      </c>
      <c r="B1175" s="15" t="s">
        <v>3341</v>
      </c>
      <c r="C1175" s="15" t="s">
        <v>3342</v>
      </c>
      <c r="D1175" s="15" t="s">
        <v>3343</v>
      </c>
      <c r="E1175" s="15" t="s">
        <v>3344</v>
      </c>
      <c r="F1175" s="15" t="s">
        <v>128</v>
      </c>
      <c r="G1175" s="15" t="s">
        <v>36</v>
      </c>
      <c r="H1175" s="18">
        <v>1.0</v>
      </c>
      <c r="I1175" s="18" t="s">
        <v>36</v>
      </c>
      <c r="J1175" s="20"/>
      <c r="K1175" s="15" t="s">
        <v>3345</v>
      </c>
      <c r="L1175" s="15" t="s">
        <v>3346</v>
      </c>
      <c r="M1175" s="15" t="s">
        <v>22</v>
      </c>
      <c r="N1175" s="20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</row>
    <row r="1176">
      <c r="A1176" s="15" t="s">
        <v>14</v>
      </c>
      <c r="B1176" s="15" t="s">
        <v>3341</v>
      </c>
      <c r="C1176" s="15" t="s">
        <v>3342</v>
      </c>
      <c r="D1176" s="15" t="s">
        <v>3343</v>
      </c>
      <c r="E1176" s="15" t="s">
        <v>3344</v>
      </c>
      <c r="F1176" s="15" t="s">
        <v>1075</v>
      </c>
      <c r="G1176" s="15" t="s">
        <v>1075</v>
      </c>
      <c r="H1176" s="18">
        <v>2.0</v>
      </c>
      <c r="I1176" s="18">
        <v>1.0</v>
      </c>
      <c r="J1176" s="20"/>
      <c r="K1176" s="15" t="s">
        <v>3345</v>
      </c>
      <c r="L1176" s="15" t="s">
        <v>3346</v>
      </c>
      <c r="M1176" s="15" t="s">
        <v>22</v>
      </c>
      <c r="N1176" s="20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</row>
    <row r="1177">
      <c r="A1177" s="15" t="s">
        <v>14</v>
      </c>
      <c r="B1177" s="15" t="s">
        <v>3341</v>
      </c>
      <c r="C1177" s="15" t="s">
        <v>3342</v>
      </c>
      <c r="D1177" s="15" t="s">
        <v>3343</v>
      </c>
      <c r="E1177" s="15" t="s">
        <v>3344</v>
      </c>
      <c r="F1177" s="15" t="s">
        <v>362</v>
      </c>
      <c r="G1177" s="15" t="s">
        <v>566</v>
      </c>
      <c r="H1177" s="18">
        <v>3.0</v>
      </c>
      <c r="I1177" s="18">
        <v>2.0</v>
      </c>
      <c r="J1177" s="20"/>
      <c r="K1177" s="15" t="s">
        <v>3345</v>
      </c>
      <c r="L1177" s="15" t="s">
        <v>3346</v>
      </c>
      <c r="M1177" s="15" t="s">
        <v>22</v>
      </c>
      <c r="N1177" s="20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</row>
    <row r="1178">
      <c r="A1178" s="3" t="s">
        <v>14</v>
      </c>
      <c r="B1178" s="3" t="s">
        <v>3347</v>
      </c>
      <c r="C1178" s="3" t="s">
        <v>3347</v>
      </c>
      <c r="D1178" s="3" t="s">
        <v>3348</v>
      </c>
      <c r="E1178" s="3" t="s">
        <v>3348</v>
      </c>
      <c r="F1178" s="3" t="s">
        <v>2700</v>
      </c>
      <c r="G1178" s="3" t="s">
        <v>2700</v>
      </c>
      <c r="H1178" s="4">
        <v>1.0</v>
      </c>
      <c r="I1178" s="4">
        <v>1.0</v>
      </c>
      <c r="J1178" s="5"/>
      <c r="K1178" s="3" t="s">
        <v>3349</v>
      </c>
      <c r="L1178" s="3" t="s">
        <v>3350</v>
      </c>
      <c r="M1178" s="3" t="s">
        <v>22</v>
      </c>
      <c r="N1178" s="5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 t="s">
        <v>14</v>
      </c>
      <c r="B1179" s="3" t="s">
        <v>3347</v>
      </c>
      <c r="C1179" s="3" t="s">
        <v>3347</v>
      </c>
      <c r="D1179" s="3" t="s">
        <v>3348</v>
      </c>
      <c r="E1179" s="3" t="s">
        <v>3348</v>
      </c>
      <c r="F1179" s="3" t="s">
        <v>1426</v>
      </c>
      <c r="G1179" s="3" t="s">
        <v>1426</v>
      </c>
      <c r="H1179" s="4">
        <v>2.0</v>
      </c>
      <c r="I1179" s="4">
        <v>2.0</v>
      </c>
      <c r="J1179" s="5"/>
      <c r="K1179" s="3" t="s">
        <v>3349</v>
      </c>
      <c r="L1179" s="3" t="s">
        <v>3350</v>
      </c>
      <c r="M1179" s="3" t="s">
        <v>22</v>
      </c>
      <c r="N1179" s="5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5" t="s">
        <v>14</v>
      </c>
      <c r="B1180" s="15" t="s">
        <v>3351</v>
      </c>
      <c r="C1180" s="15" t="s">
        <v>3352</v>
      </c>
      <c r="D1180" s="15" t="s">
        <v>3353</v>
      </c>
      <c r="E1180" s="15" t="s">
        <v>3354</v>
      </c>
      <c r="F1180" s="15" t="s">
        <v>753</v>
      </c>
      <c r="G1180" s="15" t="s">
        <v>2834</v>
      </c>
      <c r="H1180" s="18">
        <v>1.0</v>
      </c>
      <c r="I1180" s="18">
        <v>1.0</v>
      </c>
      <c r="J1180" s="20"/>
      <c r="K1180" s="15" t="s">
        <v>3355</v>
      </c>
      <c r="L1180" s="15" t="s">
        <v>3356</v>
      </c>
      <c r="M1180" s="15" t="s">
        <v>22</v>
      </c>
      <c r="N1180" s="20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</row>
    <row r="1181">
      <c r="A1181" s="15" t="s">
        <v>14</v>
      </c>
      <c r="B1181" s="15" t="s">
        <v>3351</v>
      </c>
      <c r="C1181" s="15" t="s">
        <v>3352</v>
      </c>
      <c r="D1181" s="15" t="s">
        <v>3353</v>
      </c>
      <c r="E1181" s="15" t="s">
        <v>3354</v>
      </c>
      <c r="F1181" s="15" t="s">
        <v>3357</v>
      </c>
      <c r="G1181" s="15" t="s">
        <v>3358</v>
      </c>
      <c r="H1181" s="18">
        <v>2.0</v>
      </c>
      <c r="I1181" s="18">
        <v>2.0</v>
      </c>
      <c r="J1181" s="20"/>
      <c r="K1181" s="15" t="s">
        <v>3355</v>
      </c>
      <c r="L1181" s="15" t="s">
        <v>3356</v>
      </c>
      <c r="M1181" s="15" t="s">
        <v>22</v>
      </c>
      <c r="N1181" s="20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</row>
    <row r="1182">
      <c r="A1182" s="15" t="s">
        <v>14</v>
      </c>
      <c r="B1182" s="15" t="s">
        <v>3351</v>
      </c>
      <c r="C1182" s="15" t="s">
        <v>3352</v>
      </c>
      <c r="D1182" s="15" t="s">
        <v>3353</v>
      </c>
      <c r="E1182" s="15" t="s">
        <v>3354</v>
      </c>
      <c r="F1182" s="15" t="s">
        <v>245</v>
      </c>
      <c r="G1182" s="15" t="s">
        <v>36</v>
      </c>
      <c r="H1182" s="18">
        <v>3.0</v>
      </c>
      <c r="I1182" s="18" t="s">
        <v>36</v>
      </c>
      <c r="J1182" s="20"/>
      <c r="K1182" s="15" t="s">
        <v>3355</v>
      </c>
      <c r="L1182" s="15" t="s">
        <v>3356</v>
      </c>
      <c r="M1182" s="15" t="s">
        <v>22</v>
      </c>
      <c r="N1182" s="20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</row>
    <row r="1183">
      <c r="A1183" s="3" t="s">
        <v>14</v>
      </c>
      <c r="B1183" s="3" t="s">
        <v>3359</v>
      </c>
      <c r="C1183" s="3" t="s">
        <v>3360</v>
      </c>
      <c r="D1183" s="3" t="s">
        <v>3361</v>
      </c>
      <c r="E1183" s="3" t="s">
        <v>3362</v>
      </c>
      <c r="F1183" s="3" t="s">
        <v>349</v>
      </c>
      <c r="G1183" s="3" t="s">
        <v>1086</v>
      </c>
      <c r="H1183" s="4">
        <v>1.0</v>
      </c>
      <c r="I1183" s="4">
        <v>1.0</v>
      </c>
      <c r="J1183" s="5"/>
      <c r="K1183" s="3" t="s">
        <v>3363</v>
      </c>
      <c r="L1183" s="3" t="s">
        <v>3364</v>
      </c>
      <c r="M1183" s="3" t="s">
        <v>22</v>
      </c>
      <c r="N1183" s="5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 t="s">
        <v>14</v>
      </c>
      <c r="B1184" s="3" t="s">
        <v>3359</v>
      </c>
      <c r="C1184" s="3" t="s">
        <v>3360</v>
      </c>
      <c r="D1184" s="3" t="s">
        <v>3361</v>
      </c>
      <c r="E1184" s="3" t="s">
        <v>3362</v>
      </c>
      <c r="F1184" s="3" t="s">
        <v>214</v>
      </c>
      <c r="G1184" s="3" t="s">
        <v>2332</v>
      </c>
      <c r="H1184" s="4">
        <v>2.0</v>
      </c>
      <c r="I1184" s="4">
        <v>2.0</v>
      </c>
      <c r="J1184" s="5"/>
      <c r="K1184" s="3" t="s">
        <v>3363</v>
      </c>
      <c r="L1184" s="3" t="s">
        <v>3364</v>
      </c>
      <c r="M1184" s="3" t="s">
        <v>22</v>
      </c>
      <c r="N1184" s="5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 t="s">
        <v>14</v>
      </c>
      <c r="B1185" s="3" t="s">
        <v>3359</v>
      </c>
      <c r="C1185" s="3" t="s">
        <v>3360</v>
      </c>
      <c r="D1185" s="3" t="s">
        <v>3361</v>
      </c>
      <c r="E1185" s="3" t="s">
        <v>3362</v>
      </c>
      <c r="F1185" s="3" t="s">
        <v>387</v>
      </c>
      <c r="G1185" s="3" t="s">
        <v>387</v>
      </c>
      <c r="H1185" s="4">
        <v>3.0</v>
      </c>
      <c r="I1185" s="4">
        <v>3.0</v>
      </c>
      <c r="J1185" s="5"/>
      <c r="K1185" s="3" t="s">
        <v>3363</v>
      </c>
      <c r="L1185" s="3" t="s">
        <v>3364</v>
      </c>
      <c r="M1185" s="3" t="s">
        <v>22</v>
      </c>
      <c r="N1185" s="5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 t="s">
        <v>14</v>
      </c>
      <c r="B1186" s="3" t="s">
        <v>3365</v>
      </c>
      <c r="C1186" s="3" t="s">
        <v>3366</v>
      </c>
      <c r="D1186" s="3" t="s">
        <v>3367</v>
      </c>
      <c r="E1186" s="3" t="s">
        <v>3368</v>
      </c>
      <c r="F1186" s="3" t="s">
        <v>3369</v>
      </c>
      <c r="G1186" s="3" t="s">
        <v>370</v>
      </c>
      <c r="H1186" s="4">
        <v>1.0</v>
      </c>
      <c r="I1186" s="4">
        <v>1.0</v>
      </c>
      <c r="J1186" s="5"/>
      <c r="K1186" s="3" t="s">
        <v>3370</v>
      </c>
      <c r="L1186" s="3" t="s">
        <v>3371</v>
      </c>
      <c r="M1186" s="3" t="s">
        <v>22</v>
      </c>
      <c r="N1186" s="5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 t="s">
        <v>14</v>
      </c>
      <c r="B1187" s="3" t="s">
        <v>3365</v>
      </c>
      <c r="C1187" s="3" t="s">
        <v>3366</v>
      </c>
      <c r="D1187" s="3" t="s">
        <v>3367</v>
      </c>
      <c r="E1187" s="3" t="s">
        <v>3368</v>
      </c>
      <c r="F1187" s="3" t="s">
        <v>238</v>
      </c>
      <c r="G1187" s="3" t="s">
        <v>238</v>
      </c>
      <c r="H1187" s="4">
        <v>2.0</v>
      </c>
      <c r="I1187" s="4">
        <v>2.0</v>
      </c>
      <c r="J1187" s="5"/>
      <c r="K1187" s="3" t="s">
        <v>3370</v>
      </c>
      <c r="L1187" s="3" t="s">
        <v>3371</v>
      </c>
      <c r="M1187" s="3" t="s">
        <v>22</v>
      </c>
      <c r="N1187" s="5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 t="s">
        <v>14</v>
      </c>
      <c r="B1188" s="3" t="s">
        <v>3372</v>
      </c>
      <c r="C1188" s="3" t="s">
        <v>3373</v>
      </c>
      <c r="D1188" s="3" t="s">
        <v>3374</v>
      </c>
      <c r="E1188" s="3" t="s">
        <v>3375</v>
      </c>
      <c r="F1188" s="3" t="s">
        <v>108</v>
      </c>
      <c r="G1188" s="3" t="s">
        <v>175</v>
      </c>
      <c r="H1188" s="4">
        <v>1.0</v>
      </c>
      <c r="I1188" s="4">
        <v>1.0</v>
      </c>
      <c r="J1188" s="5"/>
      <c r="K1188" s="3" t="s">
        <v>3376</v>
      </c>
      <c r="L1188" s="3" t="s">
        <v>3377</v>
      </c>
      <c r="M1188" s="3" t="s">
        <v>22</v>
      </c>
      <c r="N1188" s="5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 t="s">
        <v>14</v>
      </c>
      <c r="B1189" s="3" t="s">
        <v>3372</v>
      </c>
      <c r="C1189" s="3" t="s">
        <v>3373</v>
      </c>
      <c r="D1189" s="3" t="s">
        <v>3374</v>
      </c>
      <c r="E1189" s="3" t="s">
        <v>3375</v>
      </c>
      <c r="F1189" s="3" t="s">
        <v>918</v>
      </c>
      <c r="G1189" s="3" t="s">
        <v>918</v>
      </c>
      <c r="H1189" s="4">
        <v>2.0</v>
      </c>
      <c r="I1189" s="4">
        <v>2.0</v>
      </c>
      <c r="J1189" s="5"/>
      <c r="K1189" s="3" t="s">
        <v>3376</v>
      </c>
      <c r="L1189" s="3" t="s">
        <v>3377</v>
      </c>
      <c r="M1189" s="3" t="s">
        <v>22</v>
      </c>
      <c r="N1189" s="5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 t="s">
        <v>14</v>
      </c>
      <c r="B1190" s="3" t="s">
        <v>3372</v>
      </c>
      <c r="C1190" s="3" t="s">
        <v>3373</v>
      </c>
      <c r="D1190" s="3" t="s">
        <v>3374</v>
      </c>
      <c r="E1190" s="3" t="s">
        <v>3375</v>
      </c>
      <c r="F1190" s="3" t="s">
        <v>296</v>
      </c>
      <c r="G1190" s="3" t="s">
        <v>296</v>
      </c>
      <c r="H1190" s="4">
        <v>3.0</v>
      </c>
      <c r="I1190" s="4">
        <v>3.0</v>
      </c>
      <c r="J1190" s="5"/>
      <c r="K1190" s="3" t="s">
        <v>3376</v>
      </c>
      <c r="L1190" s="3" t="s">
        <v>3377</v>
      </c>
      <c r="M1190" s="3" t="s">
        <v>22</v>
      </c>
      <c r="N1190" s="5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 t="s">
        <v>14</v>
      </c>
      <c r="B1191" s="3" t="s">
        <v>3378</v>
      </c>
      <c r="C1191" s="3" t="s">
        <v>3379</v>
      </c>
      <c r="D1191" s="3" t="s">
        <v>3380</v>
      </c>
      <c r="E1191" s="3" t="s">
        <v>3381</v>
      </c>
      <c r="F1191" s="3" t="s">
        <v>108</v>
      </c>
      <c r="G1191" s="3" t="s">
        <v>109</v>
      </c>
      <c r="H1191" s="4">
        <v>1.0</v>
      </c>
      <c r="I1191" s="4">
        <v>1.0</v>
      </c>
      <c r="J1191" s="3" t="s">
        <v>72</v>
      </c>
      <c r="K1191" s="3" t="s">
        <v>3382</v>
      </c>
      <c r="L1191" s="3" t="s">
        <v>3383</v>
      </c>
      <c r="M1191" s="3" t="s">
        <v>22</v>
      </c>
      <c r="N1191" s="5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 t="s">
        <v>14</v>
      </c>
      <c r="B1192" s="3" t="s">
        <v>3378</v>
      </c>
      <c r="C1192" s="3" t="s">
        <v>3379</v>
      </c>
      <c r="D1192" s="3" t="s">
        <v>3380</v>
      </c>
      <c r="E1192" s="3" t="s">
        <v>3381</v>
      </c>
      <c r="F1192" s="3" t="s">
        <v>197</v>
      </c>
      <c r="G1192" s="3" t="s">
        <v>36</v>
      </c>
      <c r="H1192" s="4">
        <v>2.0</v>
      </c>
      <c r="I1192" s="4" t="s">
        <v>36</v>
      </c>
      <c r="J1192" s="5"/>
      <c r="K1192" s="3" t="s">
        <v>3382</v>
      </c>
      <c r="L1192" s="3" t="s">
        <v>3383</v>
      </c>
      <c r="M1192" s="3" t="s">
        <v>22</v>
      </c>
      <c r="N1192" s="5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 t="s">
        <v>14</v>
      </c>
      <c r="B1193" s="3" t="s">
        <v>3378</v>
      </c>
      <c r="C1193" s="3" t="s">
        <v>3379</v>
      </c>
      <c r="D1193" s="3" t="s">
        <v>3380</v>
      </c>
      <c r="E1193" s="3" t="s">
        <v>3381</v>
      </c>
      <c r="F1193" s="3" t="s">
        <v>181</v>
      </c>
      <c r="G1193" s="3" t="s">
        <v>428</v>
      </c>
      <c r="H1193" s="4">
        <v>3.0</v>
      </c>
      <c r="I1193" s="4">
        <v>2.0</v>
      </c>
      <c r="J1193" s="3"/>
      <c r="K1193" s="3" t="s">
        <v>3382</v>
      </c>
      <c r="L1193" s="3" t="s">
        <v>3383</v>
      </c>
      <c r="M1193" s="3" t="s">
        <v>22</v>
      </c>
      <c r="N1193" s="5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 t="s">
        <v>14</v>
      </c>
      <c r="B1194" s="3" t="s">
        <v>3384</v>
      </c>
      <c r="C1194" s="3" t="s">
        <v>3385</v>
      </c>
      <c r="D1194" s="3" t="s">
        <v>3386</v>
      </c>
      <c r="E1194" s="3" t="s">
        <v>3387</v>
      </c>
      <c r="F1194" s="3" t="s">
        <v>194</v>
      </c>
      <c r="G1194" s="3" t="s">
        <v>810</v>
      </c>
      <c r="H1194" s="4">
        <v>1.0</v>
      </c>
      <c r="I1194" s="4">
        <v>1.0</v>
      </c>
      <c r="J1194" s="5"/>
      <c r="K1194" s="3" t="s">
        <v>3388</v>
      </c>
      <c r="L1194" s="3" t="s">
        <v>3389</v>
      </c>
      <c r="M1194" s="3" t="s">
        <v>22</v>
      </c>
      <c r="N1194" s="5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 t="s">
        <v>14</v>
      </c>
      <c r="B1195" s="3" t="s">
        <v>3384</v>
      </c>
      <c r="C1195" s="3" t="s">
        <v>3385</v>
      </c>
      <c r="D1195" s="3" t="s">
        <v>3386</v>
      </c>
      <c r="E1195" s="3" t="s">
        <v>3387</v>
      </c>
      <c r="F1195" s="3" t="s">
        <v>840</v>
      </c>
      <c r="G1195" s="3" t="s">
        <v>49</v>
      </c>
      <c r="H1195" s="4">
        <v>2.0</v>
      </c>
      <c r="I1195" s="4">
        <v>2.0</v>
      </c>
      <c r="J1195" s="5"/>
      <c r="K1195" s="3" t="s">
        <v>3388</v>
      </c>
      <c r="L1195" s="3" t="s">
        <v>3389</v>
      </c>
      <c r="M1195" s="3" t="s">
        <v>22</v>
      </c>
      <c r="N1195" s="5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 t="s">
        <v>14</v>
      </c>
      <c r="B1196" s="3" t="s">
        <v>3390</v>
      </c>
      <c r="C1196" s="3" t="s">
        <v>3391</v>
      </c>
      <c r="D1196" s="3" t="s">
        <v>3392</v>
      </c>
      <c r="E1196" s="3" t="s">
        <v>3393</v>
      </c>
      <c r="F1196" s="3" t="s">
        <v>614</v>
      </c>
      <c r="G1196" s="3" t="s">
        <v>1032</v>
      </c>
      <c r="H1196" s="4">
        <v>1.0</v>
      </c>
      <c r="I1196" s="4">
        <v>1.0</v>
      </c>
      <c r="J1196" s="5"/>
      <c r="K1196" s="3" t="s">
        <v>3394</v>
      </c>
      <c r="L1196" s="3" t="s">
        <v>3395</v>
      </c>
      <c r="M1196" s="3" t="s">
        <v>22</v>
      </c>
      <c r="N1196" s="5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 t="s">
        <v>14</v>
      </c>
      <c r="B1197" s="3" t="s">
        <v>3390</v>
      </c>
      <c r="C1197" s="3" t="s">
        <v>3391</v>
      </c>
      <c r="D1197" s="3" t="s">
        <v>3392</v>
      </c>
      <c r="E1197" s="3" t="s">
        <v>3393</v>
      </c>
      <c r="F1197" s="3" t="s">
        <v>840</v>
      </c>
      <c r="G1197" s="3" t="s">
        <v>840</v>
      </c>
      <c r="H1197" s="4">
        <v>2.0</v>
      </c>
      <c r="I1197" s="4">
        <v>2.0</v>
      </c>
      <c r="J1197" s="5"/>
      <c r="K1197" s="3" t="s">
        <v>3394</v>
      </c>
      <c r="L1197" s="3" t="s">
        <v>3395</v>
      </c>
      <c r="M1197" s="3" t="s">
        <v>22</v>
      </c>
      <c r="N1197" s="5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 t="s">
        <v>14</v>
      </c>
      <c r="B1198" s="3" t="s">
        <v>3396</v>
      </c>
      <c r="C1198" s="3" t="s">
        <v>3397</v>
      </c>
      <c r="D1198" s="3" t="s">
        <v>3398</v>
      </c>
      <c r="E1198" s="3" t="s">
        <v>3399</v>
      </c>
      <c r="F1198" s="3" t="s">
        <v>244</v>
      </c>
      <c r="G1198" s="3" t="s">
        <v>1686</v>
      </c>
      <c r="H1198" s="4">
        <v>1.0</v>
      </c>
      <c r="I1198" s="4">
        <v>1.0</v>
      </c>
      <c r="J1198" s="5"/>
      <c r="K1198" s="3" t="s">
        <v>3400</v>
      </c>
      <c r="L1198" s="3" t="s">
        <v>3401</v>
      </c>
      <c r="M1198" s="3" t="s">
        <v>22</v>
      </c>
      <c r="N1198" s="5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 t="s">
        <v>14</v>
      </c>
      <c r="B1199" s="3" t="s">
        <v>3396</v>
      </c>
      <c r="C1199" s="3" t="s">
        <v>3397</v>
      </c>
      <c r="D1199" s="3" t="s">
        <v>3398</v>
      </c>
      <c r="E1199" s="3" t="s">
        <v>3399</v>
      </c>
      <c r="F1199" s="3" t="s">
        <v>469</v>
      </c>
      <c r="G1199" s="3" t="s">
        <v>3402</v>
      </c>
      <c r="H1199" s="4">
        <v>2.0</v>
      </c>
      <c r="I1199" s="4">
        <v>2.0</v>
      </c>
      <c r="J1199" s="5"/>
      <c r="K1199" s="3" t="s">
        <v>3400</v>
      </c>
      <c r="L1199" s="3" t="s">
        <v>3401</v>
      </c>
      <c r="M1199" s="3" t="s">
        <v>22</v>
      </c>
      <c r="N1199" s="5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 t="s">
        <v>14</v>
      </c>
      <c r="B1200" s="3" t="s">
        <v>3403</v>
      </c>
      <c r="C1200" s="3" t="s">
        <v>3404</v>
      </c>
      <c r="D1200" s="3" t="s">
        <v>3405</v>
      </c>
      <c r="E1200" s="3" t="s">
        <v>3406</v>
      </c>
      <c r="F1200" s="3" t="s">
        <v>614</v>
      </c>
      <c r="G1200" s="3" t="s">
        <v>615</v>
      </c>
      <c r="H1200" s="4">
        <v>1.0</v>
      </c>
      <c r="I1200" s="4">
        <v>1.0</v>
      </c>
      <c r="J1200" s="5"/>
      <c r="K1200" s="3" t="s">
        <v>3407</v>
      </c>
      <c r="L1200" s="3" t="s">
        <v>3408</v>
      </c>
      <c r="M1200" s="3" t="s">
        <v>22</v>
      </c>
      <c r="N1200" s="5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 t="s">
        <v>14</v>
      </c>
      <c r="B1201" s="3" t="s">
        <v>3403</v>
      </c>
      <c r="C1201" s="3" t="s">
        <v>3404</v>
      </c>
      <c r="D1201" s="3" t="s">
        <v>3405</v>
      </c>
      <c r="E1201" s="3" t="s">
        <v>3406</v>
      </c>
      <c r="F1201" s="3" t="s">
        <v>116</v>
      </c>
      <c r="G1201" s="3" t="s">
        <v>116</v>
      </c>
      <c r="H1201" s="4">
        <v>2.0</v>
      </c>
      <c r="I1201" s="4">
        <v>2.0</v>
      </c>
      <c r="J1201" s="5"/>
      <c r="K1201" s="3" t="s">
        <v>3407</v>
      </c>
      <c r="L1201" s="3" t="s">
        <v>3408</v>
      </c>
      <c r="M1201" s="3" t="s">
        <v>22</v>
      </c>
      <c r="N1201" s="5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 t="s">
        <v>14</v>
      </c>
      <c r="B1202" s="3" t="s">
        <v>3409</v>
      </c>
      <c r="C1202" s="3" t="s">
        <v>3410</v>
      </c>
      <c r="D1202" s="3" t="s">
        <v>3411</v>
      </c>
      <c r="E1202" s="3" t="s">
        <v>3412</v>
      </c>
      <c r="F1202" s="3" t="s">
        <v>55</v>
      </c>
      <c r="G1202" s="3" t="s">
        <v>56</v>
      </c>
      <c r="H1202" s="4">
        <v>1.0</v>
      </c>
      <c r="I1202" s="4">
        <v>1.0</v>
      </c>
      <c r="J1202" s="5"/>
      <c r="K1202" s="3" t="s">
        <v>3413</v>
      </c>
      <c r="L1202" s="3" t="s">
        <v>3414</v>
      </c>
      <c r="M1202" s="3" t="s">
        <v>22</v>
      </c>
      <c r="N1202" s="5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 t="s">
        <v>14</v>
      </c>
      <c r="B1203" s="3" t="s">
        <v>3409</v>
      </c>
      <c r="C1203" s="3" t="s">
        <v>3410</v>
      </c>
      <c r="D1203" s="3" t="s">
        <v>3411</v>
      </c>
      <c r="E1203" s="3" t="s">
        <v>3412</v>
      </c>
      <c r="F1203" s="3" t="s">
        <v>214</v>
      </c>
      <c r="G1203" s="3" t="s">
        <v>3321</v>
      </c>
      <c r="H1203" s="4">
        <v>2.0</v>
      </c>
      <c r="I1203" s="4">
        <v>2.0</v>
      </c>
      <c r="J1203" s="5"/>
      <c r="K1203" s="3" t="s">
        <v>3413</v>
      </c>
      <c r="L1203" s="3" t="s">
        <v>3414</v>
      </c>
      <c r="M1203" s="3" t="s">
        <v>22</v>
      </c>
      <c r="N1203" s="5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 t="s">
        <v>14</v>
      </c>
      <c r="B1204" s="3" t="s">
        <v>3409</v>
      </c>
      <c r="C1204" s="3" t="s">
        <v>3410</v>
      </c>
      <c r="D1204" s="3" t="s">
        <v>3411</v>
      </c>
      <c r="E1204" s="3" t="s">
        <v>3412</v>
      </c>
      <c r="F1204" s="3" t="s">
        <v>387</v>
      </c>
      <c r="G1204" s="3" t="s">
        <v>387</v>
      </c>
      <c r="H1204" s="4">
        <v>3.0</v>
      </c>
      <c r="I1204" s="4">
        <v>3.0</v>
      </c>
      <c r="J1204" s="5"/>
      <c r="K1204" s="3" t="s">
        <v>3413</v>
      </c>
      <c r="L1204" s="3" t="s">
        <v>3414</v>
      </c>
      <c r="M1204" s="3" t="s">
        <v>22</v>
      </c>
      <c r="N1204" s="5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5" t="s">
        <v>14</v>
      </c>
      <c r="B1205" s="15" t="s">
        <v>3415</v>
      </c>
      <c r="C1205" s="15" t="s">
        <v>3416</v>
      </c>
      <c r="D1205" s="15" t="s">
        <v>3417</v>
      </c>
      <c r="E1205" s="15" t="s">
        <v>3418</v>
      </c>
      <c r="F1205" s="15" t="s">
        <v>19</v>
      </c>
      <c r="G1205" s="15" t="s">
        <v>19</v>
      </c>
      <c r="H1205" s="18">
        <v>1.0</v>
      </c>
      <c r="I1205" s="18">
        <v>1.0</v>
      </c>
      <c r="J1205" s="15" t="s">
        <v>80</v>
      </c>
      <c r="K1205" s="15" t="s">
        <v>3419</v>
      </c>
      <c r="L1205" s="15" t="s">
        <v>3419</v>
      </c>
      <c r="M1205" s="15" t="s">
        <v>22</v>
      </c>
      <c r="N1205" s="20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</row>
    <row r="1206">
      <c r="A1206" s="15" t="s">
        <v>14</v>
      </c>
      <c r="B1206" s="15" t="s">
        <v>3415</v>
      </c>
      <c r="C1206" s="15" t="s">
        <v>3416</v>
      </c>
      <c r="D1206" s="15" t="s">
        <v>3417</v>
      </c>
      <c r="E1206" s="15" t="s">
        <v>3418</v>
      </c>
      <c r="F1206" s="15" t="s">
        <v>1186</v>
      </c>
      <c r="G1206" s="15" t="s">
        <v>3420</v>
      </c>
      <c r="H1206" s="18">
        <v>2.0</v>
      </c>
      <c r="I1206" s="18">
        <v>2.0</v>
      </c>
      <c r="J1206" s="15"/>
      <c r="K1206" s="15" t="s">
        <v>3419</v>
      </c>
      <c r="L1206" s="15" t="s">
        <v>3419</v>
      </c>
      <c r="M1206" s="15" t="s">
        <v>22</v>
      </c>
      <c r="N1206" s="20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</row>
    <row r="1207">
      <c r="A1207" s="15" t="s">
        <v>14</v>
      </c>
      <c r="B1207" s="15" t="s">
        <v>3415</v>
      </c>
      <c r="C1207" s="15" t="s">
        <v>3416</v>
      </c>
      <c r="D1207" s="15" t="s">
        <v>3417</v>
      </c>
      <c r="E1207" s="15" t="s">
        <v>3418</v>
      </c>
      <c r="F1207" s="15" t="s">
        <v>175</v>
      </c>
      <c r="G1207" s="15" t="s">
        <v>175</v>
      </c>
      <c r="H1207" s="18">
        <v>3.0</v>
      </c>
      <c r="I1207" s="18">
        <v>3.0</v>
      </c>
      <c r="J1207" s="20"/>
      <c r="K1207" s="15" t="s">
        <v>3419</v>
      </c>
      <c r="L1207" s="15" t="s">
        <v>3419</v>
      </c>
      <c r="M1207" s="15" t="s">
        <v>22</v>
      </c>
      <c r="N1207" s="20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</row>
    <row r="1208">
      <c r="A1208" s="3" t="s">
        <v>14</v>
      </c>
      <c r="B1208" s="3" t="s">
        <v>3421</v>
      </c>
      <c r="C1208" s="3" t="s">
        <v>3422</v>
      </c>
      <c r="D1208" s="3" t="s">
        <v>3423</v>
      </c>
      <c r="E1208" s="3" t="s">
        <v>3424</v>
      </c>
      <c r="F1208" s="3" t="s">
        <v>386</v>
      </c>
      <c r="G1208" s="3" t="s">
        <v>190</v>
      </c>
      <c r="H1208" s="4">
        <v>1.0</v>
      </c>
      <c r="I1208" s="4">
        <v>1.0</v>
      </c>
      <c r="J1208" s="3" t="s">
        <v>72</v>
      </c>
      <c r="K1208" s="3" t="s">
        <v>3425</v>
      </c>
      <c r="L1208" s="3" t="s">
        <v>3426</v>
      </c>
      <c r="M1208" s="3" t="s">
        <v>22</v>
      </c>
      <c r="N1208" s="5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 t="s">
        <v>14</v>
      </c>
      <c r="B1209" s="3" t="s">
        <v>3421</v>
      </c>
      <c r="C1209" s="3" t="s">
        <v>3422</v>
      </c>
      <c r="D1209" s="3" t="s">
        <v>3423</v>
      </c>
      <c r="E1209" s="3" t="s">
        <v>3424</v>
      </c>
      <c r="F1209" s="3" t="s">
        <v>70</v>
      </c>
      <c r="G1209" s="3" t="s">
        <v>3427</v>
      </c>
      <c r="H1209" s="4">
        <v>2.0</v>
      </c>
      <c r="I1209" s="4">
        <v>2.0</v>
      </c>
      <c r="J1209" s="3"/>
      <c r="K1209" s="3" t="s">
        <v>3425</v>
      </c>
      <c r="L1209" s="3" t="s">
        <v>3426</v>
      </c>
      <c r="M1209" s="3" t="s">
        <v>22</v>
      </c>
      <c r="N1209" s="5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5" t="s">
        <v>14</v>
      </c>
      <c r="B1210" s="15" t="s">
        <v>2092</v>
      </c>
      <c r="C1210" s="15" t="s">
        <v>3428</v>
      </c>
      <c r="D1210" s="15" t="s">
        <v>2092</v>
      </c>
      <c r="E1210" s="15" t="s">
        <v>3429</v>
      </c>
      <c r="F1210" s="15"/>
      <c r="G1210" s="15"/>
      <c r="H1210" s="18"/>
      <c r="I1210" s="30"/>
      <c r="J1210" s="20"/>
      <c r="K1210" s="15" t="s">
        <v>3430</v>
      </c>
      <c r="L1210" s="15" t="s">
        <v>3431</v>
      </c>
      <c r="M1210" s="15" t="s">
        <v>22</v>
      </c>
      <c r="N1210" s="15" t="s">
        <v>560</v>
      </c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</row>
    <row r="1211">
      <c r="A1211" s="3" t="s">
        <v>14</v>
      </c>
      <c r="B1211" s="3" t="s">
        <v>3432</v>
      </c>
      <c r="C1211" s="3" t="s">
        <v>3433</v>
      </c>
      <c r="D1211" s="3" t="s">
        <v>3434</v>
      </c>
      <c r="E1211" s="3" t="s">
        <v>3435</v>
      </c>
      <c r="F1211" s="3" t="s">
        <v>3436</v>
      </c>
      <c r="G1211" s="3" t="s">
        <v>3437</v>
      </c>
      <c r="H1211" s="4">
        <v>1.0</v>
      </c>
      <c r="I1211" s="4">
        <v>1.0</v>
      </c>
      <c r="J1211" s="5"/>
      <c r="K1211" s="3" t="s">
        <v>3431</v>
      </c>
      <c r="L1211" s="3" t="s">
        <v>3438</v>
      </c>
      <c r="M1211" s="3" t="s">
        <v>22</v>
      </c>
      <c r="N1211" s="5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 t="s">
        <v>14</v>
      </c>
      <c r="B1212" s="3" t="s">
        <v>3432</v>
      </c>
      <c r="C1212" s="3" t="s">
        <v>3433</v>
      </c>
      <c r="D1212" s="3" t="s">
        <v>3434</v>
      </c>
      <c r="E1212" s="3" t="s">
        <v>3435</v>
      </c>
      <c r="F1212" s="3" t="s">
        <v>848</v>
      </c>
      <c r="G1212" s="3" t="s">
        <v>987</v>
      </c>
      <c r="H1212" s="4">
        <v>2.0</v>
      </c>
      <c r="I1212" s="4">
        <v>2.0</v>
      </c>
      <c r="J1212" s="5"/>
      <c r="K1212" s="3" t="s">
        <v>3431</v>
      </c>
      <c r="L1212" s="3" t="s">
        <v>3438</v>
      </c>
      <c r="M1212" s="3" t="s">
        <v>22</v>
      </c>
      <c r="N1212" s="5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 t="s">
        <v>14</v>
      </c>
      <c r="B1213" s="3" t="s">
        <v>3432</v>
      </c>
      <c r="C1213" s="3" t="s">
        <v>3433</v>
      </c>
      <c r="D1213" s="3" t="s">
        <v>3434</v>
      </c>
      <c r="E1213" s="3" t="s">
        <v>3435</v>
      </c>
      <c r="F1213" s="3" t="s">
        <v>233</v>
      </c>
      <c r="G1213" s="3" t="s">
        <v>1234</v>
      </c>
      <c r="H1213" s="4">
        <v>3.0</v>
      </c>
      <c r="I1213" s="4">
        <v>3.0</v>
      </c>
      <c r="J1213" s="5"/>
      <c r="K1213" s="3" t="s">
        <v>3431</v>
      </c>
      <c r="L1213" s="3" t="s">
        <v>3438</v>
      </c>
      <c r="M1213" s="3" t="s">
        <v>22</v>
      </c>
      <c r="N1213" s="5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 t="s">
        <v>14</v>
      </c>
      <c r="B1214" s="3" t="s">
        <v>3439</v>
      </c>
      <c r="C1214" s="3" t="s">
        <v>3440</v>
      </c>
      <c r="D1214" s="3" t="s">
        <v>3441</v>
      </c>
      <c r="E1214" s="3" t="s">
        <v>3442</v>
      </c>
      <c r="F1214" s="3" t="s">
        <v>437</v>
      </c>
      <c r="G1214" s="3" t="s">
        <v>1599</v>
      </c>
      <c r="H1214" s="4">
        <v>1.0</v>
      </c>
      <c r="I1214" s="4">
        <v>1.0</v>
      </c>
      <c r="J1214" s="3" t="s">
        <v>80</v>
      </c>
      <c r="K1214" s="3" t="s">
        <v>3443</v>
      </c>
      <c r="L1214" s="3" t="s">
        <v>3443</v>
      </c>
      <c r="M1214" s="3" t="s">
        <v>22</v>
      </c>
      <c r="N1214" s="5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 t="s">
        <v>14</v>
      </c>
      <c r="B1215" s="3" t="s">
        <v>3439</v>
      </c>
      <c r="C1215" s="3" t="s">
        <v>3440</v>
      </c>
      <c r="D1215" s="3" t="s">
        <v>3441</v>
      </c>
      <c r="E1215" s="3" t="s">
        <v>3442</v>
      </c>
      <c r="F1215" s="3" t="s">
        <v>784</v>
      </c>
      <c r="G1215" s="3" t="s">
        <v>784</v>
      </c>
      <c r="H1215" s="4">
        <v>2.0</v>
      </c>
      <c r="I1215" s="4">
        <v>2.0</v>
      </c>
      <c r="J1215" s="3"/>
      <c r="K1215" s="3" t="s">
        <v>3443</v>
      </c>
      <c r="L1215" s="3" t="s">
        <v>3443</v>
      </c>
      <c r="M1215" s="3" t="s">
        <v>22</v>
      </c>
      <c r="N1215" s="5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 t="s">
        <v>14</v>
      </c>
      <c r="B1216" s="3" t="s">
        <v>3439</v>
      </c>
      <c r="C1216" s="3" t="s">
        <v>3440</v>
      </c>
      <c r="D1216" s="3" t="s">
        <v>3441</v>
      </c>
      <c r="E1216" s="3" t="s">
        <v>3442</v>
      </c>
      <c r="F1216" s="3" t="s">
        <v>629</v>
      </c>
      <c r="G1216" s="3" t="s">
        <v>3444</v>
      </c>
      <c r="H1216" s="4">
        <v>3.0</v>
      </c>
      <c r="I1216" s="4">
        <v>3.0</v>
      </c>
      <c r="J1216" s="3"/>
      <c r="K1216" s="3" t="s">
        <v>3443</v>
      </c>
      <c r="L1216" s="3" t="s">
        <v>3443</v>
      </c>
      <c r="M1216" s="3" t="s">
        <v>22</v>
      </c>
      <c r="N1216" s="5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 t="s">
        <v>14</v>
      </c>
      <c r="B1217" s="3" t="s">
        <v>3445</v>
      </c>
      <c r="C1217" s="3" t="s">
        <v>3446</v>
      </c>
      <c r="D1217" s="3" t="s">
        <v>3447</v>
      </c>
      <c r="E1217" s="3" t="s">
        <v>3448</v>
      </c>
      <c r="F1217" s="3" t="s">
        <v>2013</v>
      </c>
      <c r="G1217" s="3" t="s">
        <v>3449</v>
      </c>
      <c r="H1217" s="4">
        <v>1.0</v>
      </c>
      <c r="I1217" s="4">
        <v>1.0</v>
      </c>
      <c r="J1217" s="3" t="s">
        <v>72</v>
      </c>
      <c r="K1217" s="3" t="s">
        <v>3450</v>
      </c>
      <c r="L1217" s="3" t="s">
        <v>3451</v>
      </c>
      <c r="M1217" s="3" t="s">
        <v>22</v>
      </c>
      <c r="N1217" s="5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 t="s">
        <v>14</v>
      </c>
      <c r="B1218" s="3" t="s">
        <v>3445</v>
      </c>
      <c r="C1218" s="3" t="s">
        <v>3446</v>
      </c>
      <c r="D1218" s="3" t="s">
        <v>3447</v>
      </c>
      <c r="E1218" s="3" t="s">
        <v>3448</v>
      </c>
      <c r="F1218" s="3" t="s">
        <v>1807</v>
      </c>
      <c r="G1218" s="3" t="s">
        <v>784</v>
      </c>
      <c r="H1218" s="4">
        <v>2.0</v>
      </c>
      <c r="I1218" s="4">
        <v>2.0</v>
      </c>
      <c r="J1218" s="5"/>
      <c r="K1218" s="3" t="s">
        <v>3450</v>
      </c>
      <c r="L1218" s="3" t="s">
        <v>3451</v>
      </c>
      <c r="M1218" s="3" t="s">
        <v>22</v>
      </c>
      <c r="N1218" s="5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 t="s">
        <v>14</v>
      </c>
      <c r="B1219" s="3" t="s">
        <v>3445</v>
      </c>
      <c r="C1219" s="3" t="s">
        <v>3446</v>
      </c>
      <c r="D1219" s="3" t="s">
        <v>3447</v>
      </c>
      <c r="E1219" s="3" t="s">
        <v>3448</v>
      </c>
      <c r="F1219" s="3" t="s">
        <v>194</v>
      </c>
      <c r="G1219" s="3" t="s">
        <v>194</v>
      </c>
      <c r="H1219" s="4">
        <v>3.0</v>
      </c>
      <c r="I1219" s="4">
        <v>3.0</v>
      </c>
      <c r="J1219" s="5"/>
      <c r="K1219" s="3" t="s">
        <v>3450</v>
      </c>
      <c r="L1219" s="3" t="s">
        <v>3451</v>
      </c>
      <c r="M1219" s="3" t="s">
        <v>22</v>
      </c>
      <c r="N1219" s="5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5" t="s">
        <v>14</v>
      </c>
      <c r="B1220" s="15" t="s">
        <v>3452</v>
      </c>
      <c r="C1220" s="15" t="s">
        <v>3453</v>
      </c>
      <c r="D1220" s="15" t="s">
        <v>3454</v>
      </c>
      <c r="E1220" s="15" t="s">
        <v>3455</v>
      </c>
      <c r="F1220" s="15" t="s">
        <v>801</v>
      </c>
      <c r="G1220" s="15" t="s">
        <v>3456</v>
      </c>
      <c r="H1220" s="18">
        <v>1.0</v>
      </c>
      <c r="I1220" s="18">
        <v>1.0</v>
      </c>
      <c r="J1220" s="20"/>
      <c r="K1220" s="15" t="s">
        <v>3457</v>
      </c>
      <c r="L1220" s="15" t="s">
        <v>3458</v>
      </c>
      <c r="M1220" s="15" t="s">
        <v>22</v>
      </c>
      <c r="N1220" s="20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</row>
    <row r="1221">
      <c r="A1221" s="15" t="s">
        <v>14</v>
      </c>
      <c r="B1221" s="15" t="s">
        <v>3452</v>
      </c>
      <c r="C1221" s="15" t="s">
        <v>3453</v>
      </c>
      <c r="D1221" s="15" t="s">
        <v>3454</v>
      </c>
      <c r="E1221" s="15" t="s">
        <v>3455</v>
      </c>
      <c r="F1221" s="15" t="s">
        <v>362</v>
      </c>
      <c r="G1221" s="15" t="s">
        <v>128</v>
      </c>
      <c r="H1221" s="18">
        <v>2.0</v>
      </c>
      <c r="I1221" s="18">
        <v>2.0</v>
      </c>
      <c r="J1221" s="20"/>
      <c r="K1221" s="15" t="s">
        <v>3457</v>
      </c>
      <c r="L1221" s="15" t="s">
        <v>3458</v>
      </c>
      <c r="M1221" s="15" t="s">
        <v>22</v>
      </c>
      <c r="N1221" s="20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</row>
    <row r="1222">
      <c r="A1222" s="15" t="s">
        <v>14</v>
      </c>
      <c r="B1222" s="15" t="s">
        <v>3452</v>
      </c>
      <c r="C1222" s="15" t="s">
        <v>3453</v>
      </c>
      <c r="D1222" s="15" t="s">
        <v>3454</v>
      </c>
      <c r="E1222" s="15" t="s">
        <v>3455</v>
      </c>
      <c r="F1222" s="15" t="s">
        <v>1541</v>
      </c>
      <c r="G1222" s="15" t="s">
        <v>1396</v>
      </c>
      <c r="H1222" s="18">
        <v>3.0</v>
      </c>
      <c r="I1222" s="18">
        <v>3.0</v>
      </c>
      <c r="J1222" s="20"/>
      <c r="K1222" s="15" t="s">
        <v>3457</v>
      </c>
      <c r="L1222" s="15" t="s">
        <v>3458</v>
      </c>
      <c r="M1222" s="15" t="s">
        <v>22</v>
      </c>
      <c r="N1222" s="20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</row>
    <row r="1223">
      <c r="A1223" s="15" t="s">
        <v>14</v>
      </c>
      <c r="B1223" s="15" t="s">
        <v>3452</v>
      </c>
      <c r="C1223" s="15" t="s">
        <v>3453</v>
      </c>
      <c r="D1223" s="15" t="s">
        <v>3454</v>
      </c>
      <c r="E1223" s="15" t="s">
        <v>3455</v>
      </c>
      <c r="F1223" s="15" t="s">
        <v>629</v>
      </c>
      <c r="G1223" s="15" t="s">
        <v>3459</v>
      </c>
      <c r="H1223" s="18">
        <v>4.0</v>
      </c>
      <c r="I1223" s="18">
        <v>4.0</v>
      </c>
      <c r="J1223" s="20"/>
      <c r="K1223" s="15" t="s">
        <v>3457</v>
      </c>
      <c r="L1223" s="15" t="s">
        <v>3458</v>
      </c>
      <c r="M1223" s="15" t="s">
        <v>22</v>
      </c>
      <c r="N1223" s="20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</row>
    <row r="1224">
      <c r="A1224" s="3" t="s">
        <v>14</v>
      </c>
      <c r="B1224" s="3" t="s">
        <v>3460</v>
      </c>
      <c r="C1224" s="3" t="s">
        <v>3461</v>
      </c>
      <c r="D1224" s="3" t="s">
        <v>3460</v>
      </c>
      <c r="E1224" s="3" t="s">
        <v>3462</v>
      </c>
      <c r="F1224" s="3" t="s">
        <v>3460</v>
      </c>
      <c r="G1224" s="3" t="s">
        <v>172</v>
      </c>
      <c r="H1224" s="4">
        <v>1.0</v>
      </c>
      <c r="I1224" s="4">
        <v>1.0</v>
      </c>
      <c r="J1224" s="3" t="s">
        <v>80</v>
      </c>
      <c r="K1224" s="3" t="s">
        <v>3463</v>
      </c>
      <c r="L1224" s="3" t="s">
        <v>3464</v>
      </c>
      <c r="M1224" s="3" t="s">
        <v>22</v>
      </c>
      <c r="N1224" s="5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 t="s">
        <v>14</v>
      </c>
      <c r="B1225" s="3" t="s">
        <v>3460</v>
      </c>
      <c r="C1225" s="3" t="s">
        <v>3461</v>
      </c>
      <c r="D1225" s="3" t="s">
        <v>3460</v>
      </c>
      <c r="E1225" s="3" t="s">
        <v>3462</v>
      </c>
      <c r="F1225" s="3" t="s">
        <v>36</v>
      </c>
      <c r="G1225" s="3" t="s">
        <v>3465</v>
      </c>
      <c r="H1225" s="4" t="s">
        <v>36</v>
      </c>
      <c r="I1225" s="4">
        <v>2.0</v>
      </c>
      <c r="J1225" s="3"/>
      <c r="K1225" s="3" t="s">
        <v>3463</v>
      </c>
      <c r="L1225" s="3" t="s">
        <v>3464</v>
      </c>
      <c r="M1225" s="3" t="s">
        <v>22</v>
      </c>
      <c r="N1225" s="5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 t="s">
        <v>14</v>
      </c>
      <c r="B1226" s="3" t="s">
        <v>3460</v>
      </c>
      <c r="C1226" s="3" t="s">
        <v>3461</v>
      </c>
      <c r="D1226" s="3" t="s">
        <v>3460</v>
      </c>
      <c r="E1226" s="3" t="s">
        <v>3462</v>
      </c>
      <c r="F1226" s="3" t="s">
        <v>36</v>
      </c>
      <c r="G1226" s="3" t="s">
        <v>1983</v>
      </c>
      <c r="H1226" s="4" t="s">
        <v>36</v>
      </c>
      <c r="I1226" s="4">
        <v>3.0</v>
      </c>
      <c r="J1226" s="3"/>
      <c r="K1226" s="3" t="s">
        <v>3463</v>
      </c>
      <c r="L1226" s="3" t="s">
        <v>3464</v>
      </c>
      <c r="M1226" s="3" t="s">
        <v>22</v>
      </c>
      <c r="N1226" s="5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 t="s">
        <v>14</v>
      </c>
      <c r="B1227" s="3" t="s">
        <v>3466</v>
      </c>
      <c r="C1227" s="3" t="s">
        <v>3467</v>
      </c>
      <c r="D1227" s="3" t="s">
        <v>3468</v>
      </c>
      <c r="E1227" s="3" t="s">
        <v>3469</v>
      </c>
      <c r="F1227" s="3" t="s">
        <v>1163</v>
      </c>
      <c r="G1227" s="3" t="s">
        <v>79</v>
      </c>
      <c r="H1227" s="4">
        <v>1.0</v>
      </c>
      <c r="I1227" s="4">
        <v>1.0</v>
      </c>
      <c r="J1227" s="5"/>
      <c r="K1227" s="3" t="s">
        <v>3470</v>
      </c>
      <c r="L1227" s="3" t="s">
        <v>3470</v>
      </c>
      <c r="M1227" s="3" t="s">
        <v>22</v>
      </c>
      <c r="N1227" s="5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 t="s">
        <v>14</v>
      </c>
      <c r="B1228" s="3" t="s">
        <v>3466</v>
      </c>
      <c r="C1228" s="3" t="s">
        <v>3467</v>
      </c>
      <c r="D1228" s="3" t="s">
        <v>3468</v>
      </c>
      <c r="E1228" s="3" t="s">
        <v>3469</v>
      </c>
      <c r="F1228" s="3" t="s">
        <v>2279</v>
      </c>
      <c r="G1228" s="3" t="s">
        <v>3471</v>
      </c>
      <c r="H1228" s="4">
        <v>2.0</v>
      </c>
      <c r="I1228" s="4">
        <v>2.0</v>
      </c>
      <c r="J1228" s="5"/>
      <c r="K1228" s="3" t="s">
        <v>3470</v>
      </c>
      <c r="L1228" s="3" t="s">
        <v>3470</v>
      </c>
      <c r="M1228" s="3" t="s">
        <v>22</v>
      </c>
      <c r="N1228" s="5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 t="s">
        <v>14</v>
      </c>
      <c r="B1229" s="3" t="s">
        <v>3472</v>
      </c>
      <c r="C1229" s="3" t="s">
        <v>3473</v>
      </c>
      <c r="D1229" s="3" t="s">
        <v>3474</v>
      </c>
      <c r="E1229" s="3" t="s">
        <v>3475</v>
      </c>
      <c r="F1229" s="3" t="s">
        <v>1210</v>
      </c>
      <c r="G1229" s="3" t="s">
        <v>1217</v>
      </c>
      <c r="H1229" s="4">
        <v>1.0</v>
      </c>
      <c r="I1229" s="4">
        <v>1.0</v>
      </c>
      <c r="J1229" s="5"/>
      <c r="K1229" s="3" t="s">
        <v>3476</v>
      </c>
      <c r="L1229" s="3" t="s">
        <v>3477</v>
      </c>
      <c r="M1229" s="3" t="s">
        <v>22</v>
      </c>
      <c r="N1229" s="5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 t="s">
        <v>14</v>
      </c>
      <c r="B1230" s="3" t="s">
        <v>3472</v>
      </c>
      <c r="C1230" s="3" t="s">
        <v>3473</v>
      </c>
      <c r="D1230" s="3" t="s">
        <v>3474</v>
      </c>
      <c r="E1230" s="3" t="s">
        <v>3475</v>
      </c>
      <c r="F1230" s="3" t="s">
        <v>2424</v>
      </c>
      <c r="G1230" s="3" t="s">
        <v>2424</v>
      </c>
      <c r="H1230" s="4">
        <v>2.0</v>
      </c>
      <c r="I1230" s="4">
        <v>2.0</v>
      </c>
      <c r="J1230" s="5"/>
      <c r="K1230" s="3" t="s">
        <v>3476</v>
      </c>
      <c r="L1230" s="3" t="s">
        <v>3477</v>
      </c>
      <c r="M1230" s="3" t="s">
        <v>22</v>
      </c>
      <c r="N1230" s="5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 t="s">
        <v>14</v>
      </c>
      <c r="B1231" s="3" t="s">
        <v>3472</v>
      </c>
      <c r="C1231" s="3" t="s">
        <v>3473</v>
      </c>
      <c r="D1231" s="3" t="s">
        <v>3474</v>
      </c>
      <c r="E1231" s="3" t="s">
        <v>3475</v>
      </c>
      <c r="F1231" s="3" t="s">
        <v>65</v>
      </c>
      <c r="G1231" s="3" t="s">
        <v>65</v>
      </c>
      <c r="H1231" s="4">
        <v>3.0</v>
      </c>
      <c r="I1231" s="4">
        <v>3.0</v>
      </c>
      <c r="J1231" s="5"/>
      <c r="K1231" s="3" t="s">
        <v>3476</v>
      </c>
      <c r="L1231" s="3" t="s">
        <v>3477</v>
      </c>
      <c r="M1231" s="3" t="s">
        <v>22</v>
      </c>
      <c r="N1231" s="5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5" t="s">
        <v>14</v>
      </c>
      <c r="B1232" s="15" t="s">
        <v>3478</v>
      </c>
      <c r="C1232" s="15" t="s">
        <v>3479</v>
      </c>
      <c r="D1232" s="15" t="s">
        <v>3480</v>
      </c>
      <c r="E1232" s="15" t="s">
        <v>3481</v>
      </c>
      <c r="F1232" s="15" t="s">
        <v>425</v>
      </c>
      <c r="G1232" s="15" t="s">
        <v>175</v>
      </c>
      <c r="H1232" s="18">
        <v>1.0</v>
      </c>
      <c r="I1232" s="18">
        <v>1.0</v>
      </c>
      <c r="J1232" s="15" t="s">
        <v>80</v>
      </c>
      <c r="K1232" s="15" t="s">
        <v>3482</v>
      </c>
      <c r="L1232" s="15" t="s">
        <v>3483</v>
      </c>
      <c r="M1232" s="15" t="s">
        <v>22</v>
      </c>
      <c r="N1232" s="20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</row>
    <row r="1233">
      <c r="A1233" s="15" t="s">
        <v>14</v>
      </c>
      <c r="B1233" s="15" t="s">
        <v>3478</v>
      </c>
      <c r="C1233" s="15" t="s">
        <v>3479</v>
      </c>
      <c r="D1233" s="15" t="s">
        <v>3480</v>
      </c>
      <c r="E1233" s="15" t="s">
        <v>3481</v>
      </c>
      <c r="F1233" s="15" t="s">
        <v>1830</v>
      </c>
      <c r="G1233" s="15" t="s">
        <v>918</v>
      </c>
      <c r="H1233" s="18">
        <v>2.0</v>
      </c>
      <c r="I1233" s="18">
        <v>2.0</v>
      </c>
      <c r="J1233" s="15"/>
      <c r="K1233" s="15" t="s">
        <v>3482</v>
      </c>
      <c r="L1233" s="15" t="s">
        <v>3483</v>
      </c>
      <c r="M1233" s="15" t="s">
        <v>22</v>
      </c>
      <c r="N1233" s="20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</row>
    <row r="1234">
      <c r="A1234" s="15" t="s">
        <v>14</v>
      </c>
      <c r="B1234" s="15" t="s">
        <v>3478</v>
      </c>
      <c r="C1234" s="15" t="s">
        <v>3479</v>
      </c>
      <c r="D1234" s="15" t="s">
        <v>3480</v>
      </c>
      <c r="E1234" s="15" t="s">
        <v>3481</v>
      </c>
      <c r="F1234" s="15" t="s">
        <v>36</v>
      </c>
      <c r="G1234" s="15" t="s">
        <v>1899</v>
      </c>
      <c r="H1234" s="18" t="s">
        <v>36</v>
      </c>
      <c r="I1234" s="18">
        <v>3.0</v>
      </c>
      <c r="J1234" s="20"/>
      <c r="K1234" s="15" t="s">
        <v>3482</v>
      </c>
      <c r="L1234" s="15" t="s">
        <v>3483</v>
      </c>
      <c r="M1234" s="15" t="s">
        <v>22</v>
      </c>
      <c r="N1234" s="20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</row>
    <row r="1235">
      <c r="A1235" s="3" t="s">
        <v>14</v>
      </c>
      <c r="B1235" s="3" t="s">
        <v>3484</v>
      </c>
      <c r="C1235" s="3" t="s">
        <v>3485</v>
      </c>
      <c r="D1235" s="3" t="s">
        <v>3486</v>
      </c>
      <c r="E1235" s="3" t="s">
        <v>3487</v>
      </c>
      <c r="F1235" s="3" t="s">
        <v>131</v>
      </c>
      <c r="G1235" s="3" t="s">
        <v>132</v>
      </c>
      <c r="H1235" s="4">
        <v>1.0</v>
      </c>
      <c r="I1235" s="4">
        <v>1.0</v>
      </c>
      <c r="J1235" s="5"/>
      <c r="K1235" s="3" t="s">
        <v>3488</v>
      </c>
      <c r="L1235" s="3" t="s">
        <v>3489</v>
      </c>
      <c r="M1235" s="3" t="s">
        <v>22</v>
      </c>
      <c r="N1235" s="5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 t="s">
        <v>14</v>
      </c>
      <c r="B1236" s="3" t="s">
        <v>3484</v>
      </c>
      <c r="C1236" s="3" t="s">
        <v>3485</v>
      </c>
      <c r="D1236" s="3" t="s">
        <v>3486</v>
      </c>
      <c r="E1236" s="3" t="s">
        <v>3487</v>
      </c>
      <c r="F1236" s="3" t="s">
        <v>238</v>
      </c>
      <c r="G1236" s="3" t="s">
        <v>238</v>
      </c>
      <c r="H1236" s="4">
        <v>2.0</v>
      </c>
      <c r="I1236" s="4">
        <v>2.0</v>
      </c>
      <c r="J1236" s="5"/>
      <c r="K1236" s="3" t="s">
        <v>3488</v>
      </c>
      <c r="L1236" s="3" t="s">
        <v>3489</v>
      </c>
      <c r="M1236" s="3" t="s">
        <v>22</v>
      </c>
      <c r="N1236" s="5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 t="s">
        <v>14</v>
      </c>
      <c r="B1237" s="3" t="s">
        <v>3490</v>
      </c>
      <c r="C1237" s="3" t="s">
        <v>3491</v>
      </c>
      <c r="D1237" s="3" t="s">
        <v>3492</v>
      </c>
      <c r="E1237" s="3" t="s">
        <v>3493</v>
      </c>
      <c r="F1237" s="3" t="s">
        <v>108</v>
      </c>
      <c r="G1237" s="3" t="s">
        <v>175</v>
      </c>
      <c r="H1237" s="4">
        <v>1.0</v>
      </c>
      <c r="I1237" s="4">
        <v>1.0</v>
      </c>
      <c r="J1237" s="5"/>
      <c r="K1237" s="3" t="s">
        <v>3494</v>
      </c>
      <c r="L1237" s="3" t="s">
        <v>3495</v>
      </c>
      <c r="M1237" s="3" t="s">
        <v>22</v>
      </c>
      <c r="N1237" s="5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 t="s">
        <v>14</v>
      </c>
      <c r="B1238" s="3" t="s">
        <v>3490</v>
      </c>
      <c r="C1238" s="3" t="s">
        <v>3491</v>
      </c>
      <c r="D1238" s="3" t="s">
        <v>3492</v>
      </c>
      <c r="E1238" s="3" t="s">
        <v>3493</v>
      </c>
      <c r="F1238" s="3" t="s">
        <v>2272</v>
      </c>
      <c r="G1238" s="3" t="s">
        <v>296</v>
      </c>
      <c r="H1238" s="4">
        <v>2.0</v>
      </c>
      <c r="I1238" s="4">
        <v>2.0</v>
      </c>
      <c r="J1238" s="5"/>
      <c r="K1238" s="3" t="s">
        <v>3494</v>
      </c>
      <c r="L1238" s="3" t="s">
        <v>3495</v>
      </c>
      <c r="M1238" s="3" t="s">
        <v>22</v>
      </c>
      <c r="N1238" s="5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 t="s">
        <v>14</v>
      </c>
      <c r="B1239" s="3" t="s">
        <v>3490</v>
      </c>
      <c r="C1239" s="3" t="s">
        <v>3491</v>
      </c>
      <c r="D1239" s="3" t="s">
        <v>3492</v>
      </c>
      <c r="E1239" s="3" t="s">
        <v>3493</v>
      </c>
      <c r="F1239" s="3" t="s">
        <v>1478</v>
      </c>
      <c r="G1239" s="3" t="s">
        <v>1478</v>
      </c>
      <c r="H1239" s="4">
        <v>3.0</v>
      </c>
      <c r="I1239" s="4">
        <v>3.0</v>
      </c>
      <c r="J1239" s="5"/>
      <c r="K1239" s="3" t="s">
        <v>3494</v>
      </c>
      <c r="L1239" s="3" t="s">
        <v>3495</v>
      </c>
      <c r="M1239" s="3" t="s">
        <v>22</v>
      </c>
      <c r="N1239" s="5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 t="s">
        <v>14</v>
      </c>
      <c r="B1240" s="3" t="s">
        <v>3490</v>
      </c>
      <c r="C1240" s="3" t="s">
        <v>3491</v>
      </c>
      <c r="D1240" s="3" t="s">
        <v>3492</v>
      </c>
      <c r="E1240" s="3" t="s">
        <v>3493</v>
      </c>
      <c r="F1240" s="3" t="s">
        <v>784</v>
      </c>
      <c r="G1240" s="3" t="s">
        <v>784</v>
      </c>
      <c r="H1240" s="4">
        <v>4.0</v>
      </c>
      <c r="I1240" s="4">
        <v>4.0</v>
      </c>
      <c r="J1240" s="5"/>
      <c r="K1240" s="3" t="s">
        <v>3494</v>
      </c>
      <c r="L1240" s="3" t="s">
        <v>3495</v>
      </c>
      <c r="M1240" s="3" t="s">
        <v>22</v>
      </c>
      <c r="N1240" s="5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5" t="s">
        <v>14</v>
      </c>
      <c r="B1241" s="15" t="s">
        <v>3496</v>
      </c>
      <c r="C1241" s="15" t="s">
        <v>3497</v>
      </c>
      <c r="D1241" s="15" t="s">
        <v>3498</v>
      </c>
      <c r="E1241" s="15" t="s">
        <v>3499</v>
      </c>
      <c r="F1241" s="15"/>
      <c r="G1241" s="15"/>
      <c r="H1241" s="18"/>
      <c r="I1241" s="18"/>
      <c r="J1241" s="20"/>
      <c r="K1241" s="15" t="s">
        <v>3500</v>
      </c>
      <c r="L1241" s="15" t="s">
        <v>3501</v>
      </c>
      <c r="M1241" s="15" t="s">
        <v>22</v>
      </c>
      <c r="N1241" s="15" t="s">
        <v>560</v>
      </c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</row>
    <row r="1242">
      <c r="A1242" s="3" t="s">
        <v>14</v>
      </c>
      <c r="B1242" s="3" t="s">
        <v>3502</v>
      </c>
      <c r="C1242" s="3" t="s">
        <v>3503</v>
      </c>
      <c r="D1242" s="3" t="s">
        <v>3504</v>
      </c>
      <c r="E1242" s="3" t="s">
        <v>3505</v>
      </c>
      <c r="F1242" s="3" t="s">
        <v>197</v>
      </c>
      <c r="G1242" s="3" t="s">
        <v>197</v>
      </c>
      <c r="H1242" s="4">
        <v>1.0</v>
      </c>
      <c r="I1242" s="4">
        <v>1.0</v>
      </c>
      <c r="J1242" s="3" t="s">
        <v>72</v>
      </c>
      <c r="K1242" s="3" t="s">
        <v>3506</v>
      </c>
      <c r="L1242" s="3" t="s">
        <v>3507</v>
      </c>
      <c r="M1242" s="3" t="s">
        <v>22</v>
      </c>
      <c r="N1242" s="5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 t="s">
        <v>14</v>
      </c>
      <c r="B1243" s="3" t="s">
        <v>3502</v>
      </c>
      <c r="C1243" s="3" t="s">
        <v>3503</v>
      </c>
      <c r="D1243" s="3" t="s">
        <v>3504</v>
      </c>
      <c r="E1243" s="3" t="s">
        <v>3505</v>
      </c>
      <c r="F1243" s="3" t="s">
        <v>181</v>
      </c>
      <c r="G1243" s="3" t="s">
        <v>428</v>
      </c>
      <c r="H1243" s="4">
        <v>2.0</v>
      </c>
      <c r="I1243" s="4">
        <v>2.0</v>
      </c>
      <c r="J1243" s="3"/>
      <c r="K1243" s="3" t="s">
        <v>3506</v>
      </c>
      <c r="L1243" s="3" t="s">
        <v>3507</v>
      </c>
      <c r="M1243" s="3" t="s">
        <v>22</v>
      </c>
      <c r="N1243" s="5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 t="s">
        <v>14</v>
      </c>
      <c r="B1244" s="3" t="s">
        <v>3508</v>
      </c>
      <c r="C1244" s="3" t="s">
        <v>3509</v>
      </c>
      <c r="D1244" s="3" t="s">
        <v>3510</v>
      </c>
      <c r="E1244" s="3" t="s">
        <v>3511</v>
      </c>
      <c r="F1244" s="3" t="s">
        <v>623</v>
      </c>
      <c r="G1244" s="3" t="s">
        <v>623</v>
      </c>
      <c r="H1244" s="4">
        <v>1.0</v>
      </c>
      <c r="I1244" s="4">
        <v>1.0</v>
      </c>
      <c r="J1244" s="5"/>
      <c r="K1244" s="3" t="s">
        <v>3512</v>
      </c>
      <c r="L1244" s="3" t="s">
        <v>3513</v>
      </c>
      <c r="M1244" s="3" t="s">
        <v>22</v>
      </c>
      <c r="N1244" s="5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 t="s">
        <v>14</v>
      </c>
      <c r="B1245" s="3" t="s">
        <v>3508</v>
      </c>
      <c r="C1245" s="3" t="s">
        <v>3509</v>
      </c>
      <c r="D1245" s="3" t="s">
        <v>3510</v>
      </c>
      <c r="E1245" s="3" t="s">
        <v>3511</v>
      </c>
      <c r="F1245" s="3" t="s">
        <v>222</v>
      </c>
      <c r="G1245" s="3" t="s">
        <v>3514</v>
      </c>
      <c r="H1245" s="4">
        <v>2.0</v>
      </c>
      <c r="I1245" s="4">
        <v>2.0</v>
      </c>
      <c r="J1245" s="5"/>
      <c r="K1245" s="3" t="s">
        <v>3512</v>
      </c>
      <c r="L1245" s="3" t="s">
        <v>3513</v>
      </c>
      <c r="M1245" s="3" t="s">
        <v>22</v>
      </c>
      <c r="N1245" s="5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 t="s">
        <v>14</v>
      </c>
      <c r="B1246" s="3" t="s">
        <v>3515</v>
      </c>
      <c r="C1246" s="3" t="s">
        <v>3516</v>
      </c>
      <c r="D1246" s="3" t="s">
        <v>3517</v>
      </c>
      <c r="E1246" s="3" t="s">
        <v>3518</v>
      </c>
      <c r="F1246" s="3" t="s">
        <v>2600</v>
      </c>
      <c r="G1246" s="3" t="s">
        <v>662</v>
      </c>
      <c r="H1246" s="4">
        <v>1.0</v>
      </c>
      <c r="I1246" s="4">
        <v>1.0</v>
      </c>
      <c r="J1246" s="5"/>
      <c r="K1246" s="3" t="s">
        <v>3519</v>
      </c>
      <c r="L1246" s="3" t="s">
        <v>3520</v>
      </c>
      <c r="M1246" s="3" t="s">
        <v>22</v>
      </c>
      <c r="N1246" s="5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 t="s">
        <v>14</v>
      </c>
      <c r="B1247" s="3" t="s">
        <v>3515</v>
      </c>
      <c r="C1247" s="3" t="s">
        <v>3516</v>
      </c>
      <c r="D1247" s="3" t="s">
        <v>3517</v>
      </c>
      <c r="E1247" s="3" t="s">
        <v>3518</v>
      </c>
      <c r="F1247" s="3" t="s">
        <v>55</v>
      </c>
      <c r="G1247" s="3" t="s">
        <v>56</v>
      </c>
      <c r="H1247" s="4">
        <v>2.0</v>
      </c>
      <c r="I1247" s="4">
        <v>2.0</v>
      </c>
      <c r="J1247" s="5"/>
      <c r="K1247" s="3" t="s">
        <v>3519</v>
      </c>
      <c r="L1247" s="3" t="s">
        <v>3520</v>
      </c>
      <c r="M1247" s="3" t="s">
        <v>22</v>
      </c>
      <c r="N1247" s="5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 t="s">
        <v>14</v>
      </c>
      <c r="B1248" s="3" t="s">
        <v>3521</v>
      </c>
      <c r="C1248" s="3" t="s">
        <v>3522</v>
      </c>
      <c r="D1248" s="3" t="s">
        <v>3523</v>
      </c>
      <c r="E1248" s="3" t="s">
        <v>3524</v>
      </c>
      <c r="F1248" s="3" t="s">
        <v>1541</v>
      </c>
      <c r="G1248" s="3" t="s">
        <v>254</v>
      </c>
      <c r="H1248" s="4">
        <v>1.0</v>
      </c>
      <c r="I1248" s="4">
        <v>1.0</v>
      </c>
      <c r="J1248" s="5"/>
      <c r="K1248" s="3" t="s">
        <v>3525</v>
      </c>
      <c r="L1248" s="3" t="s">
        <v>3526</v>
      </c>
      <c r="M1248" s="3" t="s">
        <v>22</v>
      </c>
      <c r="N1248" s="5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 t="s">
        <v>14</v>
      </c>
      <c r="B1249" s="3" t="s">
        <v>3521</v>
      </c>
      <c r="C1249" s="3" t="s">
        <v>3522</v>
      </c>
      <c r="D1249" s="3" t="s">
        <v>3523</v>
      </c>
      <c r="E1249" s="3" t="s">
        <v>3524</v>
      </c>
      <c r="F1249" s="3" t="s">
        <v>1608</v>
      </c>
      <c r="G1249" s="3" t="s">
        <v>1608</v>
      </c>
      <c r="H1249" s="4">
        <v>2.0</v>
      </c>
      <c r="I1249" s="4">
        <v>2.0</v>
      </c>
      <c r="J1249" s="5"/>
      <c r="K1249" s="3" t="s">
        <v>3525</v>
      </c>
      <c r="L1249" s="3" t="s">
        <v>3526</v>
      </c>
      <c r="M1249" s="3" t="s">
        <v>22</v>
      </c>
      <c r="N1249" s="5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 t="s">
        <v>14</v>
      </c>
      <c r="B1250" s="3" t="s">
        <v>3521</v>
      </c>
      <c r="C1250" s="3" t="s">
        <v>3522</v>
      </c>
      <c r="D1250" s="3" t="s">
        <v>3523</v>
      </c>
      <c r="E1250" s="3" t="s">
        <v>3524</v>
      </c>
      <c r="F1250" s="3" t="s">
        <v>724</v>
      </c>
      <c r="G1250" s="3" t="s">
        <v>3527</v>
      </c>
      <c r="H1250" s="4">
        <v>3.0</v>
      </c>
      <c r="I1250" s="4">
        <v>3.0</v>
      </c>
      <c r="J1250" s="5"/>
      <c r="K1250" s="3" t="s">
        <v>3525</v>
      </c>
      <c r="L1250" s="3" t="s">
        <v>3526</v>
      </c>
      <c r="M1250" s="3" t="s">
        <v>22</v>
      </c>
      <c r="N1250" s="5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 t="s">
        <v>14</v>
      </c>
      <c r="B1251" s="3" t="s">
        <v>3528</v>
      </c>
      <c r="C1251" s="3" t="s">
        <v>3528</v>
      </c>
      <c r="D1251" s="3" t="s">
        <v>3529</v>
      </c>
      <c r="E1251" s="3" t="s">
        <v>3529</v>
      </c>
      <c r="F1251" s="3" t="s">
        <v>3530</v>
      </c>
      <c r="G1251" s="3" t="s">
        <v>3530</v>
      </c>
      <c r="H1251" s="4">
        <v>1.0</v>
      </c>
      <c r="I1251" s="4">
        <v>1.0</v>
      </c>
      <c r="J1251" s="5"/>
      <c r="K1251" s="3" t="s">
        <v>3531</v>
      </c>
      <c r="L1251" s="3" t="s">
        <v>3532</v>
      </c>
      <c r="M1251" s="3" t="s">
        <v>22</v>
      </c>
      <c r="N1251" s="5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 t="s">
        <v>14</v>
      </c>
      <c r="B1252" s="3" t="s">
        <v>3528</v>
      </c>
      <c r="C1252" s="3" t="s">
        <v>3528</v>
      </c>
      <c r="D1252" s="3" t="s">
        <v>3529</v>
      </c>
      <c r="E1252" s="3" t="s">
        <v>3529</v>
      </c>
      <c r="F1252" s="3" t="s">
        <v>131</v>
      </c>
      <c r="G1252" s="3" t="s">
        <v>131</v>
      </c>
      <c r="H1252" s="4">
        <v>2.0</v>
      </c>
      <c r="I1252" s="4">
        <v>2.0</v>
      </c>
      <c r="J1252" s="5"/>
      <c r="K1252" s="3" t="s">
        <v>3531</v>
      </c>
      <c r="L1252" s="3" t="s">
        <v>3532</v>
      </c>
      <c r="M1252" s="3" t="s">
        <v>22</v>
      </c>
      <c r="N1252" s="5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 t="s">
        <v>14</v>
      </c>
      <c r="B1253" s="3" t="s">
        <v>3528</v>
      </c>
      <c r="C1253" s="3" t="s">
        <v>3528</v>
      </c>
      <c r="D1253" s="3" t="s">
        <v>3529</v>
      </c>
      <c r="E1253" s="3" t="s">
        <v>3529</v>
      </c>
      <c r="F1253" s="3" t="s">
        <v>116</v>
      </c>
      <c r="G1253" s="3" t="s">
        <v>116</v>
      </c>
      <c r="H1253" s="4">
        <v>3.0</v>
      </c>
      <c r="I1253" s="4">
        <v>3.0</v>
      </c>
      <c r="J1253" s="5"/>
      <c r="K1253" s="3" t="s">
        <v>3531</v>
      </c>
      <c r="L1253" s="3" t="s">
        <v>3532</v>
      </c>
      <c r="M1253" s="3" t="s">
        <v>22</v>
      </c>
      <c r="N1253" s="5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5" t="s">
        <v>14</v>
      </c>
      <c r="B1254" s="15" t="s">
        <v>3533</v>
      </c>
      <c r="C1254" s="15" t="s">
        <v>3534</v>
      </c>
      <c r="D1254" s="15" t="s">
        <v>3535</v>
      </c>
      <c r="E1254" s="15" t="s">
        <v>3536</v>
      </c>
      <c r="F1254" s="15" t="s">
        <v>702</v>
      </c>
      <c r="G1254" s="15" t="s">
        <v>254</v>
      </c>
      <c r="H1254" s="18">
        <v>1.0</v>
      </c>
      <c r="I1254" s="18">
        <v>1.0</v>
      </c>
      <c r="J1254" s="20"/>
      <c r="K1254" s="15" t="s">
        <v>3537</v>
      </c>
      <c r="L1254" s="15" t="s">
        <v>3538</v>
      </c>
      <c r="M1254" s="15" t="s">
        <v>22</v>
      </c>
      <c r="N1254" s="20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</row>
    <row r="1255">
      <c r="A1255" s="15" t="s">
        <v>14</v>
      </c>
      <c r="B1255" s="15" t="s">
        <v>3533</v>
      </c>
      <c r="C1255" s="15" t="s">
        <v>3534</v>
      </c>
      <c r="D1255" s="15" t="s">
        <v>3535</v>
      </c>
      <c r="E1255" s="15" t="s">
        <v>3536</v>
      </c>
      <c r="F1255" s="15" t="s">
        <v>469</v>
      </c>
      <c r="G1255" s="15" t="s">
        <v>3539</v>
      </c>
      <c r="H1255" s="18">
        <v>2.0</v>
      </c>
      <c r="I1255" s="18">
        <v>2.0</v>
      </c>
      <c r="J1255" s="20"/>
      <c r="K1255" s="15" t="s">
        <v>3537</v>
      </c>
      <c r="L1255" s="15" t="s">
        <v>3538</v>
      </c>
      <c r="M1255" s="15" t="s">
        <v>22</v>
      </c>
      <c r="N1255" s="20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</row>
    <row r="1256">
      <c r="A1256" s="15" t="s">
        <v>14</v>
      </c>
      <c r="B1256" s="15" t="s">
        <v>3533</v>
      </c>
      <c r="C1256" s="15" t="s">
        <v>3534</v>
      </c>
      <c r="D1256" s="15" t="s">
        <v>3535</v>
      </c>
      <c r="E1256" s="15" t="s">
        <v>3536</v>
      </c>
      <c r="F1256" s="15" t="s">
        <v>245</v>
      </c>
      <c r="G1256" s="15" t="s">
        <v>36</v>
      </c>
      <c r="H1256" s="18">
        <v>3.0</v>
      </c>
      <c r="I1256" s="18" t="s">
        <v>36</v>
      </c>
      <c r="J1256" s="20"/>
      <c r="K1256" s="15" t="s">
        <v>3537</v>
      </c>
      <c r="L1256" s="15" t="s">
        <v>3538</v>
      </c>
      <c r="M1256" s="15" t="s">
        <v>22</v>
      </c>
      <c r="N1256" s="20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</row>
    <row r="1257">
      <c r="A1257" s="3" t="s">
        <v>14</v>
      </c>
      <c r="B1257" s="3" t="s">
        <v>3540</v>
      </c>
      <c r="C1257" s="3" t="s">
        <v>3541</v>
      </c>
      <c r="D1257" s="3" t="s">
        <v>3542</v>
      </c>
      <c r="E1257" s="3" t="s">
        <v>3543</v>
      </c>
      <c r="F1257" s="3" t="s">
        <v>2149</v>
      </c>
      <c r="G1257" s="3" t="s">
        <v>644</v>
      </c>
      <c r="H1257" s="4">
        <v>1.0</v>
      </c>
      <c r="I1257" s="4">
        <v>1.0</v>
      </c>
      <c r="J1257" s="5"/>
      <c r="K1257" s="3" t="s">
        <v>3544</v>
      </c>
      <c r="L1257" s="3" t="s">
        <v>3545</v>
      </c>
      <c r="M1257" s="3" t="s">
        <v>22</v>
      </c>
      <c r="N1257" s="5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 t="s">
        <v>14</v>
      </c>
      <c r="B1258" s="3" t="s">
        <v>3540</v>
      </c>
      <c r="C1258" s="3" t="s">
        <v>3541</v>
      </c>
      <c r="D1258" s="3" t="s">
        <v>3542</v>
      </c>
      <c r="E1258" s="3" t="s">
        <v>3543</v>
      </c>
      <c r="F1258" s="3" t="s">
        <v>1807</v>
      </c>
      <c r="G1258" s="3" t="s">
        <v>238</v>
      </c>
      <c r="H1258" s="4">
        <v>2.0</v>
      </c>
      <c r="I1258" s="4">
        <v>2.0</v>
      </c>
      <c r="J1258" s="5"/>
      <c r="K1258" s="3" t="s">
        <v>3544</v>
      </c>
      <c r="L1258" s="3" t="s">
        <v>3545</v>
      </c>
      <c r="M1258" s="3" t="s">
        <v>22</v>
      </c>
      <c r="N1258" s="5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 t="s">
        <v>14</v>
      </c>
      <c r="B1259" s="3" t="s">
        <v>3546</v>
      </c>
      <c r="C1259" s="3" t="s">
        <v>3547</v>
      </c>
      <c r="D1259" s="3" t="s">
        <v>3548</v>
      </c>
      <c r="E1259" s="3" t="s">
        <v>3548</v>
      </c>
      <c r="F1259" s="3" t="s">
        <v>3549</v>
      </c>
      <c r="G1259" s="3" t="s">
        <v>3549</v>
      </c>
      <c r="H1259" s="4">
        <v>1.0</v>
      </c>
      <c r="I1259" s="4">
        <v>1.0</v>
      </c>
      <c r="J1259" s="5"/>
      <c r="K1259" s="3" t="s">
        <v>3550</v>
      </c>
      <c r="L1259" s="3" t="s">
        <v>3551</v>
      </c>
      <c r="M1259" s="3" t="s">
        <v>22</v>
      </c>
      <c r="N1259" s="5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 t="s">
        <v>14</v>
      </c>
      <c r="B1260" s="3" t="s">
        <v>3546</v>
      </c>
      <c r="C1260" s="3" t="s">
        <v>3547</v>
      </c>
      <c r="D1260" s="3" t="s">
        <v>3548</v>
      </c>
      <c r="E1260" s="3" t="s">
        <v>3548</v>
      </c>
      <c r="F1260" s="3" t="s">
        <v>784</v>
      </c>
      <c r="G1260" s="3" t="s">
        <v>784</v>
      </c>
      <c r="H1260" s="4">
        <v>2.0</v>
      </c>
      <c r="I1260" s="4">
        <v>2.0</v>
      </c>
      <c r="J1260" s="5"/>
      <c r="K1260" s="3" t="s">
        <v>3550</v>
      </c>
      <c r="L1260" s="3" t="s">
        <v>3551</v>
      </c>
      <c r="M1260" s="3" t="s">
        <v>22</v>
      </c>
      <c r="N1260" s="5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 t="s">
        <v>14</v>
      </c>
      <c r="B1261" s="3" t="s">
        <v>3552</v>
      </c>
      <c r="C1261" s="3" t="s">
        <v>3553</v>
      </c>
      <c r="D1261" s="3" t="s">
        <v>3554</v>
      </c>
      <c r="E1261" s="3" t="s">
        <v>3555</v>
      </c>
      <c r="F1261" s="3" t="s">
        <v>244</v>
      </c>
      <c r="G1261" s="3" t="s">
        <v>402</v>
      </c>
      <c r="H1261" s="4">
        <v>1.0</v>
      </c>
      <c r="I1261" s="4">
        <v>1.0</v>
      </c>
      <c r="J1261" s="3"/>
      <c r="K1261" s="3" t="s">
        <v>3556</v>
      </c>
      <c r="L1261" s="3" t="s">
        <v>3557</v>
      </c>
      <c r="M1261" s="3" t="s">
        <v>22</v>
      </c>
      <c r="N1261" s="5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 t="s">
        <v>14</v>
      </c>
      <c r="B1262" s="3" t="s">
        <v>3552</v>
      </c>
      <c r="C1262" s="3" t="s">
        <v>3553</v>
      </c>
      <c r="D1262" s="3" t="s">
        <v>3554</v>
      </c>
      <c r="E1262" s="3" t="s">
        <v>3555</v>
      </c>
      <c r="F1262" s="3" t="s">
        <v>70</v>
      </c>
      <c r="G1262" s="3" t="s">
        <v>3427</v>
      </c>
      <c r="H1262" s="4">
        <v>2.0</v>
      </c>
      <c r="I1262" s="4">
        <v>2.0</v>
      </c>
      <c r="J1262" s="3"/>
      <c r="K1262" s="3" t="s">
        <v>3556</v>
      </c>
      <c r="L1262" s="3" t="s">
        <v>3557</v>
      </c>
      <c r="M1262" s="3" t="s">
        <v>22</v>
      </c>
      <c r="N1262" s="5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 t="s">
        <v>14</v>
      </c>
      <c r="B1263" s="3" t="s">
        <v>3558</v>
      </c>
      <c r="C1263" s="3" t="s">
        <v>3559</v>
      </c>
      <c r="D1263" s="3" t="s">
        <v>3560</v>
      </c>
      <c r="E1263" s="3" t="s">
        <v>3561</v>
      </c>
      <c r="F1263" s="3" t="s">
        <v>614</v>
      </c>
      <c r="G1263" s="3" t="s">
        <v>614</v>
      </c>
      <c r="H1263" s="4">
        <v>1.0</v>
      </c>
      <c r="I1263" s="4">
        <v>1.0</v>
      </c>
      <c r="J1263" s="5"/>
      <c r="K1263" s="3" t="s">
        <v>3562</v>
      </c>
      <c r="L1263" s="3" t="s">
        <v>3563</v>
      </c>
      <c r="M1263" s="3" t="s">
        <v>22</v>
      </c>
      <c r="N1263" s="5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 t="s">
        <v>14</v>
      </c>
      <c r="B1264" s="3" t="s">
        <v>3558</v>
      </c>
      <c r="C1264" s="3" t="s">
        <v>3559</v>
      </c>
      <c r="D1264" s="3" t="s">
        <v>3560</v>
      </c>
      <c r="E1264" s="3" t="s">
        <v>3561</v>
      </c>
      <c r="F1264" s="3" t="s">
        <v>102</v>
      </c>
      <c r="G1264" s="3" t="s">
        <v>668</v>
      </c>
      <c r="H1264" s="4">
        <v>2.0</v>
      </c>
      <c r="I1264" s="4">
        <v>2.0</v>
      </c>
      <c r="J1264" s="5"/>
      <c r="K1264" s="3" t="s">
        <v>3562</v>
      </c>
      <c r="L1264" s="3" t="s">
        <v>3563</v>
      </c>
      <c r="M1264" s="3" t="s">
        <v>22</v>
      </c>
      <c r="N1264" s="5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 t="s">
        <v>14</v>
      </c>
      <c r="B1265" s="3" t="s">
        <v>3564</v>
      </c>
      <c r="C1265" s="3" t="s">
        <v>3565</v>
      </c>
      <c r="D1265" s="3" t="s">
        <v>3566</v>
      </c>
      <c r="E1265" s="3" t="s">
        <v>3567</v>
      </c>
      <c r="F1265" s="3" t="s">
        <v>3568</v>
      </c>
      <c r="G1265" s="3" t="s">
        <v>3569</v>
      </c>
      <c r="H1265" s="4">
        <v>1.0</v>
      </c>
      <c r="I1265" s="4">
        <v>1.0</v>
      </c>
      <c r="J1265" s="5"/>
      <c r="K1265" s="3" t="s">
        <v>3570</v>
      </c>
      <c r="L1265" s="3" t="s">
        <v>3571</v>
      </c>
      <c r="M1265" s="3" t="s">
        <v>22</v>
      </c>
      <c r="N1265" s="5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 t="s">
        <v>14</v>
      </c>
      <c r="B1266" s="3" t="s">
        <v>3564</v>
      </c>
      <c r="C1266" s="3" t="s">
        <v>3565</v>
      </c>
      <c r="D1266" s="3" t="s">
        <v>3566</v>
      </c>
      <c r="E1266" s="3" t="s">
        <v>3567</v>
      </c>
      <c r="F1266" s="3" t="s">
        <v>238</v>
      </c>
      <c r="G1266" s="3" t="s">
        <v>238</v>
      </c>
      <c r="H1266" s="4">
        <v>2.0</v>
      </c>
      <c r="I1266" s="4">
        <v>2.0</v>
      </c>
      <c r="J1266" s="5"/>
      <c r="K1266" s="3" t="s">
        <v>3570</v>
      </c>
      <c r="L1266" s="3" t="s">
        <v>3571</v>
      </c>
      <c r="M1266" s="3" t="s">
        <v>22</v>
      </c>
      <c r="N1266" s="5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 t="s">
        <v>14</v>
      </c>
      <c r="B1267" s="3" t="s">
        <v>3572</v>
      </c>
      <c r="C1267" s="3" t="s">
        <v>3573</v>
      </c>
      <c r="D1267" s="3" t="s">
        <v>3574</v>
      </c>
      <c r="E1267" s="3" t="s">
        <v>3575</v>
      </c>
      <c r="F1267" s="3" t="s">
        <v>1807</v>
      </c>
      <c r="G1267" s="3" t="s">
        <v>3576</v>
      </c>
      <c r="H1267" s="4">
        <v>1.0</v>
      </c>
      <c r="I1267" s="4">
        <v>1.0</v>
      </c>
      <c r="J1267" s="3" t="s">
        <v>80</v>
      </c>
      <c r="K1267" s="3" t="s">
        <v>3577</v>
      </c>
      <c r="L1267" s="3" t="s">
        <v>3578</v>
      </c>
      <c r="M1267" s="3" t="s">
        <v>22</v>
      </c>
      <c r="N1267" s="5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 t="s">
        <v>14</v>
      </c>
      <c r="B1268" s="3" t="s">
        <v>3572</v>
      </c>
      <c r="C1268" s="3" t="s">
        <v>3573</v>
      </c>
      <c r="D1268" s="3" t="s">
        <v>3574</v>
      </c>
      <c r="E1268" s="3" t="s">
        <v>3575</v>
      </c>
      <c r="F1268" s="3" t="s">
        <v>236</v>
      </c>
      <c r="G1268" s="3" t="s">
        <v>1478</v>
      </c>
      <c r="H1268" s="4">
        <v>2.0</v>
      </c>
      <c r="I1268" s="4">
        <v>2.0</v>
      </c>
      <c r="J1268" s="3"/>
      <c r="K1268" s="3" t="s">
        <v>3577</v>
      </c>
      <c r="L1268" s="3" t="s">
        <v>3578</v>
      </c>
      <c r="M1268" s="3" t="s">
        <v>22</v>
      </c>
      <c r="N1268" s="5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 t="s">
        <v>14</v>
      </c>
      <c r="B1269" s="3" t="s">
        <v>3572</v>
      </c>
      <c r="C1269" s="3" t="s">
        <v>3573</v>
      </c>
      <c r="D1269" s="3" t="s">
        <v>3574</v>
      </c>
      <c r="E1269" s="3" t="s">
        <v>3575</v>
      </c>
      <c r="F1269" s="3" t="s">
        <v>784</v>
      </c>
      <c r="G1269" s="3" t="s">
        <v>784</v>
      </c>
      <c r="H1269" s="4">
        <v>3.0</v>
      </c>
      <c r="I1269" s="4">
        <v>3.0</v>
      </c>
      <c r="J1269" s="3"/>
      <c r="K1269" s="3" t="s">
        <v>3577</v>
      </c>
      <c r="L1269" s="3" t="s">
        <v>3578</v>
      </c>
      <c r="M1269" s="3" t="s">
        <v>22</v>
      </c>
      <c r="N1269" s="5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5" t="s">
        <v>14</v>
      </c>
      <c r="B1270" s="15" t="s">
        <v>3579</v>
      </c>
      <c r="C1270" s="15" t="s">
        <v>3580</v>
      </c>
      <c r="D1270" s="15" t="s">
        <v>3581</v>
      </c>
      <c r="E1270" s="15" t="s">
        <v>3582</v>
      </c>
      <c r="F1270" s="15"/>
      <c r="G1270" s="15"/>
      <c r="H1270" s="18"/>
      <c r="I1270" s="18"/>
      <c r="J1270" s="20"/>
      <c r="K1270" s="15" t="s">
        <v>3583</v>
      </c>
      <c r="L1270" s="15" t="s">
        <v>3584</v>
      </c>
      <c r="M1270" s="15" t="s">
        <v>22</v>
      </c>
      <c r="N1270" s="15" t="s">
        <v>560</v>
      </c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</row>
    <row r="1271">
      <c r="A1271" s="3" t="s">
        <v>14</v>
      </c>
      <c r="B1271" s="3" t="s">
        <v>3585</v>
      </c>
      <c r="C1271" s="3" t="s">
        <v>3586</v>
      </c>
      <c r="D1271" s="3" t="s">
        <v>3587</v>
      </c>
      <c r="E1271" s="3" t="s">
        <v>3588</v>
      </c>
      <c r="F1271" s="3" t="s">
        <v>2754</v>
      </c>
      <c r="G1271" s="3" t="s">
        <v>745</v>
      </c>
      <c r="H1271" s="4">
        <v>1.0</v>
      </c>
      <c r="I1271" s="4">
        <v>1.0</v>
      </c>
      <c r="J1271" s="5"/>
      <c r="K1271" s="3" t="s">
        <v>3589</v>
      </c>
      <c r="L1271" s="3" t="s">
        <v>3590</v>
      </c>
      <c r="M1271" s="3" t="s">
        <v>22</v>
      </c>
      <c r="N1271" s="5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 t="s">
        <v>14</v>
      </c>
      <c r="B1272" s="3" t="s">
        <v>3585</v>
      </c>
      <c r="C1272" s="3" t="s">
        <v>3586</v>
      </c>
      <c r="D1272" s="3" t="s">
        <v>3587</v>
      </c>
      <c r="E1272" s="3" t="s">
        <v>3588</v>
      </c>
      <c r="F1272" s="3" t="s">
        <v>1118</v>
      </c>
      <c r="G1272" s="3" t="s">
        <v>1118</v>
      </c>
      <c r="H1272" s="4">
        <v>2.0</v>
      </c>
      <c r="I1272" s="4">
        <v>2.0</v>
      </c>
      <c r="J1272" s="2"/>
      <c r="K1272" s="3" t="s">
        <v>3589</v>
      </c>
      <c r="L1272" s="3" t="s">
        <v>3590</v>
      </c>
      <c r="M1272" s="3" t="s">
        <v>22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 t="s">
        <v>14</v>
      </c>
      <c r="B1273" s="3" t="s">
        <v>3585</v>
      </c>
      <c r="C1273" s="3" t="s">
        <v>3586</v>
      </c>
      <c r="D1273" s="3" t="s">
        <v>3587</v>
      </c>
      <c r="E1273" s="3" t="s">
        <v>3588</v>
      </c>
      <c r="F1273" s="3" t="s">
        <v>172</v>
      </c>
      <c r="G1273" s="3" t="s">
        <v>334</v>
      </c>
      <c r="H1273" s="4">
        <v>3.0</v>
      </c>
      <c r="I1273" s="4">
        <v>3.0</v>
      </c>
      <c r="J1273" s="2"/>
      <c r="K1273" s="3" t="s">
        <v>3589</v>
      </c>
      <c r="L1273" s="3" t="s">
        <v>3590</v>
      </c>
      <c r="M1273" s="3" t="s">
        <v>22</v>
      </c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2"/>
      <c r="B1274" s="2"/>
      <c r="C1274" s="2"/>
      <c r="D1274" s="2"/>
      <c r="E1274" s="2"/>
      <c r="F1274" s="2"/>
      <c r="G1274" s="2"/>
      <c r="H1274" s="31"/>
      <c r="I1274" s="31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2"/>
      <c r="B1275" s="2"/>
      <c r="C1275" s="2"/>
      <c r="D1275" s="2"/>
      <c r="E1275" s="2"/>
      <c r="F1275" s="2"/>
      <c r="G1275" s="2"/>
      <c r="H1275" s="31"/>
      <c r="I1275" s="31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2"/>
      <c r="B1276" s="2"/>
      <c r="C1276" s="2"/>
      <c r="D1276" s="2"/>
      <c r="E1276" s="2"/>
      <c r="F1276" s="2"/>
      <c r="G1276" s="2"/>
      <c r="H1276" s="31"/>
      <c r="I1276" s="31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2"/>
      <c r="B1277" s="2"/>
      <c r="C1277" s="2"/>
      <c r="D1277" s="2"/>
      <c r="E1277" s="2"/>
      <c r="F1277" s="2"/>
      <c r="G1277" s="2"/>
      <c r="H1277" s="31"/>
      <c r="I1277" s="31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2"/>
      <c r="B1278" s="2"/>
      <c r="C1278" s="2"/>
      <c r="D1278" s="2"/>
      <c r="E1278" s="2"/>
      <c r="F1278" s="2"/>
      <c r="G1278" s="2"/>
      <c r="H1278" s="31"/>
      <c r="I1278" s="31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2"/>
      <c r="B1279" s="2"/>
      <c r="C1279" s="2"/>
      <c r="D1279" s="2"/>
      <c r="E1279" s="2"/>
      <c r="F1279" s="2"/>
      <c r="G1279" s="2"/>
      <c r="H1279" s="31"/>
      <c r="I1279" s="31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2"/>
      <c r="B1280" s="2"/>
      <c r="C1280" s="2"/>
      <c r="D1280" s="2"/>
      <c r="E1280" s="2"/>
      <c r="F1280" s="2"/>
      <c r="G1280" s="2"/>
      <c r="H1280" s="31"/>
      <c r="I1280" s="31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2"/>
      <c r="B1281" s="2"/>
      <c r="C1281" s="2"/>
      <c r="D1281" s="2"/>
      <c r="E1281" s="2"/>
      <c r="F1281" s="2"/>
      <c r="G1281" s="2"/>
      <c r="H1281" s="31"/>
      <c r="I1281" s="31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2"/>
      <c r="B1282" s="2"/>
      <c r="C1282" s="2"/>
      <c r="D1282" s="2"/>
      <c r="E1282" s="2"/>
      <c r="F1282" s="2"/>
      <c r="G1282" s="2"/>
      <c r="H1282" s="31"/>
      <c r="I1282" s="31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2"/>
      <c r="B1283" s="2"/>
      <c r="C1283" s="2"/>
      <c r="D1283" s="2"/>
      <c r="E1283" s="2"/>
      <c r="F1283" s="2"/>
      <c r="G1283" s="2"/>
      <c r="H1283" s="31"/>
      <c r="I1283" s="31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2"/>
      <c r="B1284" s="2"/>
      <c r="C1284" s="2"/>
      <c r="D1284" s="2"/>
      <c r="E1284" s="2"/>
      <c r="F1284" s="2"/>
      <c r="G1284" s="2"/>
      <c r="H1284" s="31"/>
      <c r="I1284" s="31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2"/>
      <c r="B1285" s="2"/>
      <c r="C1285" s="2"/>
      <c r="D1285" s="2"/>
      <c r="E1285" s="2"/>
      <c r="F1285" s="2"/>
      <c r="G1285" s="2"/>
      <c r="H1285" s="31"/>
      <c r="I1285" s="31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2"/>
      <c r="B1286" s="2"/>
      <c r="C1286" s="2"/>
      <c r="D1286" s="2"/>
      <c r="E1286" s="2"/>
      <c r="F1286" s="2"/>
      <c r="G1286" s="2"/>
      <c r="H1286" s="31"/>
      <c r="I1286" s="31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2"/>
      <c r="B1287" s="2"/>
      <c r="C1287" s="2"/>
      <c r="D1287" s="2"/>
      <c r="E1287" s="2"/>
      <c r="F1287" s="2"/>
      <c r="G1287" s="2"/>
      <c r="H1287" s="31"/>
      <c r="I1287" s="31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2"/>
      <c r="B1288" s="2"/>
      <c r="C1288" s="2"/>
      <c r="D1288" s="2"/>
      <c r="E1288" s="2"/>
      <c r="F1288" s="2"/>
      <c r="G1288" s="2"/>
      <c r="H1288" s="31"/>
      <c r="I1288" s="31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2"/>
      <c r="B1289" s="2"/>
      <c r="C1289" s="2"/>
      <c r="D1289" s="2"/>
      <c r="E1289" s="2"/>
      <c r="F1289" s="2"/>
      <c r="G1289" s="2"/>
      <c r="H1289" s="31"/>
      <c r="I1289" s="31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2"/>
      <c r="B1290" s="2"/>
      <c r="C1290" s="2"/>
      <c r="D1290" s="2"/>
      <c r="E1290" s="2"/>
      <c r="F1290" s="2"/>
      <c r="G1290" s="2"/>
      <c r="H1290" s="31"/>
      <c r="I1290" s="31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2"/>
      <c r="B1291" s="2"/>
      <c r="C1291" s="2"/>
      <c r="D1291" s="2"/>
      <c r="E1291" s="2"/>
      <c r="F1291" s="2"/>
      <c r="G1291" s="2"/>
      <c r="H1291" s="31"/>
      <c r="I1291" s="31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2"/>
      <c r="B1292" s="2"/>
      <c r="C1292" s="2"/>
      <c r="D1292" s="2"/>
      <c r="E1292" s="2"/>
      <c r="F1292" s="2"/>
      <c r="G1292" s="2"/>
      <c r="H1292" s="31"/>
      <c r="I1292" s="31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2"/>
      <c r="B1293" s="2"/>
      <c r="C1293" s="2"/>
      <c r="D1293" s="2"/>
      <c r="E1293" s="2"/>
      <c r="F1293" s="2"/>
      <c r="G1293" s="2"/>
      <c r="H1293" s="31"/>
      <c r="I1293" s="31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2"/>
      <c r="B1294" s="2"/>
      <c r="C1294" s="2"/>
      <c r="D1294" s="2"/>
      <c r="E1294" s="2"/>
      <c r="F1294" s="2"/>
      <c r="G1294" s="2"/>
      <c r="H1294" s="31"/>
      <c r="I1294" s="31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2"/>
      <c r="B1295" s="2"/>
      <c r="C1295" s="2"/>
      <c r="D1295" s="2"/>
      <c r="E1295" s="2"/>
      <c r="F1295" s="2"/>
      <c r="G1295" s="2"/>
      <c r="H1295" s="31"/>
      <c r="I1295" s="31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8.38"/>
    <col customWidth="1" min="10" max="10" width="8.13"/>
  </cols>
  <sheetData>
    <row r="1">
      <c r="A1" s="1" t="s">
        <v>0</v>
      </c>
      <c r="B1" s="1" t="s">
        <v>1</v>
      </c>
      <c r="C1" s="32" t="s">
        <v>3591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14</v>
      </c>
      <c r="B2" s="3" t="s">
        <v>15</v>
      </c>
      <c r="C2" s="33" t="s">
        <v>3592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19</v>
      </c>
      <c r="I2" s="4">
        <v>1.0</v>
      </c>
      <c r="J2" s="4">
        <v>1.0</v>
      </c>
      <c r="K2" s="5"/>
      <c r="L2" s="3" t="s">
        <v>20</v>
      </c>
      <c r="M2" s="3" t="s">
        <v>21</v>
      </c>
      <c r="N2" s="3" t="s">
        <v>22</v>
      </c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14</v>
      </c>
      <c r="B3" s="3" t="s">
        <v>15</v>
      </c>
      <c r="C3" s="33" t="s">
        <v>3592</v>
      </c>
      <c r="D3" s="3" t="s">
        <v>16</v>
      </c>
      <c r="E3" s="3" t="s">
        <v>17</v>
      </c>
      <c r="F3" s="3" t="s">
        <v>18</v>
      </c>
      <c r="G3" s="3" t="s">
        <v>23</v>
      </c>
      <c r="H3" s="3" t="s">
        <v>24</v>
      </c>
      <c r="I3" s="4">
        <v>2.0</v>
      </c>
      <c r="J3" s="4">
        <v>2.0</v>
      </c>
      <c r="K3" s="5"/>
      <c r="L3" s="3" t="s">
        <v>20</v>
      </c>
      <c r="M3" s="3" t="s">
        <v>21</v>
      </c>
      <c r="N3" s="3" t="s">
        <v>22</v>
      </c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5" t="s">
        <v>14</v>
      </c>
      <c r="B4" s="15" t="s">
        <v>25</v>
      </c>
      <c r="C4" s="34" t="s">
        <v>3593</v>
      </c>
      <c r="D4" s="15" t="s">
        <v>26</v>
      </c>
      <c r="E4" s="15" t="s">
        <v>27</v>
      </c>
      <c r="F4" s="15" t="s">
        <v>28</v>
      </c>
      <c r="G4" s="15" t="s">
        <v>29</v>
      </c>
      <c r="H4" s="15" t="s">
        <v>30</v>
      </c>
      <c r="I4" s="18">
        <v>1.0</v>
      </c>
      <c r="J4" s="18">
        <v>1.0</v>
      </c>
      <c r="K4" s="20"/>
      <c r="L4" s="15" t="s">
        <v>31</v>
      </c>
      <c r="M4" s="15" t="s">
        <v>32</v>
      </c>
      <c r="N4" s="15" t="s">
        <v>22</v>
      </c>
      <c r="O4" s="20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15" t="s">
        <v>14</v>
      </c>
      <c r="B5" s="15" t="s">
        <v>25</v>
      </c>
      <c r="C5" s="34" t="s">
        <v>3593</v>
      </c>
      <c r="D5" s="15" t="s">
        <v>26</v>
      </c>
      <c r="E5" s="15" t="s">
        <v>27</v>
      </c>
      <c r="F5" s="15" t="s">
        <v>28</v>
      </c>
      <c r="G5" s="15" t="s">
        <v>33</v>
      </c>
      <c r="H5" s="15" t="s">
        <v>34</v>
      </c>
      <c r="I5" s="18">
        <v>2.0</v>
      </c>
      <c r="J5" s="18">
        <v>2.0</v>
      </c>
      <c r="K5" s="15"/>
      <c r="L5" s="15" t="s">
        <v>31</v>
      </c>
      <c r="M5" s="15" t="s">
        <v>32</v>
      </c>
      <c r="N5" s="15" t="s">
        <v>22</v>
      </c>
      <c r="O5" s="20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15" t="s">
        <v>14</v>
      </c>
      <c r="B6" s="15" t="s">
        <v>25</v>
      </c>
      <c r="C6" s="34" t="s">
        <v>3593</v>
      </c>
      <c r="D6" s="15" t="s">
        <v>26</v>
      </c>
      <c r="E6" s="15" t="s">
        <v>27</v>
      </c>
      <c r="F6" s="15" t="s">
        <v>28</v>
      </c>
      <c r="G6" s="15" t="s">
        <v>35</v>
      </c>
      <c r="H6" s="15" t="s">
        <v>36</v>
      </c>
      <c r="I6" s="18">
        <v>3.0</v>
      </c>
      <c r="J6" s="18" t="s">
        <v>36</v>
      </c>
      <c r="K6" s="20"/>
      <c r="L6" s="15" t="s">
        <v>31</v>
      </c>
      <c r="M6" s="15" t="s">
        <v>32</v>
      </c>
      <c r="N6" s="15" t="s">
        <v>22</v>
      </c>
      <c r="O6" s="20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3" t="s">
        <v>14</v>
      </c>
      <c r="B7" s="3" t="s">
        <v>37</v>
      </c>
      <c r="C7" s="33" t="s">
        <v>3592</v>
      </c>
      <c r="D7" s="3" t="s">
        <v>38</v>
      </c>
      <c r="E7" s="6" t="s">
        <v>39</v>
      </c>
      <c r="F7" s="3" t="s">
        <v>40</v>
      </c>
      <c r="G7" s="3" t="s">
        <v>19</v>
      </c>
      <c r="H7" s="3" t="s">
        <v>19</v>
      </c>
      <c r="I7" s="4">
        <v>1.0</v>
      </c>
      <c r="J7" s="4">
        <v>1.0</v>
      </c>
      <c r="K7" s="3"/>
      <c r="L7" s="3" t="s">
        <v>41</v>
      </c>
      <c r="M7" s="3" t="s">
        <v>42</v>
      </c>
      <c r="N7" s="3" t="s">
        <v>22</v>
      </c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14</v>
      </c>
      <c r="B8" s="3" t="s">
        <v>37</v>
      </c>
      <c r="C8" s="33" t="s">
        <v>3592</v>
      </c>
      <c r="D8" s="3" t="s">
        <v>38</v>
      </c>
      <c r="E8" s="6" t="s">
        <v>39</v>
      </c>
      <c r="F8" s="3" t="s">
        <v>40</v>
      </c>
      <c r="G8" s="3" t="s">
        <v>43</v>
      </c>
      <c r="H8" s="3" t="s">
        <v>44</v>
      </c>
      <c r="I8" s="4">
        <v>2.0</v>
      </c>
      <c r="J8" s="4">
        <v>2.0</v>
      </c>
      <c r="K8" s="3"/>
      <c r="L8" s="3" t="s">
        <v>41</v>
      </c>
      <c r="M8" s="3" t="s">
        <v>42</v>
      </c>
      <c r="N8" s="3" t="s">
        <v>22</v>
      </c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6" t="s">
        <v>14</v>
      </c>
      <c r="B9" s="26" t="s">
        <v>45</v>
      </c>
      <c r="C9" s="35" t="s">
        <v>3594</v>
      </c>
      <c r="D9" s="26" t="s">
        <v>46</v>
      </c>
      <c r="E9" s="26" t="s">
        <v>47</v>
      </c>
      <c r="F9" s="26" t="s">
        <v>48</v>
      </c>
      <c r="G9" s="26" t="s">
        <v>19</v>
      </c>
      <c r="H9" s="26" t="s">
        <v>49</v>
      </c>
      <c r="I9" s="27">
        <v>1.0</v>
      </c>
      <c r="J9" s="27">
        <v>1.0</v>
      </c>
      <c r="K9" s="26"/>
      <c r="L9" s="26" t="s">
        <v>50</v>
      </c>
      <c r="M9" s="26" t="s">
        <v>51</v>
      </c>
      <c r="N9" s="26" t="s">
        <v>22</v>
      </c>
      <c r="O9" s="28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6" t="s">
        <v>14</v>
      </c>
      <c r="B10" s="26" t="s">
        <v>45</v>
      </c>
      <c r="C10" s="35" t="s">
        <v>3594</v>
      </c>
      <c r="D10" s="26" t="s">
        <v>46</v>
      </c>
      <c r="E10" s="26" t="s">
        <v>47</v>
      </c>
      <c r="F10" s="26" t="s">
        <v>48</v>
      </c>
      <c r="G10" s="26" t="s">
        <v>43</v>
      </c>
      <c r="H10" s="26" t="s">
        <v>52</v>
      </c>
      <c r="I10" s="27">
        <v>2.0</v>
      </c>
      <c r="J10" s="27">
        <v>2.0</v>
      </c>
      <c r="K10" s="26"/>
      <c r="L10" s="26" t="s">
        <v>50</v>
      </c>
      <c r="M10" s="26" t="s">
        <v>51</v>
      </c>
      <c r="N10" s="26" t="s">
        <v>22</v>
      </c>
      <c r="O10" s="28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6" t="s">
        <v>14</v>
      </c>
      <c r="B11" s="26" t="s">
        <v>45</v>
      </c>
      <c r="C11" s="35" t="s">
        <v>3594</v>
      </c>
      <c r="D11" s="26" t="s">
        <v>46</v>
      </c>
      <c r="E11" s="26" t="s">
        <v>47</v>
      </c>
      <c r="F11" s="26" t="s">
        <v>48</v>
      </c>
      <c r="G11" s="26" t="s">
        <v>53</v>
      </c>
      <c r="H11" s="26" t="s">
        <v>54</v>
      </c>
      <c r="I11" s="27">
        <v>3.0</v>
      </c>
      <c r="J11" s="27">
        <v>3.0</v>
      </c>
      <c r="K11" s="26"/>
      <c r="L11" s="26" t="s">
        <v>50</v>
      </c>
      <c r="M11" s="26" t="s">
        <v>51</v>
      </c>
      <c r="N11" s="26" t="s">
        <v>22</v>
      </c>
      <c r="O11" s="28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6" t="s">
        <v>14</v>
      </c>
      <c r="B12" s="26" t="s">
        <v>45</v>
      </c>
      <c r="C12" s="35" t="s">
        <v>3594</v>
      </c>
      <c r="D12" s="26" t="s">
        <v>46</v>
      </c>
      <c r="E12" s="26" t="s">
        <v>47</v>
      </c>
      <c r="F12" s="26" t="s">
        <v>48</v>
      </c>
      <c r="G12" s="26" t="s">
        <v>55</v>
      </c>
      <c r="H12" s="26" t="s">
        <v>56</v>
      </c>
      <c r="I12" s="27">
        <v>4.0</v>
      </c>
      <c r="J12" s="27">
        <v>4.0</v>
      </c>
      <c r="K12" s="26"/>
      <c r="L12" s="26" t="s">
        <v>50</v>
      </c>
      <c r="M12" s="26" t="s">
        <v>51</v>
      </c>
      <c r="N12" s="26" t="s">
        <v>22</v>
      </c>
      <c r="O12" s="28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" t="s">
        <v>14</v>
      </c>
      <c r="B13" s="3" t="s">
        <v>57</v>
      </c>
      <c r="C13" s="36" t="s">
        <v>3595</v>
      </c>
      <c r="D13" s="3" t="s">
        <v>58</v>
      </c>
      <c r="E13" s="3" t="s">
        <v>59</v>
      </c>
      <c r="F13" s="3" t="s">
        <v>60</v>
      </c>
      <c r="G13" s="3" t="s">
        <v>61</v>
      </c>
      <c r="H13" s="3" t="s">
        <v>62</v>
      </c>
      <c r="I13" s="4">
        <v>1.0</v>
      </c>
      <c r="J13" s="4">
        <v>1.0</v>
      </c>
      <c r="K13" s="3"/>
      <c r="L13" s="3" t="s">
        <v>63</v>
      </c>
      <c r="M13" s="3" t="s">
        <v>63</v>
      </c>
      <c r="N13" s="3" t="s">
        <v>22</v>
      </c>
      <c r="O13" s="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14</v>
      </c>
      <c r="B14" s="3" t="s">
        <v>57</v>
      </c>
      <c r="C14" s="36" t="s">
        <v>3595</v>
      </c>
      <c r="D14" s="3" t="s">
        <v>58</v>
      </c>
      <c r="E14" s="3" t="s">
        <v>59</v>
      </c>
      <c r="F14" s="3" t="s">
        <v>60</v>
      </c>
      <c r="G14" s="3" t="s">
        <v>36</v>
      </c>
      <c r="H14" s="3" t="s">
        <v>64</v>
      </c>
      <c r="I14" s="4" t="s">
        <v>36</v>
      </c>
      <c r="J14" s="4">
        <v>2.0</v>
      </c>
      <c r="K14" s="3"/>
      <c r="L14" s="3" t="s">
        <v>63</v>
      </c>
      <c r="M14" s="3" t="s">
        <v>63</v>
      </c>
      <c r="N14" s="3" t="s">
        <v>22</v>
      </c>
      <c r="O14" s="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14</v>
      </c>
      <c r="B15" s="3" t="s">
        <v>57</v>
      </c>
      <c r="C15" s="36" t="s">
        <v>3595</v>
      </c>
      <c r="D15" s="3" t="s">
        <v>58</v>
      </c>
      <c r="E15" s="3" t="s">
        <v>59</v>
      </c>
      <c r="F15" s="3" t="s">
        <v>60</v>
      </c>
      <c r="G15" s="3" t="s">
        <v>64</v>
      </c>
      <c r="H15" s="3" t="s">
        <v>65</v>
      </c>
      <c r="I15" s="4">
        <v>2.0</v>
      </c>
      <c r="J15" s="4">
        <v>3.0</v>
      </c>
      <c r="K15" s="3"/>
      <c r="L15" s="3" t="s">
        <v>63</v>
      </c>
      <c r="M15" s="3" t="s">
        <v>63</v>
      </c>
      <c r="N15" s="3" t="s">
        <v>22</v>
      </c>
      <c r="O15" s="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14</v>
      </c>
      <c r="B16" s="3" t="s">
        <v>66</v>
      </c>
      <c r="C16" s="36" t="s">
        <v>3595</v>
      </c>
      <c r="D16" s="3" t="s">
        <v>67</v>
      </c>
      <c r="E16" s="3" t="s">
        <v>68</v>
      </c>
      <c r="F16" s="3" t="s">
        <v>69</v>
      </c>
      <c r="G16" s="3" t="s">
        <v>70</v>
      </c>
      <c r="H16" s="3" t="s">
        <v>71</v>
      </c>
      <c r="I16" s="4">
        <v>1.0</v>
      </c>
      <c r="J16" s="4">
        <v>1.0</v>
      </c>
      <c r="K16" s="3" t="s">
        <v>72</v>
      </c>
      <c r="L16" s="3" t="s">
        <v>73</v>
      </c>
      <c r="M16" s="3" t="s">
        <v>74</v>
      </c>
      <c r="N16" s="3" t="s">
        <v>22</v>
      </c>
      <c r="O16" s="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14</v>
      </c>
      <c r="B17" s="3" t="s">
        <v>66</v>
      </c>
      <c r="C17" s="36" t="s">
        <v>3595</v>
      </c>
      <c r="D17" s="3" t="s">
        <v>67</v>
      </c>
      <c r="E17" s="3" t="s">
        <v>68</v>
      </c>
      <c r="F17" s="3" t="s">
        <v>69</v>
      </c>
      <c r="G17" s="3" t="s">
        <v>75</v>
      </c>
      <c r="H17" s="3" t="s">
        <v>75</v>
      </c>
      <c r="I17" s="4">
        <v>2.0</v>
      </c>
      <c r="J17" s="4">
        <v>2.0</v>
      </c>
      <c r="K17" s="3"/>
      <c r="L17" s="3" t="s">
        <v>73</v>
      </c>
      <c r="M17" s="3" t="s">
        <v>74</v>
      </c>
      <c r="N17" s="3" t="s">
        <v>22</v>
      </c>
      <c r="O17" s="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">
        <v>14</v>
      </c>
      <c r="B18" s="3" t="s">
        <v>76</v>
      </c>
      <c r="C18" s="33" t="s">
        <v>3596</v>
      </c>
      <c r="D18" s="3" t="s">
        <v>77</v>
      </c>
      <c r="E18" s="3" t="s">
        <v>76</v>
      </c>
      <c r="F18" s="3" t="s">
        <v>78</v>
      </c>
      <c r="G18" s="3" t="s">
        <v>76</v>
      </c>
      <c r="H18" s="3" t="s">
        <v>79</v>
      </c>
      <c r="I18" s="4">
        <v>1.0</v>
      </c>
      <c r="J18" s="4">
        <v>1.0</v>
      </c>
      <c r="K18" s="3" t="s">
        <v>80</v>
      </c>
      <c r="L18" s="3" t="s">
        <v>81</v>
      </c>
      <c r="M18" s="3" t="s">
        <v>82</v>
      </c>
      <c r="N18" s="3" t="s">
        <v>22</v>
      </c>
      <c r="O18" s="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14</v>
      </c>
      <c r="B19" s="3" t="s">
        <v>76</v>
      </c>
      <c r="C19" s="33" t="s">
        <v>3596</v>
      </c>
      <c r="D19" s="3" t="s">
        <v>77</v>
      </c>
      <c r="E19" s="3" t="s">
        <v>76</v>
      </c>
      <c r="F19" s="3" t="s">
        <v>78</v>
      </c>
      <c r="G19" s="3" t="s">
        <v>36</v>
      </c>
      <c r="H19" s="3" t="s">
        <v>83</v>
      </c>
      <c r="I19" s="4" t="s">
        <v>36</v>
      </c>
      <c r="J19" s="4">
        <v>2.0</v>
      </c>
      <c r="K19" s="3"/>
      <c r="L19" s="3" t="s">
        <v>81</v>
      </c>
      <c r="M19" s="3" t="s">
        <v>82</v>
      </c>
      <c r="N19" s="3" t="s">
        <v>22</v>
      </c>
      <c r="O19" s="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">
        <v>14</v>
      </c>
      <c r="B20" s="3" t="s">
        <v>76</v>
      </c>
      <c r="C20" s="33" t="s">
        <v>3596</v>
      </c>
      <c r="D20" s="3" t="s">
        <v>77</v>
      </c>
      <c r="E20" s="3" t="s">
        <v>76</v>
      </c>
      <c r="F20" s="3" t="s">
        <v>78</v>
      </c>
      <c r="G20" s="3" t="s">
        <v>36</v>
      </c>
      <c r="H20" s="3" t="s">
        <v>75</v>
      </c>
      <c r="I20" s="4" t="s">
        <v>36</v>
      </c>
      <c r="J20" s="4">
        <v>3.0</v>
      </c>
      <c r="K20" s="3"/>
      <c r="L20" s="3" t="s">
        <v>81</v>
      </c>
      <c r="M20" s="3" t="s">
        <v>82</v>
      </c>
      <c r="N20" s="3" t="s">
        <v>22</v>
      </c>
      <c r="O20" s="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">
        <v>14</v>
      </c>
      <c r="B21" s="3" t="s">
        <v>84</v>
      </c>
      <c r="C21" s="36" t="s">
        <v>3595</v>
      </c>
      <c r="D21" s="3" t="s">
        <v>85</v>
      </c>
      <c r="E21" s="3" t="s">
        <v>86</v>
      </c>
      <c r="F21" s="3" t="s">
        <v>87</v>
      </c>
      <c r="G21" s="3" t="s">
        <v>88</v>
      </c>
      <c r="H21" s="3" t="s">
        <v>89</v>
      </c>
      <c r="I21" s="4">
        <v>1.0</v>
      </c>
      <c r="J21" s="4">
        <v>1.0</v>
      </c>
      <c r="K21" s="3" t="s">
        <v>72</v>
      </c>
      <c r="L21" s="3" t="s">
        <v>90</v>
      </c>
      <c r="M21" s="3" t="s">
        <v>91</v>
      </c>
      <c r="N21" s="3" t="s">
        <v>22</v>
      </c>
      <c r="O21" s="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">
        <v>14</v>
      </c>
      <c r="B22" s="3" t="s">
        <v>84</v>
      </c>
      <c r="C22" s="36" t="s">
        <v>3595</v>
      </c>
      <c r="D22" s="3" t="s">
        <v>85</v>
      </c>
      <c r="E22" s="3" t="s">
        <v>86</v>
      </c>
      <c r="F22" s="3" t="s">
        <v>87</v>
      </c>
      <c r="G22" s="3" t="s">
        <v>92</v>
      </c>
      <c r="H22" s="3" t="s">
        <v>93</v>
      </c>
      <c r="I22" s="4">
        <v>2.0</v>
      </c>
      <c r="J22" s="4">
        <v>2.0</v>
      </c>
      <c r="K22" s="3"/>
      <c r="L22" s="3" t="s">
        <v>90</v>
      </c>
      <c r="M22" s="3" t="s">
        <v>91</v>
      </c>
      <c r="N22" s="3" t="s">
        <v>22</v>
      </c>
      <c r="O22" s="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">
        <v>14</v>
      </c>
      <c r="B23" s="3" t="s">
        <v>94</v>
      </c>
      <c r="C23" s="36" t="s">
        <v>3597</v>
      </c>
      <c r="D23" s="3" t="s">
        <v>95</v>
      </c>
      <c r="E23" s="3" t="s">
        <v>96</v>
      </c>
      <c r="F23" s="3" t="s">
        <v>97</v>
      </c>
      <c r="G23" s="3" t="s">
        <v>98</v>
      </c>
      <c r="H23" s="3" t="s">
        <v>99</v>
      </c>
      <c r="I23" s="4">
        <v>1.0</v>
      </c>
      <c r="J23" s="4">
        <v>1.0</v>
      </c>
      <c r="K23" s="5"/>
      <c r="L23" s="3" t="s">
        <v>100</v>
      </c>
      <c r="M23" s="3" t="s">
        <v>74</v>
      </c>
      <c r="N23" s="3" t="s">
        <v>22</v>
      </c>
      <c r="O23" s="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">
        <v>14</v>
      </c>
      <c r="B24" s="3" t="s">
        <v>94</v>
      </c>
      <c r="C24" s="36" t="s">
        <v>3597</v>
      </c>
      <c r="D24" s="3" t="s">
        <v>95</v>
      </c>
      <c r="E24" s="3" t="s">
        <v>96</v>
      </c>
      <c r="F24" s="3" t="s">
        <v>97</v>
      </c>
      <c r="G24" s="3" t="s">
        <v>101</v>
      </c>
      <c r="H24" s="3" t="s">
        <v>101</v>
      </c>
      <c r="I24" s="4">
        <v>2.0</v>
      </c>
      <c r="J24" s="4">
        <v>2.0</v>
      </c>
      <c r="K24" s="5"/>
      <c r="L24" s="3" t="s">
        <v>100</v>
      </c>
      <c r="M24" s="3" t="s">
        <v>74</v>
      </c>
      <c r="N24" s="3" t="s">
        <v>22</v>
      </c>
      <c r="O24" s="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">
        <v>14</v>
      </c>
      <c r="B25" s="3" t="s">
        <v>94</v>
      </c>
      <c r="C25" s="36" t="s">
        <v>3597</v>
      </c>
      <c r="D25" s="3" t="s">
        <v>95</v>
      </c>
      <c r="E25" s="3" t="s">
        <v>96</v>
      </c>
      <c r="F25" s="3" t="s">
        <v>97</v>
      </c>
      <c r="G25" s="3" t="s">
        <v>102</v>
      </c>
      <c r="H25" s="3" t="s">
        <v>103</v>
      </c>
      <c r="I25" s="4">
        <v>3.0</v>
      </c>
      <c r="J25" s="4">
        <v>3.0</v>
      </c>
      <c r="K25" s="5"/>
      <c r="L25" s="3" t="s">
        <v>100</v>
      </c>
      <c r="M25" s="3" t="s">
        <v>74</v>
      </c>
      <c r="N25" s="3" t="s">
        <v>22</v>
      </c>
      <c r="O25" s="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">
        <v>14</v>
      </c>
      <c r="B26" s="3" t="s">
        <v>104</v>
      </c>
      <c r="C26" s="36" t="s">
        <v>3598</v>
      </c>
      <c r="D26" s="3" t="s">
        <v>105</v>
      </c>
      <c r="E26" s="7" t="s">
        <v>106</v>
      </c>
      <c r="F26" s="3" t="s">
        <v>107</v>
      </c>
      <c r="G26" s="3" t="s">
        <v>108</v>
      </c>
      <c r="H26" s="3" t="s">
        <v>109</v>
      </c>
      <c r="I26" s="4">
        <v>1.0</v>
      </c>
      <c r="J26" s="4">
        <v>1.0</v>
      </c>
      <c r="K26" s="5"/>
      <c r="L26" s="3" t="s">
        <v>110</v>
      </c>
      <c r="M26" s="3" t="s">
        <v>111</v>
      </c>
      <c r="N26" s="3" t="s">
        <v>22</v>
      </c>
      <c r="O26" s="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14</v>
      </c>
      <c r="B27" s="3" t="s">
        <v>104</v>
      </c>
      <c r="C27" s="36" t="s">
        <v>3598</v>
      </c>
      <c r="D27" s="3" t="s">
        <v>105</v>
      </c>
      <c r="E27" s="7" t="s">
        <v>106</v>
      </c>
      <c r="F27" s="3" t="s">
        <v>107</v>
      </c>
      <c r="G27" s="3" t="s">
        <v>112</v>
      </c>
      <c r="H27" s="3" t="s">
        <v>113</v>
      </c>
      <c r="I27" s="4">
        <v>2.0</v>
      </c>
      <c r="J27" s="4">
        <v>2.0</v>
      </c>
      <c r="K27" s="5"/>
      <c r="L27" s="3" t="s">
        <v>110</v>
      </c>
      <c r="M27" s="3" t="s">
        <v>111</v>
      </c>
      <c r="N27" s="3" t="s">
        <v>22</v>
      </c>
      <c r="O27" s="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">
        <v>14</v>
      </c>
      <c r="B28" s="3" t="s">
        <v>104</v>
      </c>
      <c r="C28" s="36" t="s">
        <v>3598</v>
      </c>
      <c r="D28" s="3" t="s">
        <v>105</v>
      </c>
      <c r="E28" s="7" t="s">
        <v>106</v>
      </c>
      <c r="F28" s="3" t="s">
        <v>107</v>
      </c>
      <c r="G28" s="8" t="s">
        <v>114</v>
      </c>
      <c r="H28" s="3" t="s">
        <v>115</v>
      </c>
      <c r="I28" s="4">
        <v>3.0</v>
      </c>
      <c r="J28" s="4">
        <v>3.0</v>
      </c>
      <c r="K28" s="5"/>
      <c r="L28" s="3" t="s">
        <v>110</v>
      </c>
      <c r="M28" s="3" t="s">
        <v>111</v>
      </c>
      <c r="N28" s="3" t="s">
        <v>22</v>
      </c>
      <c r="O28" s="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">
        <v>14</v>
      </c>
      <c r="B29" s="3" t="s">
        <v>104</v>
      </c>
      <c r="C29" s="36" t="s">
        <v>3598</v>
      </c>
      <c r="D29" s="3" t="s">
        <v>105</v>
      </c>
      <c r="E29" s="7" t="s">
        <v>106</v>
      </c>
      <c r="F29" s="3" t="s">
        <v>107</v>
      </c>
      <c r="G29" s="3" t="s">
        <v>116</v>
      </c>
      <c r="H29" s="3" t="s">
        <v>116</v>
      </c>
      <c r="I29" s="4">
        <v>4.0</v>
      </c>
      <c r="J29" s="4">
        <v>4.0</v>
      </c>
      <c r="K29" s="5"/>
      <c r="L29" s="3" t="s">
        <v>110</v>
      </c>
      <c r="M29" s="3" t="s">
        <v>111</v>
      </c>
      <c r="N29" s="3" t="s">
        <v>22</v>
      </c>
      <c r="O29" s="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">
        <v>14</v>
      </c>
      <c r="B30" s="3" t="s">
        <v>117</v>
      </c>
      <c r="C30" s="36" t="s">
        <v>3595</v>
      </c>
      <c r="D30" s="3" t="s">
        <v>118</v>
      </c>
      <c r="E30" s="3" t="s">
        <v>119</v>
      </c>
      <c r="F30" s="3" t="s">
        <v>120</v>
      </c>
      <c r="G30" s="3" t="s">
        <v>108</v>
      </c>
      <c r="H30" s="3" t="s">
        <v>121</v>
      </c>
      <c r="I30" s="4">
        <v>1.0</v>
      </c>
      <c r="J30" s="4">
        <v>1.0</v>
      </c>
      <c r="K30" s="5"/>
      <c r="L30" s="3" t="s">
        <v>122</v>
      </c>
      <c r="M30" s="3" t="s">
        <v>123</v>
      </c>
      <c r="N30" s="3" t="s">
        <v>22</v>
      </c>
      <c r="O30" s="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">
        <v>14</v>
      </c>
      <c r="B31" s="3" t="s">
        <v>117</v>
      </c>
      <c r="C31" s="36" t="s">
        <v>3595</v>
      </c>
      <c r="D31" s="3" t="s">
        <v>118</v>
      </c>
      <c r="E31" s="3" t="s">
        <v>119</v>
      </c>
      <c r="F31" s="3" t="s">
        <v>120</v>
      </c>
      <c r="G31" s="3" t="s">
        <v>64</v>
      </c>
      <c r="H31" s="3" t="s">
        <v>65</v>
      </c>
      <c r="I31" s="4">
        <v>2.0</v>
      </c>
      <c r="J31" s="4">
        <v>2.0</v>
      </c>
      <c r="K31" s="5"/>
      <c r="L31" s="3" t="s">
        <v>122</v>
      </c>
      <c r="M31" s="3" t="s">
        <v>123</v>
      </c>
      <c r="N31" s="3" t="s">
        <v>22</v>
      </c>
      <c r="O31" s="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 t="s">
        <v>14</v>
      </c>
      <c r="B32" s="6" t="s">
        <v>124</v>
      </c>
      <c r="C32" s="36" t="s">
        <v>3593</v>
      </c>
      <c r="D32" s="6" t="s">
        <v>125</v>
      </c>
      <c r="E32" s="6" t="s">
        <v>126</v>
      </c>
      <c r="F32" s="6" t="s">
        <v>127</v>
      </c>
      <c r="G32" s="6" t="s">
        <v>128</v>
      </c>
      <c r="H32" s="6" t="s">
        <v>36</v>
      </c>
      <c r="I32" s="9">
        <v>1.0</v>
      </c>
      <c r="J32" s="9">
        <v>1.0</v>
      </c>
      <c r="K32" s="10"/>
      <c r="L32" s="6" t="s">
        <v>129</v>
      </c>
      <c r="M32" s="6" t="s">
        <v>130</v>
      </c>
      <c r="N32" s="6" t="s">
        <v>22</v>
      </c>
      <c r="O32" s="10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6" t="s">
        <v>14</v>
      </c>
      <c r="B33" s="6" t="s">
        <v>124</v>
      </c>
      <c r="C33" s="36" t="s">
        <v>3593</v>
      </c>
      <c r="D33" s="6" t="s">
        <v>125</v>
      </c>
      <c r="E33" s="6" t="s">
        <v>126</v>
      </c>
      <c r="F33" s="6" t="s">
        <v>127</v>
      </c>
      <c r="G33" s="6" t="s">
        <v>131</v>
      </c>
      <c r="H33" s="12" t="s">
        <v>132</v>
      </c>
      <c r="I33" s="9">
        <v>2.0</v>
      </c>
      <c r="J33" s="9" t="s">
        <v>36</v>
      </c>
      <c r="K33" s="6"/>
      <c r="L33" s="6" t="s">
        <v>129</v>
      </c>
      <c r="M33" s="6" t="s">
        <v>130</v>
      </c>
      <c r="N33" s="6" t="s">
        <v>22</v>
      </c>
      <c r="O33" s="10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3" t="s">
        <v>14</v>
      </c>
      <c r="B34" s="3" t="s">
        <v>124</v>
      </c>
      <c r="C34" s="36" t="s">
        <v>3593</v>
      </c>
      <c r="D34" s="3" t="s">
        <v>125</v>
      </c>
      <c r="E34" s="3" t="s">
        <v>126</v>
      </c>
      <c r="F34" s="3" t="s">
        <v>127</v>
      </c>
      <c r="G34" s="3" t="s">
        <v>133</v>
      </c>
      <c r="H34" s="3" t="s">
        <v>134</v>
      </c>
      <c r="I34" s="4">
        <v>3.0</v>
      </c>
      <c r="J34" s="4">
        <v>2.0</v>
      </c>
      <c r="K34" s="5"/>
      <c r="L34" s="3" t="s">
        <v>129</v>
      </c>
      <c r="M34" s="3" t="s">
        <v>130</v>
      </c>
      <c r="N34" s="3" t="s">
        <v>22</v>
      </c>
      <c r="O34" s="5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5" t="s">
        <v>14</v>
      </c>
      <c r="B35" s="15" t="s">
        <v>135</v>
      </c>
      <c r="C35" s="36" t="s">
        <v>3599</v>
      </c>
      <c r="D35" s="15" t="s">
        <v>136</v>
      </c>
      <c r="E35" s="15" t="s">
        <v>137</v>
      </c>
      <c r="F35" s="15" t="s">
        <v>138</v>
      </c>
      <c r="G35" s="15" t="s">
        <v>128</v>
      </c>
      <c r="H35" s="37" t="s">
        <v>36</v>
      </c>
      <c r="I35" s="18">
        <v>1.0</v>
      </c>
      <c r="J35" s="18" t="s">
        <v>36</v>
      </c>
      <c r="K35" s="20"/>
      <c r="L35" s="15" t="s">
        <v>139</v>
      </c>
      <c r="M35" s="15" t="s">
        <v>140</v>
      </c>
      <c r="N35" s="15" t="s">
        <v>22</v>
      </c>
      <c r="O35" s="20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15" t="s">
        <v>14</v>
      </c>
      <c r="B36" s="15" t="s">
        <v>135</v>
      </c>
      <c r="C36" s="36" t="s">
        <v>3599</v>
      </c>
      <c r="D36" s="15" t="s">
        <v>136</v>
      </c>
      <c r="E36" s="15" t="s">
        <v>137</v>
      </c>
      <c r="F36" s="15" t="s">
        <v>138</v>
      </c>
      <c r="G36" s="15" t="s">
        <v>141</v>
      </c>
      <c r="H36" s="15" t="s">
        <v>142</v>
      </c>
      <c r="I36" s="18">
        <v>2.0</v>
      </c>
      <c r="J36" s="18">
        <v>1.0</v>
      </c>
      <c r="K36" s="15"/>
      <c r="L36" s="15" t="s">
        <v>139</v>
      </c>
      <c r="M36" s="15" t="s">
        <v>140</v>
      </c>
      <c r="N36" s="15" t="s">
        <v>22</v>
      </c>
      <c r="O36" s="20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15" t="s">
        <v>14</v>
      </c>
      <c r="B37" s="15" t="s">
        <v>135</v>
      </c>
      <c r="C37" s="36" t="s">
        <v>3599</v>
      </c>
      <c r="D37" s="15" t="s">
        <v>136</v>
      </c>
      <c r="E37" s="15" t="s">
        <v>137</v>
      </c>
      <c r="F37" s="15" t="s">
        <v>138</v>
      </c>
      <c r="G37" s="15" t="s">
        <v>36</v>
      </c>
      <c r="H37" s="15" t="s">
        <v>19</v>
      </c>
      <c r="I37" s="18" t="s">
        <v>36</v>
      </c>
      <c r="J37" s="18">
        <v>2.0</v>
      </c>
      <c r="K37" s="15" t="s">
        <v>80</v>
      </c>
      <c r="L37" s="15" t="s">
        <v>139</v>
      </c>
      <c r="M37" s="15" t="s">
        <v>140</v>
      </c>
      <c r="N37" s="15" t="s">
        <v>22</v>
      </c>
      <c r="O37" s="20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15" t="s">
        <v>14</v>
      </c>
      <c r="B38" s="15" t="s">
        <v>135</v>
      </c>
      <c r="C38" s="36" t="s">
        <v>3599</v>
      </c>
      <c r="D38" s="15" t="s">
        <v>136</v>
      </c>
      <c r="E38" s="15" t="s">
        <v>137</v>
      </c>
      <c r="F38" s="15" t="s">
        <v>138</v>
      </c>
      <c r="G38" s="15" t="s">
        <v>143</v>
      </c>
      <c r="H38" s="15" t="s">
        <v>143</v>
      </c>
      <c r="I38" s="18">
        <v>3.0</v>
      </c>
      <c r="J38" s="18">
        <v>3.0</v>
      </c>
      <c r="K38" s="20"/>
      <c r="L38" s="15" t="s">
        <v>139</v>
      </c>
      <c r="M38" s="15" t="s">
        <v>140</v>
      </c>
      <c r="N38" s="15" t="s">
        <v>22</v>
      </c>
      <c r="O38" s="20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3" t="s">
        <v>14</v>
      </c>
      <c r="B39" s="3" t="s">
        <v>144</v>
      </c>
      <c r="C39" s="33" t="s">
        <v>3600</v>
      </c>
      <c r="D39" s="3" t="s">
        <v>145</v>
      </c>
      <c r="E39" s="3" t="s">
        <v>146</v>
      </c>
      <c r="F39" s="3" t="s">
        <v>147</v>
      </c>
      <c r="G39" s="3" t="s">
        <v>148</v>
      </c>
      <c r="H39" s="3" t="s">
        <v>149</v>
      </c>
      <c r="I39" s="4">
        <v>1.0</v>
      </c>
      <c r="J39" s="4">
        <v>1.0</v>
      </c>
      <c r="K39" s="5"/>
      <c r="L39" s="3" t="s">
        <v>150</v>
      </c>
      <c r="M39" s="3" t="s">
        <v>151</v>
      </c>
      <c r="N39" s="3" t="s">
        <v>22</v>
      </c>
      <c r="O39" s="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">
        <v>14</v>
      </c>
      <c r="B40" s="3" t="s">
        <v>144</v>
      </c>
      <c r="C40" s="33" t="s">
        <v>3600</v>
      </c>
      <c r="D40" s="3" t="s">
        <v>145</v>
      </c>
      <c r="E40" s="3" t="s">
        <v>146</v>
      </c>
      <c r="F40" s="3" t="s">
        <v>147</v>
      </c>
      <c r="G40" s="7" t="s">
        <v>152</v>
      </c>
      <c r="H40" s="3" t="s">
        <v>56</v>
      </c>
      <c r="I40" s="4">
        <v>2.0</v>
      </c>
      <c r="J40" s="4">
        <v>2.0</v>
      </c>
      <c r="K40" s="5"/>
      <c r="L40" s="3" t="s">
        <v>150</v>
      </c>
      <c r="M40" s="3" t="s">
        <v>151</v>
      </c>
      <c r="N40" s="3" t="s">
        <v>22</v>
      </c>
      <c r="O40" s="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 t="s">
        <v>14</v>
      </c>
      <c r="B41" s="7" t="s">
        <v>153</v>
      </c>
      <c r="C41" s="36" t="s">
        <v>3595</v>
      </c>
      <c r="D41" s="3" t="s">
        <v>154</v>
      </c>
      <c r="E41" s="3" t="s">
        <v>155</v>
      </c>
      <c r="F41" s="3" t="s">
        <v>156</v>
      </c>
      <c r="G41" s="3" t="s">
        <v>157</v>
      </c>
      <c r="H41" s="3" t="s">
        <v>158</v>
      </c>
      <c r="I41" s="4">
        <v>1.0</v>
      </c>
      <c r="J41" s="4">
        <v>1.0</v>
      </c>
      <c r="K41" s="3"/>
      <c r="L41" s="3" t="s">
        <v>159</v>
      </c>
      <c r="M41" s="3" t="s">
        <v>160</v>
      </c>
      <c r="N41" s="3" t="s">
        <v>22</v>
      </c>
      <c r="O41" s="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 t="s">
        <v>14</v>
      </c>
      <c r="B42" s="7" t="s">
        <v>161</v>
      </c>
      <c r="C42" s="36" t="s">
        <v>3595</v>
      </c>
      <c r="D42" s="3" t="s">
        <v>154</v>
      </c>
      <c r="E42" s="3" t="s">
        <v>155</v>
      </c>
      <c r="F42" s="3" t="s">
        <v>156</v>
      </c>
      <c r="G42" s="3" t="s">
        <v>162</v>
      </c>
      <c r="H42" s="3" t="s">
        <v>163</v>
      </c>
      <c r="I42" s="4">
        <v>2.0</v>
      </c>
      <c r="J42" s="4">
        <v>2.0</v>
      </c>
      <c r="K42" s="3"/>
      <c r="L42" s="3" t="s">
        <v>159</v>
      </c>
      <c r="M42" s="3" t="s">
        <v>160</v>
      </c>
      <c r="N42" s="3" t="s">
        <v>22</v>
      </c>
      <c r="O42" s="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 t="s">
        <v>14</v>
      </c>
      <c r="B43" s="3" t="s">
        <v>164</v>
      </c>
      <c r="C43" s="36" t="s">
        <v>3601</v>
      </c>
      <c r="D43" s="3" t="s">
        <v>165</v>
      </c>
      <c r="E43" s="6" t="s">
        <v>166</v>
      </c>
      <c r="F43" s="3" t="s">
        <v>167</v>
      </c>
      <c r="G43" s="6" t="s">
        <v>168</v>
      </c>
      <c r="H43" s="3" t="s">
        <v>158</v>
      </c>
      <c r="I43" s="4">
        <v>1.0</v>
      </c>
      <c r="J43" s="4">
        <v>1.0</v>
      </c>
      <c r="K43" s="3" t="s">
        <v>72</v>
      </c>
      <c r="L43" s="3" t="s">
        <v>169</v>
      </c>
      <c r="M43" s="3" t="s">
        <v>170</v>
      </c>
      <c r="N43" s="3" t="s">
        <v>22</v>
      </c>
      <c r="O43" s="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 t="s">
        <v>14</v>
      </c>
      <c r="B44" s="3" t="s">
        <v>164</v>
      </c>
      <c r="C44" s="36" t="s">
        <v>3601</v>
      </c>
      <c r="D44" s="3" t="s">
        <v>165</v>
      </c>
      <c r="E44" s="6" t="s">
        <v>166</v>
      </c>
      <c r="F44" s="3" t="s">
        <v>167</v>
      </c>
      <c r="G44" s="6" t="s">
        <v>171</v>
      </c>
      <c r="H44" s="3" t="s">
        <v>172</v>
      </c>
      <c r="I44" s="4">
        <v>2.0</v>
      </c>
      <c r="J44" s="4">
        <v>2.0</v>
      </c>
      <c r="K44" s="3" t="s">
        <v>80</v>
      </c>
      <c r="L44" s="3" t="s">
        <v>169</v>
      </c>
      <c r="M44" s="3" t="s">
        <v>170</v>
      </c>
      <c r="N44" s="3" t="s">
        <v>22</v>
      </c>
      <c r="O44" s="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 t="s">
        <v>14</v>
      </c>
      <c r="B45" s="3" t="s">
        <v>164</v>
      </c>
      <c r="C45" s="36" t="s">
        <v>3601</v>
      </c>
      <c r="D45" s="3" t="s">
        <v>165</v>
      </c>
      <c r="E45" s="6" t="s">
        <v>166</v>
      </c>
      <c r="F45" s="3" t="s">
        <v>167</v>
      </c>
      <c r="G45" s="3" t="s">
        <v>36</v>
      </c>
      <c r="H45" s="3" t="s">
        <v>173</v>
      </c>
      <c r="I45" s="4" t="s">
        <v>36</v>
      </c>
      <c r="J45" s="4">
        <v>3.0</v>
      </c>
      <c r="K45" s="3"/>
      <c r="L45" s="3" t="s">
        <v>169</v>
      </c>
      <c r="M45" s="3" t="s">
        <v>170</v>
      </c>
      <c r="N45" s="3" t="s">
        <v>22</v>
      </c>
      <c r="O45" s="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 t="s">
        <v>14</v>
      </c>
      <c r="B46" s="3" t="s">
        <v>164</v>
      </c>
      <c r="C46" s="36" t="s">
        <v>3601</v>
      </c>
      <c r="D46" s="3" t="s">
        <v>165</v>
      </c>
      <c r="E46" s="6" t="s">
        <v>166</v>
      </c>
      <c r="F46" s="3" t="s">
        <v>167</v>
      </c>
      <c r="G46" s="3" t="s">
        <v>174</v>
      </c>
      <c r="H46" s="3" t="s">
        <v>175</v>
      </c>
      <c r="I46" s="4">
        <v>3.0</v>
      </c>
      <c r="J46" s="4">
        <v>4.0</v>
      </c>
      <c r="K46" s="5"/>
      <c r="L46" s="3" t="s">
        <v>169</v>
      </c>
      <c r="M46" s="3" t="s">
        <v>170</v>
      </c>
      <c r="N46" s="3" t="s">
        <v>22</v>
      </c>
      <c r="O46" s="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 t="s">
        <v>14</v>
      </c>
      <c r="B47" s="3" t="s">
        <v>176</v>
      </c>
      <c r="C47" s="36" t="s">
        <v>3595</v>
      </c>
      <c r="D47" s="3" t="s">
        <v>177</v>
      </c>
      <c r="E47" s="3" t="s">
        <v>178</v>
      </c>
      <c r="F47" s="3" t="s">
        <v>178</v>
      </c>
      <c r="G47" s="3" t="s">
        <v>168</v>
      </c>
      <c r="H47" s="3" t="s">
        <v>168</v>
      </c>
      <c r="I47" s="4">
        <v>1.0</v>
      </c>
      <c r="J47" s="4">
        <v>1.0</v>
      </c>
      <c r="K47" s="3" t="s">
        <v>72</v>
      </c>
      <c r="L47" s="3" t="s">
        <v>179</v>
      </c>
      <c r="M47" s="3" t="s">
        <v>180</v>
      </c>
      <c r="N47" s="3" t="s">
        <v>22</v>
      </c>
      <c r="O47" s="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 t="s">
        <v>14</v>
      </c>
      <c r="B48" s="3" t="s">
        <v>176</v>
      </c>
      <c r="C48" s="36" t="s">
        <v>3595</v>
      </c>
      <c r="D48" s="3" t="s">
        <v>177</v>
      </c>
      <c r="E48" s="3" t="s">
        <v>178</v>
      </c>
      <c r="F48" s="3" t="s">
        <v>178</v>
      </c>
      <c r="G48" s="3" t="s">
        <v>181</v>
      </c>
      <c r="H48" s="3" t="s">
        <v>181</v>
      </c>
      <c r="I48" s="4">
        <v>2.0</v>
      </c>
      <c r="J48" s="4">
        <v>2.0</v>
      </c>
      <c r="K48" s="3"/>
      <c r="L48" s="3" t="s">
        <v>179</v>
      </c>
      <c r="M48" s="3" t="s">
        <v>180</v>
      </c>
      <c r="N48" s="3" t="s">
        <v>22</v>
      </c>
      <c r="O48" s="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 t="s">
        <v>14</v>
      </c>
      <c r="B49" s="3" t="s">
        <v>182</v>
      </c>
      <c r="C49" s="36" t="s">
        <v>3597</v>
      </c>
      <c r="D49" s="3" t="s">
        <v>183</v>
      </c>
      <c r="E49" s="7" t="s">
        <v>184</v>
      </c>
      <c r="F49" s="8" t="s">
        <v>185</v>
      </c>
      <c r="G49" s="7" t="s">
        <v>168</v>
      </c>
      <c r="H49" s="8" t="s">
        <v>168</v>
      </c>
      <c r="I49" s="4">
        <v>1.0</v>
      </c>
      <c r="J49" s="4">
        <v>1.0</v>
      </c>
      <c r="K49" s="5"/>
      <c r="L49" s="3" t="s">
        <v>186</v>
      </c>
      <c r="M49" s="3" t="s">
        <v>187</v>
      </c>
      <c r="N49" s="3" t="s">
        <v>22</v>
      </c>
      <c r="O49" s="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 t="s">
        <v>14</v>
      </c>
      <c r="B50" s="3" t="s">
        <v>182</v>
      </c>
      <c r="C50" s="36" t="s">
        <v>3597</v>
      </c>
      <c r="D50" s="3" t="s">
        <v>183</v>
      </c>
      <c r="E50" s="7" t="s">
        <v>184</v>
      </c>
      <c r="F50" s="8" t="s">
        <v>185</v>
      </c>
      <c r="G50" s="14" t="s">
        <v>188</v>
      </c>
      <c r="H50" s="3" t="s">
        <v>189</v>
      </c>
      <c r="I50" s="4">
        <v>2.0</v>
      </c>
      <c r="J50" s="4">
        <v>2.0</v>
      </c>
      <c r="K50" s="5"/>
      <c r="L50" s="3" t="s">
        <v>186</v>
      </c>
      <c r="M50" s="3" t="s">
        <v>187</v>
      </c>
      <c r="N50" s="3" t="s">
        <v>22</v>
      </c>
      <c r="O50" s="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 t="s">
        <v>14</v>
      </c>
      <c r="B51" s="3" t="s">
        <v>182</v>
      </c>
      <c r="C51" s="36" t="s">
        <v>3597</v>
      </c>
      <c r="D51" s="3" t="s">
        <v>183</v>
      </c>
      <c r="E51" s="7" t="s">
        <v>184</v>
      </c>
      <c r="F51" s="8" t="s">
        <v>185</v>
      </c>
      <c r="G51" s="7" t="s">
        <v>190</v>
      </c>
      <c r="H51" s="3" t="s">
        <v>190</v>
      </c>
      <c r="I51" s="4">
        <v>3.0</v>
      </c>
      <c r="J51" s="4">
        <v>3.0</v>
      </c>
      <c r="K51" s="5"/>
      <c r="L51" s="3" t="s">
        <v>186</v>
      </c>
      <c r="M51" s="3" t="s">
        <v>187</v>
      </c>
      <c r="N51" s="3" t="s">
        <v>22</v>
      </c>
      <c r="O51" s="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 t="s">
        <v>14</v>
      </c>
      <c r="B52" s="3" t="s">
        <v>191</v>
      </c>
      <c r="C52" s="33" t="s">
        <v>3600</v>
      </c>
      <c r="D52" s="3" t="s">
        <v>192</v>
      </c>
      <c r="E52" s="3" t="s">
        <v>193</v>
      </c>
      <c r="F52" s="3" t="s">
        <v>192</v>
      </c>
      <c r="G52" s="3" t="s">
        <v>194</v>
      </c>
      <c r="H52" s="3" t="s">
        <v>192</v>
      </c>
      <c r="I52" s="4">
        <v>1.0</v>
      </c>
      <c r="J52" s="4">
        <v>1.0</v>
      </c>
      <c r="K52" s="5"/>
      <c r="L52" s="3" t="s">
        <v>195</v>
      </c>
      <c r="M52" s="3" t="s">
        <v>196</v>
      </c>
      <c r="N52" s="3" t="s">
        <v>22</v>
      </c>
      <c r="O52" s="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 t="s">
        <v>14</v>
      </c>
      <c r="B53" s="3" t="s">
        <v>191</v>
      </c>
      <c r="C53" s="33" t="s">
        <v>3600</v>
      </c>
      <c r="D53" s="3" t="s">
        <v>192</v>
      </c>
      <c r="E53" s="3" t="s">
        <v>193</v>
      </c>
      <c r="F53" s="3" t="s">
        <v>192</v>
      </c>
      <c r="G53" s="3" t="s">
        <v>197</v>
      </c>
      <c r="H53" s="3" t="s">
        <v>36</v>
      </c>
      <c r="I53" s="4">
        <v>2.0</v>
      </c>
      <c r="J53" s="4" t="s">
        <v>36</v>
      </c>
      <c r="K53" s="3"/>
      <c r="L53" s="3" t="s">
        <v>195</v>
      </c>
      <c r="M53" s="3" t="s">
        <v>196</v>
      </c>
      <c r="N53" s="3" t="s">
        <v>22</v>
      </c>
      <c r="O53" s="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 t="s">
        <v>14</v>
      </c>
      <c r="B54" s="3" t="s">
        <v>198</v>
      </c>
      <c r="C54" s="33" t="s">
        <v>3600</v>
      </c>
      <c r="D54" s="3" t="s">
        <v>199</v>
      </c>
      <c r="E54" s="3" t="s">
        <v>200</v>
      </c>
      <c r="F54" s="3" t="s">
        <v>201</v>
      </c>
      <c r="G54" s="3" t="s">
        <v>202</v>
      </c>
      <c r="H54" s="3" t="s">
        <v>202</v>
      </c>
      <c r="I54" s="4">
        <v>1.0</v>
      </c>
      <c r="J54" s="4">
        <v>1.0</v>
      </c>
      <c r="K54" s="3"/>
      <c r="L54" s="3" t="s">
        <v>203</v>
      </c>
      <c r="M54" s="3" t="s">
        <v>204</v>
      </c>
      <c r="N54" s="3" t="s">
        <v>22</v>
      </c>
      <c r="O54" s="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" t="s">
        <v>14</v>
      </c>
      <c r="B55" s="3" t="s">
        <v>198</v>
      </c>
      <c r="C55" s="33" t="s">
        <v>3600</v>
      </c>
      <c r="D55" s="3" t="s">
        <v>199</v>
      </c>
      <c r="E55" s="3" t="s">
        <v>200</v>
      </c>
      <c r="F55" s="3" t="s">
        <v>201</v>
      </c>
      <c r="G55" s="3" t="s">
        <v>205</v>
      </c>
      <c r="H55" s="3" t="s">
        <v>24</v>
      </c>
      <c r="I55" s="4">
        <v>2.0</v>
      </c>
      <c r="J55" s="4">
        <v>2.0</v>
      </c>
      <c r="K55" s="3"/>
      <c r="L55" s="3" t="s">
        <v>203</v>
      </c>
      <c r="M55" s="3" t="s">
        <v>204</v>
      </c>
      <c r="N55" s="3" t="s">
        <v>22</v>
      </c>
      <c r="O55" s="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 t="s">
        <v>14</v>
      </c>
      <c r="B56" s="3" t="s">
        <v>206</v>
      </c>
      <c r="C56" s="36" t="s">
        <v>3597</v>
      </c>
      <c r="D56" s="3" t="s">
        <v>207</v>
      </c>
      <c r="E56" s="3" t="s">
        <v>208</v>
      </c>
      <c r="F56" s="3" t="s">
        <v>209</v>
      </c>
      <c r="G56" s="3" t="s">
        <v>210</v>
      </c>
      <c r="H56" s="3" t="s">
        <v>49</v>
      </c>
      <c r="I56" s="4">
        <v>1.0</v>
      </c>
      <c r="J56" s="4">
        <v>1.0</v>
      </c>
      <c r="K56" s="5"/>
      <c r="L56" s="3" t="s">
        <v>211</v>
      </c>
      <c r="M56" s="3" t="s">
        <v>212</v>
      </c>
      <c r="N56" s="3" t="s">
        <v>22</v>
      </c>
      <c r="O56" s="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" t="s">
        <v>14</v>
      </c>
      <c r="B57" s="3" t="s">
        <v>206</v>
      </c>
      <c r="C57" s="36" t="s">
        <v>3597</v>
      </c>
      <c r="D57" s="3" t="s">
        <v>207</v>
      </c>
      <c r="E57" s="3" t="s">
        <v>208</v>
      </c>
      <c r="F57" s="3" t="s">
        <v>209</v>
      </c>
      <c r="G57" s="8" t="s">
        <v>210</v>
      </c>
      <c r="H57" s="3" t="s">
        <v>62</v>
      </c>
      <c r="I57" s="4">
        <v>2.0</v>
      </c>
      <c r="J57" s="4">
        <v>2.0</v>
      </c>
      <c r="K57" s="5"/>
      <c r="L57" s="3" t="s">
        <v>211</v>
      </c>
      <c r="M57" s="3" t="s">
        <v>212</v>
      </c>
      <c r="N57" s="3" t="s">
        <v>22</v>
      </c>
      <c r="O57" s="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 t="s">
        <v>14</v>
      </c>
      <c r="B58" s="3" t="s">
        <v>206</v>
      </c>
      <c r="C58" s="36" t="s">
        <v>3597</v>
      </c>
      <c r="D58" s="3" t="s">
        <v>207</v>
      </c>
      <c r="E58" s="3" t="s">
        <v>208</v>
      </c>
      <c r="F58" s="3" t="s">
        <v>209</v>
      </c>
      <c r="G58" s="3" t="s">
        <v>36</v>
      </c>
      <c r="H58" s="3" t="s">
        <v>175</v>
      </c>
      <c r="I58" s="4" t="s">
        <v>36</v>
      </c>
      <c r="J58" s="4">
        <v>3.0</v>
      </c>
      <c r="K58" s="5"/>
      <c r="L58" s="3" t="s">
        <v>211</v>
      </c>
      <c r="M58" s="3" t="s">
        <v>212</v>
      </c>
      <c r="N58" s="3" t="s">
        <v>22</v>
      </c>
      <c r="O58" s="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" t="s">
        <v>14</v>
      </c>
      <c r="B59" s="3" t="s">
        <v>206</v>
      </c>
      <c r="C59" s="36" t="s">
        <v>3597</v>
      </c>
      <c r="D59" s="3" t="s">
        <v>207</v>
      </c>
      <c r="E59" s="3" t="s">
        <v>208</v>
      </c>
      <c r="F59" s="3" t="s">
        <v>209</v>
      </c>
      <c r="G59" s="3" t="s">
        <v>213</v>
      </c>
      <c r="H59" s="3" t="s">
        <v>214</v>
      </c>
      <c r="I59" s="4">
        <v>3.0</v>
      </c>
      <c r="J59" s="4">
        <v>4.0</v>
      </c>
      <c r="K59" s="5"/>
      <c r="L59" s="3" t="s">
        <v>211</v>
      </c>
      <c r="M59" s="3" t="s">
        <v>212</v>
      </c>
      <c r="N59" s="3" t="s">
        <v>22</v>
      </c>
      <c r="O59" s="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 t="s">
        <v>14</v>
      </c>
      <c r="B60" s="3" t="s">
        <v>215</v>
      </c>
      <c r="C60" s="33" t="s">
        <v>3592</v>
      </c>
      <c r="D60" s="3" t="s">
        <v>216</v>
      </c>
      <c r="E60" s="3" t="s">
        <v>217</v>
      </c>
      <c r="F60" s="3" t="s">
        <v>218</v>
      </c>
      <c r="G60" s="3" t="s">
        <v>173</v>
      </c>
      <c r="H60" s="3" t="s">
        <v>219</v>
      </c>
      <c r="I60" s="4">
        <v>1.0</v>
      </c>
      <c r="J60" s="4">
        <v>1.0</v>
      </c>
      <c r="K60" s="5"/>
      <c r="L60" s="3" t="s">
        <v>220</v>
      </c>
      <c r="M60" s="3" t="s">
        <v>221</v>
      </c>
      <c r="N60" s="3" t="s">
        <v>22</v>
      </c>
      <c r="O60" s="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" t="s">
        <v>14</v>
      </c>
      <c r="B61" s="3" t="s">
        <v>215</v>
      </c>
      <c r="C61" s="33" t="s">
        <v>3592</v>
      </c>
      <c r="D61" s="3" t="s">
        <v>216</v>
      </c>
      <c r="E61" s="3" t="s">
        <v>217</v>
      </c>
      <c r="F61" s="3" t="s">
        <v>218</v>
      </c>
      <c r="G61" s="3" t="s">
        <v>222</v>
      </c>
      <c r="H61" s="3" t="s">
        <v>222</v>
      </c>
      <c r="I61" s="4">
        <v>2.0</v>
      </c>
      <c r="J61" s="4">
        <v>2.0</v>
      </c>
      <c r="K61" s="5"/>
      <c r="L61" s="3" t="s">
        <v>220</v>
      </c>
      <c r="M61" s="3" t="s">
        <v>221</v>
      </c>
      <c r="N61" s="3" t="s">
        <v>22</v>
      </c>
      <c r="O61" s="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6" t="s">
        <v>14</v>
      </c>
      <c r="B62" s="6" t="s">
        <v>223</v>
      </c>
      <c r="C62" s="33" t="s">
        <v>3592</v>
      </c>
      <c r="D62" s="6" t="s">
        <v>224</v>
      </c>
      <c r="E62" s="6" t="s">
        <v>225</v>
      </c>
      <c r="F62" s="6" t="s">
        <v>224</v>
      </c>
      <c r="G62" s="6" t="s">
        <v>29</v>
      </c>
      <c r="H62" s="6" t="s">
        <v>36</v>
      </c>
      <c r="I62" s="9">
        <v>1.0</v>
      </c>
      <c r="J62" s="9" t="s">
        <v>36</v>
      </c>
      <c r="K62" s="6" t="s">
        <v>72</v>
      </c>
      <c r="L62" s="6" t="s">
        <v>226</v>
      </c>
      <c r="M62" s="6" t="s">
        <v>227</v>
      </c>
      <c r="N62" s="6" t="s">
        <v>22</v>
      </c>
      <c r="O62" s="10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6" t="s">
        <v>14</v>
      </c>
      <c r="B63" s="6" t="s">
        <v>223</v>
      </c>
      <c r="C63" s="33" t="s">
        <v>3592</v>
      </c>
      <c r="D63" s="6" t="s">
        <v>224</v>
      </c>
      <c r="E63" s="6" t="s">
        <v>225</v>
      </c>
      <c r="F63" s="6" t="s">
        <v>224</v>
      </c>
      <c r="G63" s="6" t="s">
        <v>228</v>
      </c>
      <c r="H63" s="15" t="s">
        <v>224</v>
      </c>
      <c r="I63" s="9">
        <v>2.0</v>
      </c>
      <c r="J63" s="9">
        <v>1.0</v>
      </c>
      <c r="K63" s="6"/>
      <c r="L63" s="6" t="s">
        <v>226</v>
      </c>
      <c r="M63" s="6" t="s">
        <v>227</v>
      </c>
      <c r="N63" s="6" t="s">
        <v>22</v>
      </c>
      <c r="O63" s="10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3" t="s">
        <v>14</v>
      </c>
      <c r="B64" s="3" t="s">
        <v>229</v>
      </c>
      <c r="C64" s="36" t="s">
        <v>3597</v>
      </c>
      <c r="D64" s="3" t="s">
        <v>230</v>
      </c>
      <c r="E64" s="3" t="s">
        <v>231</v>
      </c>
      <c r="F64" s="3" t="s">
        <v>232</v>
      </c>
      <c r="G64" s="3" t="s">
        <v>233</v>
      </c>
      <c r="H64" s="3" t="s">
        <v>233</v>
      </c>
      <c r="I64" s="4">
        <v>1.0</v>
      </c>
      <c r="J64" s="4">
        <v>1.0</v>
      </c>
      <c r="K64" s="3" t="s">
        <v>72</v>
      </c>
      <c r="L64" s="3" t="s">
        <v>234</v>
      </c>
      <c r="M64" s="3" t="s">
        <v>235</v>
      </c>
      <c r="N64" s="3" t="s">
        <v>22</v>
      </c>
      <c r="O64" s="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" t="s">
        <v>14</v>
      </c>
      <c r="B65" s="3" t="s">
        <v>229</v>
      </c>
      <c r="C65" s="36" t="s">
        <v>3597</v>
      </c>
      <c r="D65" s="3" t="s">
        <v>230</v>
      </c>
      <c r="E65" s="3" t="s">
        <v>231</v>
      </c>
      <c r="F65" s="3" t="s">
        <v>232</v>
      </c>
      <c r="G65" s="3" t="s">
        <v>236</v>
      </c>
      <c r="H65" s="8" t="s">
        <v>237</v>
      </c>
      <c r="I65" s="4">
        <v>2.0</v>
      </c>
      <c r="J65" s="4">
        <v>2.0</v>
      </c>
      <c r="K65" s="3"/>
      <c r="L65" s="3" t="s">
        <v>234</v>
      </c>
      <c r="M65" s="3" t="s">
        <v>235</v>
      </c>
      <c r="N65" s="3" t="s">
        <v>22</v>
      </c>
      <c r="O65" s="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 t="s">
        <v>14</v>
      </c>
      <c r="B66" s="3" t="s">
        <v>229</v>
      </c>
      <c r="C66" s="36" t="s">
        <v>3597</v>
      </c>
      <c r="D66" s="3" t="s">
        <v>230</v>
      </c>
      <c r="E66" s="3" t="s">
        <v>231</v>
      </c>
      <c r="F66" s="3" t="s">
        <v>232</v>
      </c>
      <c r="G66" s="3" t="s">
        <v>238</v>
      </c>
      <c r="H66" s="3" t="s">
        <v>238</v>
      </c>
      <c r="I66" s="4">
        <v>3.0</v>
      </c>
      <c r="J66" s="4">
        <v>3.0</v>
      </c>
      <c r="K66" s="3"/>
      <c r="L66" s="3" t="s">
        <v>234</v>
      </c>
      <c r="M66" s="3" t="s">
        <v>235</v>
      </c>
      <c r="N66" s="3" t="s">
        <v>22</v>
      </c>
      <c r="O66" s="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" t="s">
        <v>14</v>
      </c>
      <c r="B67" s="3" t="s">
        <v>239</v>
      </c>
      <c r="C67" s="36" t="s">
        <v>3593</v>
      </c>
      <c r="D67" s="3" t="s">
        <v>240</v>
      </c>
      <c r="E67" s="3" t="s">
        <v>241</v>
      </c>
      <c r="F67" s="8" t="s">
        <v>242</v>
      </c>
      <c r="G67" s="3" t="s">
        <v>128</v>
      </c>
      <c r="H67" s="3" t="s">
        <v>36</v>
      </c>
      <c r="I67" s="4">
        <v>1.0</v>
      </c>
      <c r="J67" s="4" t="s">
        <v>36</v>
      </c>
      <c r="K67" s="3" t="s">
        <v>80</v>
      </c>
      <c r="L67" s="3" t="s">
        <v>242</v>
      </c>
      <c r="M67" s="3" t="s">
        <v>243</v>
      </c>
      <c r="N67" s="3" t="s">
        <v>22</v>
      </c>
      <c r="O67" s="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 t="s">
        <v>14</v>
      </c>
      <c r="B68" s="3" t="s">
        <v>239</v>
      </c>
      <c r="C68" s="36" t="s">
        <v>3593</v>
      </c>
      <c r="D68" s="3" t="s">
        <v>240</v>
      </c>
      <c r="E68" s="3" t="s">
        <v>241</v>
      </c>
      <c r="F68" s="8" t="s">
        <v>242</v>
      </c>
      <c r="G68" s="8" t="s">
        <v>244</v>
      </c>
      <c r="H68" s="16" t="s">
        <v>242</v>
      </c>
      <c r="I68" s="4">
        <v>2.0</v>
      </c>
      <c r="J68" s="4">
        <v>1.0</v>
      </c>
      <c r="K68" s="3"/>
      <c r="L68" s="3" t="s">
        <v>242</v>
      </c>
      <c r="M68" s="3" t="s">
        <v>243</v>
      </c>
      <c r="N68" s="3" t="s">
        <v>22</v>
      </c>
      <c r="O68" s="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" t="s">
        <v>14</v>
      </c>
      <c r="B69" s="3" t="s">
        <v>239</v>
      </c>
      <c r="C69" s="36" t="s">
        <v>3593</v>
      </c>
      <c r="D69" s="3" t="s">
        <v>240</v>
      </c>
      <c r="E69" s="3" t="s">
        <v>241</v>
      </c>
      <c r="F69" s="8" t="s">
        <v>242</v>
      </c>
      <c r="G69" s="3" t="s">
        <v>245</v>
      </c>
      <c r="H69" s="3" t="s">
        <v>36</v>
      </c>
      <c r="I69" s="4">
        <v>3.0</v>
      </c>
      <c r="J69" s="4" t="s">
        <v>36</v>
      </c>
      <c r="K69" s="3"/>
      <c r="L69" s="3" t="s">
        <v>242</v>
      </c>
      <c r="M69" s="3" t="s">
        <v>243</v>
      </c>
      <c r="N69" s="3" t="s">
        <v>22</v>
      </c>
      <c r="O69" s="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 t="s">
        <v>14</v>
      </c>
      <c r="B70" s="3" t="s">
        <v>246</v>
      </c>
      <c r="C70" s="33" t="s">
        <v>3600</v>
      </c>
      <c r="D70" s="3" t="s">
        <v>247</v>
      </c>
      <c r="E70" s="3" t="s">
        <v>248</v>
      </c>
      <c r="F70" s="3" t="s">
        <v>249</v>
      </c>
      <c r="G70" s="3" t="s">
        <v>250</v>
      </c>
      <c r="H70" s="3" t="s">
        <v>251</v>
      </c>
      <c r="I70" s="4">
        <v>1.0</v>
      </c>
      <c r="J70" s="4">
        <v>1.0</v>
      </c>
      <c r="K70" s="5"/>
      <c r="L70" s="3" t="s">
        <v>252</v>
      </c>
      <c r="M70" s="3" t="s">
        <v>253</v>
      </c>
      <c r="N70" s="3" t="s">
        <v>22</v>
      </c>
      <c r="O70" s="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 t="s">
        <v>14</v>
      </c>
      <c r="B71" s="3" t="s">
        <v>246</v>
      </c>
      <c r="C71" s="33" t="s">
        <v>3600</v>
      </c>
      <c r="D71" s="3" t="s">
        <v>247</v>
      </c>
      <c r="E71" s="3" t="s">
        <v>248</v>
      </c>
      <c r="F71" s="3" t="s">
        <v>249</v>
      </c>
      <c r="G71" s="3" t="s">
        <v>254</v>
      </c>
      <c r="H71" s="3" t="s">
        <v>254</v>
      </c>
      <c r="I71" s="4">
        <v>2.0</v>
      </c>
      <c r="J71" s="4">
        <v>2.0</v>
      </c>
      <c r="K71" s="5"/>
      <c r="L71" s="3" t="s">
        <v>252</v>
      </c>
      <c r="M71" s="3" t="s">
        <v>253</v>
      </c>
      <c r="N71" s="3" t="s">
        <v>22</v>
      </c>
      <c r="O71" s="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" t="s">
        <v>14</v>
      </c>
      <c r="B72" s="3" t="s">
        <v>255</v>
      </c>
      <c r="C72" s="33" t="s">
        <v>3600</v>
      </c>
      <c r="D72" s="3" t="s">
        <v>256</v>
      </c>
      <c r="E72" s="3" t="s">
        <v>257</v>
      </c>
      <c r="F72" s="3" t="s">
        <v>258</v>
      </c>
      <c r="G72" s="3" t="s">
        <v>36</v>
      </c>
      <c r="H72" s="3" t="s">
        <v>49</v>
      </c>
      <c r="I72" s="4" t="s">
        <v>36</v>
      </c>
      <c r="J72" s="4">
        <v>1.0</v>
      </c>
      <c r="K72" s="5"/>
      <c r="L72" s="3" t="s">
        <v>259</v>
      </c>
      <c r="M72" s="3" t="s">
        <v>260</v>
      </c>
      <c r="N72" s="3" t="s">
        <v>22</v>
      </c>
      <c r="O72" s="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" t="s">
        <v>14</v>
      </c>
      <c r="B73" s="3" t="s">
        <v>255</v>
      </c>
      <c r="C73" s="33" t="s">
        <v>3600</v>
      </c>
      <c r="D73" s="3" t="s">
        <v>256</v>
      </c>
      <c r="E73" s="3" t="s">
        <v>257</v>
      </c>
      <c r="F73" s="3" t="s">
        <v>258</v>
      </c>
      <c r="G73" s="3" t="s">
        <v>261</v>
      </c>
      <c r="H73" s="3" t="s">
        <v>261</v>
      </c>
      <c r="I73" s="4">
        <v>1.0</v>
      </c>
      <c r="J73" s="4">
        <v>2.0</v>
      </c>
      <c r="K73" s="5"/>
      <c r="L73" s="3" t="s">
        <v>259</v>
      </c>
      <c r="M73" s="3" t="s">
        <v>260</v>
      </c>
      <c r="N73" s="3" t="s">
        <v>22</v>
      </c>
      <c r="O73" s="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 t="s">
        <v>14</v>
      </c>
      <c r="B74" s="3" t="s">
        <v>255</v>
      </c>
      <c r="C74" s="33" t="s">
        <v>3600</v>
      </c>
      <c r="D74" s="3" t="s">
        <v>256</v>
      </c>
      <c r="E74" s="3" t="s">
        <v>257</v>
      </c>
      <c r="F74" s="3" t="s">
        <v>258</v>
      </c>
      <c r="G74" s="3" t="s">
        <v>262</v>
      </c>
      <c r="H74" s="3" t="s">
        <v>263</v>
      </c>
      <c r="I74" s="4">
        <v>2.0</v>
      </c>
      <c r="J74" s="4">
        <v>3.0</v>
      </c>
      <c r="K74" s="5"/>
      <c r="L74" s="3" t="s">
        <v>259</v>
      </c>
      <c r="M74" s="3" t="s">
        <v>260</v>
      </c>
      <c r="N74" s="3" t="s">
        <v>22</v>
      </c>
      <c r="O74" s="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" t="s">
        <v>14</v>
      </c>
      <c r="B75" s="3" t="s">
        <v>264</v>
      </c>
      <c r="C75" s="33" t="s">
        <v>3600</v>
      </c>
      <c r="D75" s="3" t="s">
        <v>265</v>
      </c>
      <c r="E75" s="3" t="s">
        <v>266</v>
      </c>
      <c r="F75" s="3" t="s">
        <v>267</v>
      </c>
      <c r="G75" s="3" t="s">
        <v>268</v>
      </c>
      <c r="H75" s="3" t="s">
        <v>269</v>
      </c>
      <c r="I75" s="4">
        <v>1.0</v>
      </c>
      <c r="J75" s="4">
        <v>1.0</v>
      </c>
      <c r="K75" s="5"/>
      <c r="L75" s="3" t="s">
        <v>270</v>
      </c>
      <c r="M75" s="3" t="s">
        <v>271</v>
      </c>
      <c r="N75" s="3" t="s">
        <v>22</v>
      </c>
      <c r="O75" s="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 t="s">
        <v>14</v>
      </c>
      <c r="B76" s="3" t="s">
        <v>264</v>
      </c>
      <c r="C76" s="33" t="s">
        <v>3600</v>
      </c>
      <c r="D76" s="3" t="s">
        <v>265</v>
      </c>
      <c r="E76" s="3" t="s">
        <v>266</v>
      </c>
      <c r="F76" s="3" t="s">
        <v>267</v>
      </c>
      <c r="G76" s="3" t="s">
        <v>98</v>
      </c>
      <c r="H76" s="3" t="s">
        <v>98</v>
      </c>
      <c r="I76" s="4">
        <v>2.0</v>
      </c>
      <c r="J76" s="4">
        <v>2.0</v>
      </c>
      <c r="K76" s="5"/>
      <c r="L76" s="3" t="s">
        <v>270</v>
      </c>
      <c r="M76" s="3" t="s">
        <v>271</v>
      </c>
      <c r="N76" s="3" t="s">
        <v>22</v>
      </c>
      <c r="O76" s="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" t="s">
        <v>14</v>
      </c>
      <c r="B77" s="3" t="s">
        <v>272</v>
      </c>
      <c r="C77" s="36" t="s">
        <v>3597</v>
      </c>
      <c r="D77" s="3" t="s">
        <v>273</v>
      </c>
      <c r="E77" s="3" t="s">
        <v>274</v>
      </c>
      <c r="F77" s="3" t="s">
        <v>275</v>
      </c>
      <c r="G77" s="3" t="s">
        <v>276</v>
      </c>
      <c r="H77" s="3" t="s">
        <v>276</v>
      </c>
      <c r="I77" s="4">
        <v>1.0</v>
      </c>
      <c r="J77" s="4">
        <v>1.0</v>
      </c>
      <c r="K77" s="3" t="s">
        <v>72</v>
      </c>
      <c r="L77" s="3" t="s">
        <v>277</v>
      </c>
      <c r="M77" s="3" t="s">
        <v>278</v>
      </c>
      <c r="N77" s="3" t="s">
        <v>22</v>
      </c>
      <c r="O77" s="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 t="s">
        <v>14</v>
      </c>
      <c r="B78" s="3" t="s">
        <v>272</v>
      </c>
      <c r="C78" s="36" t="s">
        <v>3597</v>
      </c>
      <c r="D78" s="3" t="s">
        <v>273</v>
      </c>
      <c r="E78" s="3" t="s">
        <v>274</v>
      </c>
      <c r="F78" s="3" t="s">
        <v>275</v>
      </c>
      <c r="G78" s="3" t="s">
        <v>279</v>
      </c>
      <c r="H78" s="3" t="s">
        <v>280</v>
      </c>
      <c r="I78" s="4">
        <v>2.0</v>
      </c>
      <c r="J78" s="4">
        <v>2.0</v>
      </c>
      <c r="K78" s="3"/>
      <c r="L78" s="3" t="s">
        <v>277</v>
      </c>
      <c r="M78" s="3" t="s">
        <v>278</v>
      </c>
      <c r="N78" s="3" t="s">
        <v>22</v>
      </c>
      <c r="O78" s="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 t="s">
        <v>14</v>
      </c>
      <c r="B79" s="3" t="s">
        <v>272</v>
      </c>
      <c r="C79" s="36" t="s">
        <v>3597</v>
      </c>
      <c r="D79" s="3" t="s">
        <v>273</v>
      </c>
      <c r="E79" s="3" t="s">
        <v>274</v>
      </c>
      <c r="F79" s="3" t="s">
        <v>275</v>
      </c>
      <c r="G79" s="3" t="s">
        <v>281</v>
      </c>
      <c r="H79" s="3" t="s">
        <v>282</v>
      </c>
      <c r="I79" s="4">
        <v>3.0</v>
      </c>
      <c r="J79" s="4">
        <v>3.0</v>
      </c>
      <c r="K79" s="3"/>
      <c r="L79" s="3" t="s">
        <v>277</v>
      </c>
      <c r="M79" s="3" t="s">
        <v>278</v>
      </c>
      <c r="N79" s="3" t="s">
        <v>22</v>
      </c>
      <c r="O79" s="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 t="s">
        <v>14</v>
      </c>
      <c r="B80" s="3" t="s">
        <v>283</v>
      </c>
      <c r="C80" s="36" t="s">
        <v>3593</v>
      </c>
      <c r="D80" s="3" t="s">
        <v>284</v>
      </c>
      <c r="E80" s="3" t="s">
        <v>285</v>
      </c>
      <c r="F80" s="3" t="s">
        <v>286</v>
      </c>
      <c r="G80" s="3" t="s">
        <v>287</v>
      </c>
      <c r="H80" s="3" t="s">
        <v>49</v>
      </c>
      <c r="I80" s="4">
        <v>1.0</v>
      </c>
      <c r="J80" s="4">
        <v>1.0</v>
      </c>
      <c r="K80" s="5"/>
      <c r="L80" s="3" t="s">
        <v>288</v>
      </c>
      <c r="M80" s="3" t="s">
        <v>289</v>
      </c>
      <c r="N80" s="3" t="s">
        <v>22</v>
      </c>
      <c r="O80" s="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" t="s">
        <v>14</v>
      </c>
      <c r="B81" s="3" t="s">
        <v>283</v>
      </c>
      <c r="C81" s="36" t="s">
        <v>3593</v>
      </c>
      <c r="D81" s="3" t="s">
        <v>284</v>
      </c>
      <c r="E81" s="3" t="s">
        <v>285</v>
      </c>
      <c r="F81" s="3" t="s">
        <v>286</v>
      </c>
      <c r="G81" s="3" t="s">
        <v>290</v>
      </c>
      <c r="H81" s="3" t="s">
        <v>291</v>
      </c>
      <c r="I81" s="4">
        <v>2.0</v>
      </c>
      <c r="J81" s="4">
        <v>2.0</v>
      </c>
      <c r="K81" s="5"/>
      <c r="L81" s="3" t="s">
        <v>288</v>
      </c>
      <c r="M81" s="3" t="s">
        <v>289</v>
      </c>
      <c r="N81" s="3" t="s">
        <v>22</v>
      </c>
      <c r="O81" s="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 t="s">
        <v>14</v>
      </c>
      <c r="B82" s="3" t="s">
        <v>283</v>
      </c>
      <c r="C82" s="36" t="s">
        <v>3593</v>
      </c>
      <c r="D82" s="3" t="s">
        <v>284</v>
      </c>
      <c r="E82" s="3" t="s">
        <v>285</v>
      </c>
      <c r="F82" s="3" t="s">
        <v>286</v>
      </c>
      <c r="G82" s="3" t="s">
        <v>55</v>
      </c>
      <c r="H82" s="3" t="s">
        <v>56</v>
      </c>
      <c r="I82" s="4">
        <v>3.0</v>
      </c>
      <c r="J82" s="4">
        <v>3.0</v>
      </c>
      <c r="K82" s="5"/>
      <c r="L82" s="3" t="s">
        <v>288</v>
      </c>
      <c r="M82" s="3" t="s">
        <v>289</v>
      </c>
      <c r="N82" s="3" t="s">
        <v>22</v>
      </c>
      <c r="O82" s="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" t="s">
        <v>14</v>
      </c>
      <c r="B83" s="3" t="s">
        <v>292</v>
      </c>
      <c r="C83" s="33" t="s">
        <v>3592</v>
      </c>
      <c r="D83" s="3" t="s">
        <v>292</v>
      </c>
      <c r="E83" s="3" t="s">
        <v>293</v>
      </c>
      <c r="F83" s="3" t="s">
        <v>293</v>
      </c>
      <c r="G83" s="3" t="s">
        <v>19</v>
      </c>
      <c r="H83" s="3" t="s">
        <v>19</v>
      </c>
      <c r="I83" s="4">
        <v>1.0</v>
      </c>
      <c r="J83" s="4">
        <v>1.0</v>
      </c>
      <c r="K83" s="5"/>
      <c r="L83" s="3" t="s">
        <v>294</v>
      </c>
      <c r="M83" s="3" t="s">
        <v>295</v>
      </c>
      <c r="N83" s="3" t="s">
        <v>22</v>
      </c>
      <c r="O83" s="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 t="s">
        <v>14</v>
      </c>
      <c r="B84" s="3" t="s">
        <v>292</v>
      </c>
      <c r="C84" s="33" t="s">
        <v>3592</v>
      </c>
      <c r="D84" s="3" t="s">
        <v>292</v>
      </c>
      <c r="E84" s="3" t="s">
        <v>293</v>
      </c>
      <c r="F84" s="3" t="s">
        <v>293</v>
      </c>
      <c r="G84" s="3" t="s">
        <v>296</v>
      </c>
      <c r="H84" s="3" t="s">
        <v>296</v>
      </c>
      <c r="I84" s="4">
        <v>2.0</v>
      </c>
      <c r="J84" s="4">
        <v>2.0</v>
      </c>
      <c r="K84" s="5"/>
      <c r="L84" s="3" t="s">
        <v>294</v>
      </c>
      <c r="M84" s="3" t="s">
        <v>295</v>
      </c>
      <c r="N84" s="3" t="s">
        <v>22</v>
      </c>
      <c r="O84" s="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6" t="s">
        <v>14</v>
      </c>
      <c r="B85" s="26" t="s">
        <v>297</v>
      </c>
      <c r="C85" s="33" t="s">
        <v>3600</v>
      </c>
      <c r="D85" s="26" t="s">
        <v>298</v>
      </c>
      <c r="E85" s="26" t="s">
        <v>299</v>
      </c>
      <c r="F85" s="26" t="s">
        <v>300</v>
      </c>
      <c r="G85" s="17" t="s">
        <v>36</v>
      </c>
      <c r="H85" s="26" t="s">
        <v>301</v>
      </c>
      <c r="I85" s="27" t="s">
        <v>36</v>
      </c>
      <c r="J85" s="27">
        <v>1.0</v>
      </c>
      <c r="K85" s="28"/>
      <c r="L85" s="26" t="s">
        <v>302</v>
      </c>
      <c r="M85" s="26" t="s">
        <v>303</v>
      </c>
      <c r="N85" s="26" t="s">
        <v>22</v>
      </c>
      <c r="O85" s="28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6" t="s">
        <v>14</v>
      </c>
      <c r="B86" s="26" t="s">
        <v>297</v>
      </c>
      <c r="C86" s="33" t="s">
        <v>3600</v>
      </c>
      <c r="D86" s="26" t="s">
        <v>298</v>
      </c>
      <c r="E86" s="26" t="s">
        <v>299</v>
      </c>
      <c r="F86" s="26" t="s">
        <v>300</v>
      </c>
      <c r="G86" s="26" t="s">
        <v>131</v>
      </c>
      <c r="H86" s="26" t="s">
        <v>121</v>
      </c>
      <c r="I86" s="27">
        <v>1.0</v>
      </c>
      <c r="J86" s="27">
        <v>2.0</v>
      </c>
      <c r="K86" s="26"/>
      <c r="L86" s="26" t="s">
        <v>302</v>
      </c>
      <c r="M86" s="26" t="s">
        <v>303</v>
      </c>
      <c r="N86" s="26" t="s">
        <v>22</v>
      </c>
      <c r="O86" s="28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6" t="s">
        <v>14</v>
      </c>
      <c r="B87" s="26" t="s">
        <v>297</v>
      </c>
      <c r="C87" s="33" t="s">
        <v>3600</v>
      </c>
      <c r="D87" s="26" t="s">
        <v>298</v>
      </c>
      <c r="E87" s="26" t="s">
        <v>299</v>
      </c>
      <c r="F87" s="26" t="s">
        <v>300</v>
      </c>
      <c r="G87" s="26" t="s">
        <v>158</v>
      </c>
      <c r="H87" s="26" t="s">
        <v>158</v>
      </c>
      <c r="I87" s="27">
        <v>2.0</v>
      </c>
      <c r="J87" s="27">
        <v>3.0</v>
      </c>
      <c r="K87" s="26"/>
      <c r="L87" s="26" t="s">
        <v>302</v>
      </c>
      <c r="M87" s="26" t="s">
        <v>303</v>
      </c>
      <c r="N87" s="26" t="s">
        <v>22</v>
      </c>
      <c r="O87" s="28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3" t="s">
        <v>14</v>
      </c>
      <c r="B88" s="3" t="s">
        <v>304</v>
      </c>
      <c r="C88" s="33" t="s">
        <v>3600</v>
      </c>
      <c r="D88" s="3" t="s">
        <v>305</v>
      </c>
      <c r="E88" s="3" t="s">
        <v>306</v>
      </c>
      <c r="F88" s="3" t="s">
        <v>307</v>
      </c>
      <c r="G88" s="3" t="s">
        <v>308</v>
      </c>
      <c r="H88" s="3" t="s">
        <v>309</v>
      </c>
      <c r="I88" s="4">
        <v>1.0</v>
      </c>
      <c r="J88" s="4">
        <v>1.0</v>
      </c>
      <c r="K88" s="3"/>
      <c r="L88" s="3" t="s">
        <v>310</v>
      </c>
      <c r="M88" s="3" t="s">
        <v>311</v>
      </c>
      <c r="N88" s="3" t="s">
        <v>22</v>
      </c>
      <c r="O88" s="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" t="s">
        <v>14</v>
      </c>
      <c r="B89" s="3" t="s">
        <v>304</v>
      </c>
      <c r="C89" s="33" t="s">
        <v>3600</v>
      </c>
      <c r="D89" s="3" t="s">
        <v>305</v>
      </c>
      <c r="E89" s="3" t="s">
        <v>306</v>
      </c>
      <c r="F89" s="3" t="s">
        <v>307</v>
      </c>
      <c r="G89" s="3" t="s">
        <v>133</v>
      </c>
      <c r="H89" s="3" t="s">
        <v>312</v>
      </c>
      <c r="I89" s="4">
        <v>2.0</v>
      </c>
      <c r="J89" s="4">
        <v>2.0</v>
      </c>
      <c r="K89" s="5"/>
      <c r="L89" s="3" t="s">
        <v>310</v>
      </c>
      <c r="M89" s="3" t="s">
        <v>311</v>
      </c>
      <c r="N89" s="3" t="s">
        <v>22</v>
      </c>
      <c r="O89" s="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" t="s">
        <v>14</v>
      </c>
      <c r="B90" s="3" t="s">
        <v>313</v>
      </c>
      <c r="C90" s="33" t="s">
        <v>3600</v>
      </c>
      <c r="D90" s="3" t="s">
        <v>314</v>
      </c>
      <c r="E90" s="3" t="s">
        <v>315</v>
      </c>
      <c r="F90" s="3" t="s">
        <v>316</v>
      </c>
      <c r="G90" s="3" t="s">
        <v>317</v>
      </c>
      <c r="H90" s="3" t="s">
        <v>317</v>
      </c>
      <c r="I90" s="4">
        <v>1.0</v>
      </c>
      <c r="J90" s="4">
        <v>1.0</v>
      </c>
      <c r="K90" s="5"/>
      <c r="L90" s="3" t="s">
        <v>318</v>
      </c>
      <c r="M90" s="3" t="s">
        <v>319</v>
      </c>
      <c r="N90" s="3" t="s">
        <v>22</v>
      </c>
      <c r="O90" s="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" t="s">
        <v>14</v>
      </c>
      <c r="B91" s="3" t="s">
        <v>313</v>
      </c>
      <c r="C91" s="33" t="s">
        <v>3600</v>
      </c>
      <c r="D91" s="3" t="s">
        <v>314</v>
      </c>
      <c r="E91" s="3" t="s">
        <v>315</v>
      </c>
      <c r="F91" s="3" t="s">
        <v>316</v>
      </c>
      <c r="G91" s="3" t="s">
        <v>65</v>
      </c>
      <c r="H91" s="3" t="s">
        <v>245</v>
      </c>
      <c r="I91" s="4">
        <v>2.0</v>
      </c>
      <c r="J91" s="4">
        <v>2.0</v>
      </c>
      <c r="K91" s="5"/>
      <c r="L91" s="3" t="s">
        <v>318</v>
      </c>
      <c r="M91" s="3" t="s">
        <v>319</v>
      </c>
      <c r="N91" s="3" t="s">
        <v>22</v>
      </c>
      <c r="O91" s="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" t="s">
        <v>14</v>
      </c>
      <c r="B92" s="3" t="s">
        <v>320</v>
      </c>
      <c r="C92" s="36" t="s">
        <v>3593</v>
      </c>
      <c r="D92" s="3" t="s">
        <v>321</v>
      </c>
      <c r="E92" s="3" t="s">
        <v>322</v>
      </c>
      <c r="F92" s="3" t="s">
        <v>323</v>
      </c>
      <c r="G92" s="3" t="s">
        <v>128</v>
      </c>
      <c r="H92" s="3" t="s">
        <v>36</v>
      </c>
      <c r="I92" s="4">
        <v>1.0</v>
      </c>
      <c r="J92" s="4" t="s">
        <v>36</v>
      </c>
      <c r="K92" s="5"/>
      <c r="L92" s="3" t="s">
        <v>324</v>
      </c>
      <c r="M92" s="3" t="s">
        <v>325</v>
      </c>
      <c r="N92" s="3" t="s">
        <v>22</v>
      </c>
      <c r="O92" s="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" t="s">
        <v>14</v>
      </c>
      <c r="B93" s="3" t="s">
        <v>320</v>
      </c>
      <c r="C93" s="36" t="s">
        <v>3593</v>
      </c>
      <c r="D93" s="3" t="s">
        <v>321</v>
      </c>
      <c r="E93" s="3" t="s">
        <v>322</v>
      </c>
      <c r="F93" s="3" t="s">
        <v>323</v>
      </c>
      <c r="G93" s="3" t="s">
        <v>326</v>
      </c>
      <c r="H93" s="3" t="s">
        <v>327</v>
      </c>
      <c r="I93" s="4">
        <v>2.0</v>
      </c>
      <c r="J93" s="4">
        <v>1.0</v>
      </c>
      <c r="K93" s="3"/>
      <c r="L93" s="3" t="s">
        <v>324</v>
      </c>
      <c r="M93" s="3" t="s">
        <v>325</v>
      </c>
      <c r="N93" s="3" t="s">
        <v>22</v>
      </c>
      <c r="O93" s="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" t="s">
        <v>14</v>
      </c>
      <c r="B94" s="3" t="s">
        <v>320</v>
      </c>
      <c r="C94" s="36" t="s">
        <v>3593</v>
      </c>
      <c r="D94" s="3" t="s">
        <v>321</v>
      </c>
      <c r="E94" s="3" t="s">
        <v>322</v>
      </c>
      <c r="F94" s="3" t="s">
        <v>323</v>
      </c>
      <c r="G94" s="3" t="s">
        <v>143</v>
      </c>
      <c r="H94" s="3" t="s">
        <v>143</v>
      </c>
      <c r="I94" s="4">
        <v>3.0</v>
      </c>
      <c r="J94" s="4">
        <v>2.0</v>
      </c>
      <c r="K94" s="5"/>
      <c r="L94" s="3" t="s">
        <v>324</v>
      </c>
      <c r="M94" s="3" t="s">
        <v>325</v>
      </c>
      <c r="N94" s="3" t="s">
        <v>22</v>
      </c>
      <c r="O94" s="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" t="s">
        <v>14</v>
      </c>
      <c r="B95" s="3" t="s">
        <v>328</v>
      </c>
      <c r="C95" s="33" t="s">
        <v>3602</v>
      </c>
      <c r="D95" s="3" t="s">
        <v>329</v>
      </c>
      <c r="E95" s="6" t="s">
        <v>330</v>
      </c>
      <c r="F95" s="3" t="s">
        <v>331</v>
      </c>
      <c r="G95" s="6" t="s">
        <v>19</v>
      </c>
      <c r="H95" s="3" t="s">
        <v>19</v>
      </c>
      <c r="I95" s="4">
        <v>1.0</v>
      </c>
      <c r="J95" s="4">
        <v>1.0</v>
      </c>
      <c r="K95" s="3" t="s">
        <v>80</v>
      </c>
      <c r="L95" s="3" t="s">
        <v>332</v>
      </c>
      <c r="M95" s="3" t="s">
        <v>333</v>
      </c>
      <c r="N95" s="3" t="s">
        <v>22</v>
      </c>
      <c r="O95" s="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" t="s">
        <v>14</v>
      </c>
      <c r="B96" s="3" t="s">
        <v>328</v>
      </c>
      <c r="C96" s="33" t="s">
        <v>3602</v>
      </c>
      <c r="D96" s="3" t="s">
        <v>329</v>
      </c>
      <c r="E96" s="6" t="s">
        <v>330</v>
      </c>
      <c r="F96" s="3" t="s">
        <v>331</v>
      </c>
      <c r="G96" s="6" t="s">
        <v>43</v>
      </c>
      <c r="H96" s="3" t="s">
        <v>44</v>
      </c>
      <c r="I96" s="4">
        <v>2.0</v>
      </c>
      <c r="J96" s="4">
        <v>2.0</v>
      </c>
      <c r="K96" s="5"/>
      <c r="L96" s="3" t="s">
        <v>332</v>
      </c>
      <c r="M96" s="3" t="s">
        <v>333</v>
      </c>
      <c r="N96" s="3" t="s">
        <v>22</v>
      </c>
      <c r="O96" s="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" t="s">
        <v>14</v>
      </c>
      <c r="B97" s="3" t="s">
        <v>328</v>
      </c>
      <c r="C97" s="33" t="s">
        <v>3602</v>
      </c>
      <c r="D97" s="3" t="s">
        <v>329</v>
      </c>
      <c r="E97" s="6" t="s">
        <v>330</v>
      </c>
      <c r="F97" s="3" t="s">
        <v>331</v>
      </c>
      <c r="G97" s="6" t="s">
        <v>128</v>
      </c>
      <c r="H97" s="3" t="s">
        <v>334</v>
      </c>
      <c r="I97" s="4">
        <v>3.0</v>
      </c>
      <c r="J97" s="4">
        <v>3.0</v>
      </c>
      <c r="K97" s="5"/>
      <c r="L97" s="3" t="s">
        <v>332</v>
      </c>
      <c r="M97" s="3" t="s">
        <v>333</v>
      </c>
      <c r="N97" s="3" t="s">
        <v>22</v>
      </c>
      <c r="O97" s="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" t="s">
        <v>14</v>
      </c>
      <c r="B98" s="3" t="s">
        <v>328</v>
      </c>
      <c r="C98" s="33" t="s">
        <v>3602</v>
      </c>
      <c r="D98" s="3" t="s">
        <v>329</v>
      </c>
      <c r="E98" s="6" t="s">
        <v>330</v>
      </c>
      <c r="F98" s="3" t="s">
        <v>331</v>
      </c>
      <c r="G98" s="6" t="s">
        <v>36</v>
      </c>
      <c r="H98" s="3" t="s">
        <v>219</v>
      </c>
      <c r="I98" s="4" t="s">
        <v>36</v>
      </c>
      <c r="J98" s="4">
        <v>4.0</v>
      </c>
      <c r="K98" s="3"/>
      <c r="L98" s="3" t="s">
        <v>332</v>
      </c>
      <c r="M98" s="3" t="s">
        <v>333</v>
      </c>
      <c r="N98" s="3" t="s">
        <v>22</v>
      </c>
      <c r="O98" s="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" t="s">
        <v>14</v>
      </c>
      <c r="B99" s="3" t="s">
        <v>328</v>
      </c>
      <c r="C99" s="33" t="s">
        <v>3602</v>
      </c>
      <c r="D99" s="3" t="s">
        <v>329</v>
      </c>
      <c r="E99" s="6" t="s">
        <v>330</v>
      </c>
      <c r="F99" s="3" t="s">
        <v>331</v>
      </c>
      <c r="G99" s="6" t="s">
        <v>335</v>
      </c>
      <c r="H99" s="3" t="s">
        <v>24</v>
      </c>
      <c r="I99" s="4">
        <v>4.0</v>
      </c>
      <c r="J99" s="4">
        <v>5.0</v>
      </c>
      <c r="K99" s="5"/>
      <c r="L99" s="3" t="s">
        <v>332</v>
      </c>
      <c r="M99" s="3" t="s">
        <v>333</v>
      </c>
      <c r="N99" s="3" t="s">
        <v>22</v>
      </c>
      <c r="O99" s="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" t="s">
        <v>14</v>
      </c>
      <c r="B100" s="3" t="s">
        <v>336</v>
      </c>
      <c r="C100" s="33" t="s">
        <v>3603</v>
      </c>
      <c r="D100" s="3" t="s">
        <v>337</v>
      </c>
      <c r="E100" s="15" t="s">
        <v>338</v>
      </c>
      <c r="F100" s="3" t="s">
        <v>339</v>
      </c>
      <c r="G100" s="16" t="s">
        <v>340</v>
      </c>
      <c r="H100" s="3" t="s">
        <v>62</v>
      </c>
      <c r="I100" s="4">
        <v>1.0</v>
      </c>
      <c r="J100" s="4">
        <v>1.0</v>
      </c>
      <c r="K100" s="5"/>
      <c r="L100" s="3" t="s">
        <v>341</v>
      </c>
      <c r="M100" s="3" t="s">
        <v>342</v>
      </c>
      <c r="N100" s="3" t="s">
        <v>22</v>
      </c>
      <c r="O100" s="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" t="s">
        <v>14</v>
      </c>
      <c r="B101" s="3" t="s">
        <v>336</v>
      </c>
      <c r="C101" s="33" t="s">
        <v>3603</v>
      </c>
      <c r="D101" s="3" t="s">
        <v>337</v>
      </c>
      <c r="E101" s="3" t="s">
        <v>343</v>
      </c>
      <c r="F101" s="3" t="s">
        <v>339</v>
      </c>
      <c r="G101" s="15" t="s">
        <v>36</v>
      </c>
      <c r="H101" s="3" t="s">
        <v>344</v>
      </c>
      <c r="I101" s="4" t="s">
        <v>36</v>
      </c>
      <c r="J101" s="4">
        <v>2.0</v>
      </c>
      <c r="K101" s="5"/>
      <c r="L101" s="3" t="s">
        <v>341</v>
      </c>
      <c r="M101" s="3" t="s">
        <v>342</v>
      </c>
      <c r="N101" s="3" t="s">
        <v>22</v>
      </c>
      <c r="O101" s="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" t="s">
        <v>14</v>
      </c>
      <c r="B102" s="3" t="s">
        <v>336</v>
      </c>
      <c r="C102" s="33" t="s">
        <v>3603</v>
      </c>
      <c r="D102" s="3" t="s">
        <v>337</v>
      </c>
      <c r="E102" s="3" t="s">
        <v>343</v>
      </c>
      <c r="F102" s="3" t="s">
        <v>339</v>
      </c>
      <c r="G102" s="3" t="s">
        <v>190</v>
      </c>
      <c r="H102" s="3" t="s">
        <v>190</v>
      </c>
      <c r="I102" s="4">
        <v>3.0</v>
      </c>
      <c r="J102" s="4">
        <v>3.0</v>
      </c>
      <c r="K102" s="5"/>
      <c r="L102" s="3" t="s">
        <v>341</v>
      </c>
      <c r="M102" s="3" t="s">
        <v>342</v>
      </c>
      <c r="N102" s="3" t="s">
        <v>22</v>
      </c>
      <c r="O102" s="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" t="s">
        <v>14</v>
      </c>
      <c r="B103" s="3" t="s">
        <v>345</v>
      </c>
      <c r="C103" s="36" t="s">
        <v>3597</v>
      </c>
      <c r="D103" s="3" t="s">
        <v>346</v>
      </c>
      <c r="E103" s="3" t="s">
        <v>347</v>
      </c>
      <c r="F103" s="3" t="s">
        <v>348</v>
      </c>
      <c r="G103" s="3" t="s">
        <v>349</v>
      </c>
      <c r="H103" s="3" t="s">
        <v>349</v>
      </c>
      <c r="I103" s="4">
        <v>1.0</v>
      </c>
      <c r="J103" s="4">
        <v>1.0</v>
      </c>
      <c r="K103" s="5"/>
      <c r="L103" s="3" t="s">
        <v>350</v>
      </c>
      <c r="M103" s="3" t="s">
        <v>351</v>
      </c>
      <c r="N103" s="3" t="s">
        <v>22</v>
      </c>
      <c r="O103" s="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" t="s">
        <v>14</v>
      </c>
      <c r="B104" s="3" t="s">
        <v>345</v>
      </c>
      <c r="C104" s="36" t="s">
        <v>3597</v>
      </c>
      <c r="D104" s="3" t="s">
        <v>346</v>
      </c>
      <c r="E104" s="3" t="s">
        <v>347</v>
      </c>
      <c r="F104" s="3" t="s">
        <v>348</v>
      </c>
      <c r="G104" s="3" t="s">
        <v>352</v>
      </c>
      <c r="H104" s="3" t="s">
        <v>353</v>
      </c>
      <c r="I104" s="4">
        <v>2.0</v>
      </c>
      <c r="J104" s="4">
        <v>2.0</v>
      </c>
      <c r="K104" s="5"/>
      <c r="L104" s="3" t="s">
        <v>350</v>
      </c>
      <c r="M104" s="3" t="s">
        <v>351</v>
      </c>
      <c r="N104" s="3" t="s">
        <v>22</v>
      </c>
      <c r="O104" s="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" t="s">
        <v>14</v>
      </c>
      <c r="B105" s="3" t="s">
        <v>345</v>
      </c>
      <c r="C105" s="36" t="s">
        <v>3597</v>
      </c>
      <c r="D105" s="3" t="s">
        <v>346</v>
      </c>
      <c r="E105" s="3" t="s">
        <v>347</v>
      </c>
      <c r="F105" s="3" t="s">
        <v>348</v>
      </c>
      <c r="G105" s="3" t="s">
        <v>172</v>
      </c>
      <c r="H105" s="3" t="s">
        <v>334</v>
      </c>
      <c r="I105" s="4">
        <v>3.0</v>
      </c>
      <c r="J105" s="4">
        <v>3.0</v>
      </c>
      <c r="K105" s="5"/>
      <c r="L105" s="3" t="s">
        <v>350</v>
      </c>
      <c r="M105" s="3" t="s">
        <v>351</v>
      </c>
      <c r="N105" s="3" t="s">
        <v>22</v>
      </c>
      <c r="O105" s="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" t="s">
        <v>14</v>
      </c>
      <c r="B106" s="3" t="s">
        <v>354</v>
      </c>
      <c r="C106" s="36" t="s">
        <v>3593</v>
      </c>
      <c r="D106" s="3" t="s">
        <v>355</v>
      </c>
      <c r="E106" s="6" t="s">
        <v>356</v>
      </c>
      <c r="F106" s="3" t="s">
        <v>357</v>
      </c>
      <c r="G106" s="6" t="s">
        <v>128</v>
      </c>
      <c r="H106" s="3" t="s">
        <v>358</v>
      </c>
      <c r="I106" s="4">
        <v>1.0</v>
      </c>
      <c r="J106" s="4">
        <v>1.0</v>
      </c>
      <c r="K106" s="5"/>
      <c r="L106" s="3" t="s">
        <v>359</v>
      </c>
      <c r="M106" s="3" t="s">
        <v>360</v>
      </c>
      <c r="N106" s="3" t="s">
        <v>22</v>
      </c>
      <c r="O106" s="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" t="s">
        <v>14</v>
      </c>
      <c r="B107" s="3" t="s">
        <v>354</v>
      </c>
      <c r="C107" s="36" t="s">
        <v>3593</v>
      </c>
      <c r="D107" s="3" t="s">
        <v>355</v>
      </c>
      <c r="E107" s="6" t="s">
        <v>356</v>
      </c>
      <c r="F107" s="3" t="s">
        <v>357</v>
      </c>
      <c r="G107" s="6" t="s">
        <v>361</v>
      </c>
      <c r="H107" s="3" t="s">
        <v>36</v>
      </c>
      <c r="I107" s="4">
        <v>2.0</v>
      </c>
      <c r="J107" s="4" t="s">
        <v>36</v>
      </c>
      <c r="K107" s="5"/>
      <c r="L107" s="3" t="s">
        <v>359</v>
      </c>
      <c r="M107" s="3" t="s">
        <v>360</v>
      </c>
      <c r="N107" s="3" t="s">
        <v>22</v>
      </c>
      <c r="O107" s="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" t="s">
        <v>14</v>
      </c>
      <c r="B108" s="3" t="s">
        <v>354</v>
      </c>
      <c r="C108" s="36" t="s">
        <v>3593</v>
      </c>
      <c r="D108" s="3" t="s">
        <v>355</v>
      </c>
      <c r="E108" s="6" t="s">
        <v>356</v>
      </c>
      <c r="F108" s="3" t="s">
        <v>357</v>
      </c>
      <c r="G108" s="6" t="s">
        <v>362</v>
      </c>
      <c r="H108" s="3" t="s">
        <v>362</v>
      </c>
      <c r="I108" s="4">
        <v>3.0</v>
      </c>
      <c r="J108" s="4">
        <v>2.0</v>
      </c>
      <c r="K108" s="5"/>
      <c r="L108" s="3" t="s">
        <v>359</v>
      </c>
      <c r="M108" s="3" t="s">
        <v>360</v>
      </c>
      <c r="N108" s="3" t="s">
        <v>22</v>
      </c>
      <c r="O108" s="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" t="s">
        <v>14</v>
      </c>
      <c r="B109" s="3" t="s">
        <v>363</v>
      </c>
      <c r="C109" s="36" t="s">
        <v>3593</v>
      </c>
      <c r="D109" s="3" t="s">
        <v>364</v>
      </c>
      <c r="E109" s="3" t="s">
        <v>365</v>
      </c>
      <c r="F109" s="3" t="s">
        <v>366</v>
      </c>
      <c r="G109" s="3" t="s">
        <v>128</v>
      </c>
      <c r="H109" s="3" t="s">
        <v>36</v>
      </c>
      <c r="I109" s="4">
        <v>1.0</v>
      </c>
      <c r="J109" s="4" t="s">
        <v>36</v>
      </c>
      <c r="K109" s="5"/>
      <c r="L109" s="3" t="s">
        <v>367</v>
      </c>
      <c r="M109" s="3" t="s">
        <v>368</v>
      </c>
      <c r="N109" s="3" t="s">
        <v>22</v>
      </c>
      <c r="O109" s="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" t="s">
        <v>14</v>
      </c>
      <c r="B110" s="3" t="s">
        <v>363</v>
      </c>
      <c r="C110" s="36" t="s">
        <v>3593</v>
      </c>
      <c r="D110" s="3" t="s">
        <v>364</v>
      </c>
      <c r="E110" s="3" t="s">
        <v>365</v>
      </c>
      <c r="F110" s="3" t="s">
        <v>366</v>
      </c>
      <c r="G110" s="3" t="s">
        <v>369</v>
      </c>
      <c r="H110" s="15" t="s">
        <v>370</v>
      </c>
      <c r="I110" s="4">
        <v>2.0</v>
      </c>
      <c r="J110" s="4">
        <v>1.0</v>
      </c>
      <c r="K110" s="5"/>
      <c r="L110" s="3" t="s">
        <v>367</v>
      </c>
      <c r="M110" s="3" t="s">
        <v>368</v>
      </c>
      <c r="N110" s="3" t="s">
        <v>22</v>
      </c>
      <c r="O110" s="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" t="s">
        <v>14</v>
      </c>
      <c r="B111" s="3" t="s">
        <v>363</v>
      </c>
      <c r="C111" s="36" t="s">
        <v>3593</v>
      </c>
      <c r="D111" s="3" t="s">
        <v>364</v>
      </c>
      <c r="E111" s="3" t="s">
        <v>365</v>
      </c>
      <c r="F111" s="3" t="s">
        <v>366</v>
      </c>
      <c r="G111" s="3" t="s">
        <v>175</v>
      </c>
      <c r="H111" s="3" t="s">
        <v>175</v>
      </c>
      <c r="I111" s="4">
        <v>3.0</v>
      </c>
      <c r="J111" s="4">
        <v>2.0</v>
      </c>
      <c r="K111" s="5"/>
      <c r="L111" s="3" t="s">
        <v>367</v>
      </c>
      <c r="M111" s="3" t="s">
        <v>368</v>
      </c>
      <c r="N111" s="3" t="s">
        <v>22</v>
      </c>
      <c r="O111" s="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" t="s">
        <v>14</v>
      </c>
      <c r="B112" s="3" t="s">
        <v>371</v>
      </c>
      <c r="C112" s="36" t="s">
        <v>3593</v>
      </c>
      <c r="D112" s="3" t="s">
        <v>372</v>
      </c>
      <c r="E112" s="3" t="s">
        <v>373</v>
      </c>
      <c r="F112" s="3" t="s">
        <v>374</v>
      </c>
      <c r="G112" s="3" t="s">
        <v>287</v>
      </c>
      <c r="H112" s="3" t="s">
        <v>36</v>
      </c>
      <c r="I112" s="4">
        <v>1.0</v>
      </c>
      <c r="J112" s="4" t="s">
        <v>36</v>
      </c>
      <c r="K112" s="5"/>
      <c r="L112" s="3" t="s">
        <v>375</v>
      </c>
      <c r="M112" s="3" t="s">
        <v>376</v>
      </c>
      <c r="N112" s="3" t="s">
        <v>22</v>
      </c>
      <c r="O112" s="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" t="s">
        <v>14</v>
      </c>
      <c r="B113" s="3" t="s">
        <v>371</v>
      </c>
      <c r="C113" s="36" t="s">
        <v>3593</v>
      </c>
      <c r="D113" s="3" t="s">
        <v>372</v>
      </c>
      <c r="E113" s="3" t="s">
        <v>373</v>
      </c>
      <c r="F113" s="3" t="s">
        <v>374</v>
      </c>
      <c r="G113" s="3" t="s">
        <v>377</v>
      </c>
      <c r="H113" s="15" t="s">
        <v>54</v>
      </c>
      <c r="I113" s="4">
        <v>2.0</v>
      </c>
      <c r="J113" s="4">
        <v>1.0</v>
      </c>
      <c r="K113" s="3"/>
      <c r="L113" s="3" t="s">
        <v>375</v>
      </c>
      <c r="M113" s="3" t="s">
        <v>376</v>
      </c>
      <c r="N113" s="3" t="s">
        <v>22</v>
      </c>
      <c r="O113" s="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" t="s">
        <v>14</v>
      </c>
      <c r="B114" s="3" t="s">
        <v>371</v>
      </c>
      <c r="C114" s="36" t="s">
        <v>3593</v>
      </c>
      <c r="D114" s="3" t="s">
        <v>372</v>
      </c>
      <c r="E114" s="3" t="s">
        <v>373</v>
      </c>
      <c r="F114" s="3" t="s">
        <v>374</v>
      </c>
      <c r="G114" s="3" t="s">
        <v>378</v>
      </c>
      <c r="H114" s="3" t="s">
        <v>56</v>
      </c>
      <c r="I114" s="4">
        <v>3.0</v>
      </c>
      <c r="J114" s="4">
        <v>2.0</v>
      </c>
      <c r="K114" s="5"/>
      <c r="L114" s="3" t="s">
        <v>375</v>
      </c>
      <c r="M114" s="3" t="s">
        <v>376</v>
      </c>
      <c r="N114" s="3" t="s">
        <v>22</v>
      </c>
      <c r="O114" s="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" t="s">
        <v>14</v>
      </c>
      <c r="B115" s="3" t="s">
        <v>379</v>
      </c>
      <c r="C115" s="33" t="s">
        <v>3604</v>
      </c>
      <c r="D115" s="3" t="s">
        <v>380</v>
      </c>
      <c r="E115" s="3" t="s">
        <v>381</v>
      </c>
      <c r="F115" s="3" t="s">
        <v>382</v>
      </c>
      <c r="G115" s="3" t="s">
        <v>383</v>
      </c>
      <c r="H115" s="3" t="s">
        <v>383</v>
      </c>
      <c r="I115" s="4">
        <v>1.0</v>
      </c>
      <c r="J115" s="4">
        <v>1.0</v>
      </c>
      <c r="K115" s="5"/>
      <c r="L115" s="3" t="s">
        <v>384</v>
      </c>
      <c r="M115" s="3" t="s">
        <v>385</v>
      </c>
      <c r="N115" s="3" t="s">
        <v>22</v>
      </c>
      <c r="O115" s="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" t="s">
        <v>14</v>
      </c>
      <c r="B116" s="3" t="s">
        <v>379</v>
      </c>
      <c r="C116" s="33" t="s">
        <v>3604</v>
      </c>
      <c r="D116" s="3" t="s">
        <v>380</v>
      </c>
      <c r="E116" s="3" t="s">
        <v>381</v>
      </c>
      <c r="F116" s="3" t="s">
        <v>382</v>
      </c>
      <c r="G116" s="3" t="s">
        <v>386</v>
      </c>
      <c r="H116" s="3" t="s">
        <v>190</v>
      </c>
      <c r="I116" s="4">
        <v>2.0</v>
      </c>
      <c r="J116" s="4">
        <v>2.0</v>
      </c>
      <c r="K116" s="5"/>
      <c r="L116" s="3" t="s">
        <v>384</v>
      </c>
      <c r="M116" s="3" t="s">
        <v>385</v>
      </c>
      <c r="N116" s="3" t="s">
        <v>22</v>
      </c>
      <c r="O116" s="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" t="s">
        <v>14</v>
      </c>
      <c r="B117" s="3" t="s">
        <v>379</v>
      </c>
      <c r="C117" s="33" t="s">
        <v>3604</v>
      </c>
      <c r="D117" s="3" t="s">
        <v>380</v>
      </c>
      <c r="E117" s="3" t="s">
        <v>381</v>
      </c>
      <c r="F117" s="3" t="s">
        <v>382</v>
      </c>
      <c r="G117" s="3" t="s">
        <v>387</v>
      </c>
      <c r="H117" s="3" t="s">
        <v>387</v>
      </c>
      <c r="I117" s="4">
        <v>3.0</v>
      </c>
      <c r="J117" s="4">
        <v>3.0</v>
      </c>
      <c r="K117" s="5"/>
      <c r="L117" s="3" t="s">
        <v>384</v>
      </c>
      <c r="M117" s="3" t="s">
        <v>385</v>
      </c>
      <c r="N117" s="3" t="s">
        <v>22</v>
      </c>
      <c r="O117" s="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" t="s">
        <v>14</v>
      </c>
      <c r="B118" s="3" t="s">
        <v>388</v>
      </c>
      <c r="C118" s="36" t="s">
        <v>3597</v>
      </c>
      <c r="D118" s="3" t="s">
        <v>389</v>
      </c>
      <c r="E118" s="3" t="s">
        <v>390</v>
      </c>
      <c r="F118" s="3" t="s">
        <v>391</v>
      </c>
      <c r="G118" s="3" t="s">
        <v>108</v>
      </c>
      <c r="H118" s="3" t="s">
        <v>175</v>
      </c>
      <c r="I118" s="4">
        <v>1.0</v>
      </c>
      <c r="J118" s="4">
        <v>1.0</v>
      </c>
      <c r="K118" s="3"/>
      <c r="L118" s="3" t="s">
        <v>392</v>
      </c>
      <c r="M118" s="3" t="s">
        <v>319</v>
      </c>
      <c r="N118" s="3" t="s">
        <v>22</v>
      </c>
      <c r="O118" s="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" t="s">
        <v>14</v>
      </c>
      <c r="B119" s="3" t="s">
        <v>388</v>
      </c>
      <c r="C119" s="36" t="s">
        <v>3597</v>
      </c>
      <c r="D119" s="3" t="s">
        <v>389</v>
      </c>
      <c r="E119" s="3" t="s">
        <v>390</v>
      </c>
      <c r="F119" s="3" t="s">
        <v>391</v>
      </c>
      <c r="G119" s="3" t="s">
        <v>393</v>
      </c>
      <c r="H119" s="3" t="s">
        <v>394</v>
      </c>
      <c r="I119" s="4">
        <v>2.0</v>
      </c>
      <c r="J119" s="4">
        <v>2.0</v>
      </c>
      <c r="K119" s="3"/>
      <c r="L119" s="3" t="s">
        <v>392</v>
      </c>
      <c r="M119" s="3" t="s">
        <v>319</v>
      </c>
      <c r="N119" s="3" t="s">
        <v>22</v>
      </c>
      <c r="O119" s="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" t="s">
        <v>14</v>
      </c>
      <c r="B120" s="3" t="s">
        <v>388</v>
      </c>
      <c r="C120" s="36" t="s">
        <v>3597</v>
      </c>
      <c r="D120" s="3" t="s">
        <v>389</v>
      </c>
      <c r="E120" s="3" t="s">
        <v>390</v>
      </c>
      <c r="F120" s="3" t="s">
        <v>391</v>
      </c>
      <c r="G120" s="3" t="s">
        <v>245</v>
      </c>
      <c r="H120" s="3" t="s">
        <v>245</v>
      </c>
      <c r="I120" s="4">
        <v>3.0</v>
      </c>
      <c r="J120" s="4">
        <v>3.0</v>
      </c>
      <c r="K120" s="3"/>
      <c r="L120" s="3" t="s">
        <v>392</v>
      </c>
      <c r="M120" s="3" t="s">
        <v>319</v>
      </c>
      <c r="N120" s="3" t="s">
        <v>22</v>
      </c>
      <c r="O120" s="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" t="s">
        <v>14</v>
      </c>
      <c r="B121" s="3" t="s">
        <v>395</v>
      </c>
      <c r="C121" s="36" t="s">
        <v>3597</v>
      </c>
      <c r="D121" s="3" t="s">
        <v>396</v>
      </c>
      <c r="E121" s="3" t="s">
        <v>397</v>
      </c>
      <c r="F121" s="3" t="s">
        <v>398</v>
      </c>
      <c r="G121" s="3" t="s">
        <v>108</v>
      </c>
      <c r="H121" s="3" t="s">
        <v>175</v>
      </c>
      <c r="I121" s="4">
        <v>1.0</v>
      </c>
      <c r="J121" s="4">
        <v>1.0</v>
      </c>
      <c r="K121" s="3"/>
      <c r="L121" s="3" t="s">
        <v>399</v>
      </c>
      <c r="M121" s="3" t="s">
        <v>400</v>
      </c>
      <c r="N121" s="3" t="s">
        <v>22</v>
      </c>
      <c r="O121" s="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" t="s">
        <v>14</v>
      </c>
      <c r="B122" s="3" t="s">
        <v>395</v>
      </c>
      <c r="C122" s="36" t="s">
        <v>3597</v>
      </c>
      <c r="D122" s="3" t="s">
        <v>396</v>
      </c>
      <c r="E122" s="3" t="s">
        <v>397</v>
      </c>
      <c r="F122" s="3" t="s">
        <v>398</v>
      </c>
      <c r="G122" s="3" t="s">
        <v>393</v>
      </c>
      <c r="H122" s="3" t="s">
        <v>394</v>
      </c>
      <c r="I122" s="4">
        <v>2.0</v>
      </c>
      <c r="J122" s="4">
        <v>2.0</v>
      </c>
      <c r="K122" s="3"/>
      <c r="L122" s="3" t="s">
        <v>399</v>
      </c>
      <c r="M122" s="3" t="s">
        <v>400</v>
      </c>
      <c r="N122" s="3" t="s">
        <v>22</v>
      </c>
      <c r="O122" s="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" t="s">
        <v>14</v>
      </c>
      <c r="B123" s="3" t="s">
        <v>395</v>
      </c>
      <c r="C123" s="36" t="s">
        <v>3597</v>
      </c>
      <c r="D123" s="3" t="s">
        <v>396</v>
      </c>
      <c r="E123" s="3" t="s">
        <v>397</v>
      </c>
      <c r="F123" s="3" t="s">
        <v>398</v>
      </c>
      <c r="G123" s="3" t="s">
        <v>401</v>
      </c>
      <c r="H123" s="3" t="s">
        <v>402</v>
      </c>
      <c r="I123" s="4">
        <v>3.0</v>
      </c>
      <c r="J123" s="4">
        <v>3.0</v>
      </c>
      <c r="K123" s="3"/>
      <c r="L123" s="3" t="s">
        <v>399</v>
      </c>
      <c r="M123" s="3" t="s">
        <v>400</v>
      </c>
      <c r="N123" s="3" t="s">
        <v>22</v>
      </c>
      <c r="O123" s="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" t="s">
        <v>14</v>
      </c>
      <c r="B124" s="3" t="s">
        <v>403</v>
      </c>
      <c r="C124" s="36" t="s">
        <v>3605</v>
      </c>
      <c r="D124" s="3" t="s">
        <v>404</v>
      </c>
      <c r="E124" s="3" t="s">
        <v>405</v>
      </c>
      <c r="F124" s="3" t="s">
        <v>406</v>
      </c>
      <c r="G124" s="3" t="s">
        <v>108</v>
      </c>
      <c r="H124" s="3" t="s">
        <v>280</v>
      </c>
      <c r="I124" s="4">
        <v>1.0</v>
      </c>
      <c r="J124" s="4">
        <v>1.0</v>
      </c>
      <c r="K124" s="3"/>
      <c r="L124" s="3" t="s">
        <v>407</v>
      </c>
      <c r="M124" s="3" t="s">
        <v>408</v>
      </c>
      <c r="N124" s="3" t="s">
        <v>22</v>
      </c>
      <c r="O124" s="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" t="s">
        <v>14</v>
      </c>
      <c r="B125" s="3" t="s">
        <v>403</v>
      </c>
      <c r="C125" s="36" t="s">
        <v>3605</v>
      </c>
      <c r="D125" s="3" t="s">
        <v>404</v>
      </c>
      <c r="E125" s="3" t="s">
        <v>405</v>
      </c>
      <c r="F125" s="3" t="s">
        <v>406</v>
      </c>
      <c r="G125" s="3" t="s">
        <v>409</v>
      </c>
      <c r="H125" s="3" t="s">
        <v>334</v>
      </c>
      <c r="I125" s="4">
        <v>2.0</v>
      </c>
      <c r="J125" s="4">
        <v>2.0</v>
      </c>
      <c r="K125" s="6"/>
      <c r="L125" s="3" t="s">
        <v>407</v>
      </c>
      <c r="M125" s="3" t="s">
        <v>408</v>
      </c>
      <c r="N125" s="3" t="s">
        <v>22</v>
      </c>
      <c r="O125" s="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 t="s">
        <v>14</v>
      </c>
      <c r="B126" s="3" t="s">
        <v>403</v>
      </c>
      <c r="C126" s="36" t="s">
        <v>3605</v>
      </c>
      <c r="D126" s="3" t="s">
        <v>404</v>
      </c>
      <c r="E126" s="3" t="s">
        <v>405</v>
      </c>
      <c r="F126" s="3" t="s">
        <v>406</v>
      </c>
      <c r="G126" s="17" t="s">
        <v>36</v>
      </c>
      <c r="H126" s="3" t="s">
        <v>410</v>
      </c>
      <c r="I126" s="4">
        <v>3.0</v>
      </c>
      <c r="J126" s="4">
        <v>3.0</v>
      </c>
      <c r="K126" s="5"/>
      <c r="L126" s="3" t="s">
        <v>407</v>
      </c>
      <c r="M126" s="3" t="s">
        <v>408</v>
      </c>
      <c r="N126" s="3" t="s">
        <v>22</v>
      </c>
      <c r="O126" s="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" t="s">
        <v>14</v>
      </c>
      <c r="B127" s="3" t="s">
        <v>411</v>
      </c>
      <c r="C127" s="36" t="s">
        <v>3595</v>
      </c>
      <c r="D127" s="3" t="s">
        <v>412</v>
      </c>
      <c r="E127" s="3" t="s">
        <v>413</v>
      </c>
      <c r="F127" s="3" t="s">
        <v>414</v>
      </c>
      <c r="G127" s="17" t="s">
        <v>36</v>
      </c>
      <c r="H127" s="3" t="s">
        <v>415</v>
      </c>
      <c r="I127" s="4" t="s">
        <v>36</v>
      </c>
      <c r="J127" s="4">
        <v>1.0</v>
      </c>
      <c r="K127" s="3"/>
      <c r="L127" s="3" t="s">
        <v>416</v>
      </c>
      <c r="M127" s="3" t="s">
        <v>417</v>
      </c>
      <c r="N127" s="3" t="s">
        <v>22</v>
      </c>
      <c r="O127" s="3" t="s">
        <v>418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 t="s">
        <v>14</v>
      </c>
      <c r="B128" s="3" t="s">
        <v>411</v>
      </c>
      <c r="C128" s="36" t="s">
        <v>3595</v>
      </c>
      <c r="D128" s="3" t="s">
        <v>412</v>
      </c>
      <c r="E128" s="3" t="s">
        <v>413</v>
      </c>
      <c r="F128" s="3" t="s">
        <v>414</v>
      </c>
      <c r="G128" s="3" t="s">
        <v>419</v>
      </c>
      <c r="H128" s="3" t="s">
        <v>420</v>
      </c>
      <c r="I128" s="4">
        <v>1.0</v>
      </c>
      <c r="J128" s="4">
        <v>2.0</v>
      </c>
      <c r="K128" s="3"/>
      <c r="L128" s="3" t="s">
        <v>416</v>
      </c>
      <c r="M128" s="3" t="s">
        <v>417</v>
      </c>
      <c r="N128" s="3" t="s">
        <v>22</v>
      </c>
      <c r="O128" s="3" t="s">
        <v>418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 t="s">
        <v>14</v>
      </c>
      <c r="B129" s="3" t="s">
        <v>411</v>
      </c>
      <c r="C129" s="36" t="s">
        <v>3595</v>
      </c>
      <c r="D129" s="3" t="s">
        <v>412</v>
      </c>
      <c r="E129" s="3" t="s">
        <v>413</v>
      </c>
      <c r="F129" s="3" t="s">
        <v>414</v>
      </c>
      <c r="G129" s="3" t="s">
        <v>420</v>
      </c>
      <c r="H129" s="3" t="s">
        <v>362</v>
      </c>
      <c r="I129" s="4">
        <v>2.0</v>
      </c>
      <c r="J129" s="4">
        <v>3.0</v>
      </c>
      <c r="K129" s="5"/>
      <c r="L129" s="3" t="s">
        <v>416</v>
      </c>
      <c r="M129" s="3" t="s">
        <v>417</v>
      </c>
      <c r="N129" s="3" t="s">
        <v>22</v>
      </c>
      <c r="O129" s="3" t="s">
        <v>418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" t="s">
        <v>14</v>
      </c>
      <c r="B130" s="3" t="s">
        <v>421</v>
      </c>
      <c r="C130" s="36" t="s">
        <v>3595</v>
      </c>
      <c r="D130" s="3" t="s">
        <v>422</v>
      </c>
      <c r="E130" s="3" t="s">
        <v>423</v>
      </c>
      <c r="F130" s="3" t="s">
        <v>424</v>
      </c>
      <c r="G130" s="3" t="s">
        <v>174</v>
      </c>
      <c r="H130" s="3" t="s">
        <v>425</v>
      </c>
      <c r="I130" s="4">
        <v>1.0</v>
      </c>
      <c r="J130" s="4">
        <v>1.0</v>
      </c>
      <c r="K130" s="5"/>
      <c r="L130" s="3" t="s">
        <v>426</v>
      </c>
      <c r="M130" s="3" t="s">
        <v>427</v>
      </c>
      <c r="N130" s="3" t="s">
        <v>22</v>
      </c>
      <c r="O130" s="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" t="s">
        <v>14</v>
      </c>
      <c r="B131" s="3" t="s">
        <v>421</v>
      </c>
      <c r="C131" s="36" t="s">
        <v>3595</v>
      </c>
      <c r="D131" s="3" t="s">
        <v>422</v>
      </c>
      <c r="E131" s="3" t="s">
        <v>423</v>
      </c>
      <c r="F131" s="3" t="s">
        <v>424</v>
      </c>
      <c r="G131" s="3" t="s">
        <v>36</v>
      </c>
      <c r="H131" s="3" t="s">
        <v>103</v>
      </c>
      <c r="I131" s="4" t="s">
        <v>36</v>
      </c>
      <c r="J131" s="4">
        <v>2.0</v>
      </c>
      <c r="K131" s="3" t="s">
        <v>72</v>
      </c>
      <c r="L131" s="3" t="s">
        <v>426</v>
      </c>
      <c r="M131" s="3" t="s">
        <v>427</v>
      </c>
      <c r="N131" s="3" t="s">
        <v>22</v>
      </c>
      <c r="O131" s="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" t="s">
        <v>14</v>
      </c>
      <c r="B132" s="3" t="s">
        <v>421</v>
      </c>
      <c r="C132" s="36" t="s">
        <v>3595</v>
      </c>
      <c r="D132" s="3" t="s">
        <v>422</v>
      </c>
      <c r="E132" s="3" t="s">
        <v>423</v>
      </c>
      <c r="F132" s="3" t="s">
        <v>424</v>
      </c>
      <c r="G132" s="3" t="s">
        <v>181</v>
      </c>
      <c r="H132" s="3" t="s">
        <v>428</v>
      </c>
      <c r="I132" s="4">
        <v>2.0</v>
      </c>
      <c r="J132" s="4">
        <v>3.0</v>
      </c>
      <c r="K132" s="3"/>
      <c r="L132" s="3" t="s">
        <v>426</v>
      </c>
      <c r="M132" s="3" t="s">
        <v>427</v>
      </c>
      <c r="N132" s="3" t="s">
        <v>22</v>
      </c>
      <c r="O132" s="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 t="s">
        <v>14</v>
      </c>
      <c r="B133" s="3" t="s">
        <v>429</v>
      </c>
      <c r="C133" s="36" t="s">
        <v>3595</v>
      </c>
      <c r="D133" s="3" t="s">
        <v>430</v>
      </c>
      <c r="E133" s="3" t="s">
        <v>431</v>
      </c>
      <c r="F133" s="3" t="s">
        <v>432</v>
      </c>
      <c r="G133" s="3" t="s">
        <v>425</v>
      </c>
      <c r="H133" s="3" t="s">
        <v>433</v>
      </c>
      <c r="I133" s="4">
        <v>1.0</v>
      </c>
      <c r="J133" s="4">
        <v>1.0</v>
      </c>
      <c r="K133" s="5"/>
      <c r="L133" s="3" t="s">
        <v>434</v>
      </c>
      <c r="M133" s="3" t="s">
        <v>435</v>
      </c>
      <c r="N133" s="3" t="s">
        <v>22</v>
      </c>
      <c r="O133" s="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" t="s">
        <v>14</v>
      </c>
      <c r="B134" s="3" t="s">
        <v>429</v>
      </c>
      <c r="C134" s="36" t="s">
        <v>3595</v>
      </c>
      <c r="D134" s="3" t="s">
        <v>430</v>
      </c>
      <c r="E134" s="3" t="s">
        <v>431</v>
      </c>
      <c r="F134" s="3" t="s">
        <v>432</v>
      </c>
      <c r="G134" s="3" t="s">
        <v>436</v>
      </c>
      <c r="H134" s="3" t="s">
        <v>437</v>
      </c>
      <c r="I134" s="4">
        <v>2.0</v>
      </c>
      <c r="J134" s="4">
        <v>2.0</v>
      </c>
      <c r="K134" s="5"/>
      <c r="L134" s="3" t="s">
        <v>434</v>
      </c>
      <c r="M134" s="3" t="s">
        <v>435</v>
      </c>
      <c r="N134" s="3" t="s">
        <v>22</v>
      </c>
      <c r="O134" s="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" t="s">
        <v>14</v>
      </c>
      <c r="B135" s="3" t="s">
        <v>438</v>
      </c>
      <c r="C135" s="33" t="s">
        <v>3606</v>
      </c>
      <c r="D135" s="3" t="s">
        <v>439</v>
      </c>
      <c r="E135" s="6" t="s">
        <v>440</v>
      </c>
      <c r="F135" s="3" t="s">
        <v>441</v>
      </c>
      <c r="G135" s="6" t="s">
        <v>442</v>
      </c>
      <c r="H135" s="3" t="s">
        <v>443</v>
      </c>
      <c r="I135" s="4">
        <v>1.0</v>
      </c>
      <c r="J135" s="4">
        <v>1.0</v>
      </c>
      <c r="K135" s="5"/>
      <c r="L135" s="3" t="s">
        <v>444</v>
      </c>
      <c r="M135" s="3" t="s">
        <v>445</v>
      </c>
      <c r="N135" s="3" t="s">
        <v>22</v>
      </c>
      <c r="O135" s="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" t="s">
        <v>14</v>
      </c>
      <c r="B136" s="3" t="s">
        <v>438</v>
      </c>
      <c r="C136" s="33" t="s">
        <v>3606</v>
      </c>
      <c r="D136" s="3" t="s">
        <v>439</v>
      </c>
      <c r="E136" s="6" t="s">
        <v>440</v>
      </c>
      <c r="F136" s="3" t="s">
        <v>441</v>
      </c>
      <c r="G136" s="6" t="s">
        <v>446</v>
      </c>
      <c r="H136" s="3" t="s">
        <v>44</v>
      </c>
      <c r="I136" s="4">
        <v>2.0</v>
      </c>
      <c r="J136" s="4">
        <v>2.0</v>
      </c>
      <c r="K136" s="5"/>
      <c r="L136" s="3" t="s">
        <v>444</v>
      </c>
      <c r="M136" s="3" t="s">
        <v>445</v>
      </c>
      <c r="N136" s="3" t="s">
        <v>22</v>
      </c>
      <c r="O136" s="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" t="s">
        <v>14</v>
      </c>
      <c r="B137" s="3" t="s">
        <v>447</v>
      </c>
      <c r="C137" s="33" t="s">
        <v>3600</v>
      </c>
      <c r="D137" s="3" t="s">
        <v>448</v>
      </c>
      <c r="E137" s="3" t="s">
        <v>449</v>
      </c>
      <c r="F137" s="3" t="s">
        <v>450</v>
      </c>
      <c r="G137" s="3" t="s">
        <v>451</v>
      </c>
      <c r="H137" s="3" t="s">
        <v>452</v>
      </c>
      <c r="I137" s="4">
        <v>1.0</v>
      </c>
      <c r="J137" s="4">
        <v>2.0</v>
      </c>
      <c r="K137" s="5"/>
      <c r="L137" s="3" t="s">
        <v>453</v>
      </c>
      <c r="M137" s="3" t="s">
        <v>454</v>
      </c>
      <c r="N137" s="3" t="s">
        <v>22</v>
      </c>
      <c r="O137" s="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" t="s">
        <v>14</v>
      </c>
      <c r="B138" s="3" t="s">
        <v>447</v>
      </c>
      <c r="C138" s="33" t="s">
        <v>3600</v>
      </c>
      <c r="D138" s="3" t="s">
        <v>448</v>
      </c>
      <c r="E138" s="3" t="s">
        <v>449</v>
      </c>
      <c r="F138" s="3" t="s">
        <v>450</v>
      </c>
      <c r="G138" s="3" t="s">
        <v>158</v>
      </c>
      <c r="H138" s="3" t="s">
        <v>158</v>
      </c>
      <c r="I138" s="4">
        <v>1.0</v>
      </c>
      <c r="J138" s="4">
        <v>2.0</v>
      </c>
      <c r="K138" s="5"/>
      <c r="L138" s="3" t="s">
        <v>453</v>
      </c>
      <c r="M138" s="3" t="s">
        <v>454</v>
      </c>
      <c r="N138" s="3" t="s">
        <v>22</v>
      </c>
      <c r="O138" s="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" t="s">
        <v>14</v>
      </c>
      <c r="B139" s="3" t="s">
        <v>455</v>
      </c>
      <c r="C139" s="36" t="s">
        <v>3607</v>
      </c>
      <c r="D139" s="3" t="s">
        <v>163</v>
      </c>
      <c r="E139" s="3" t="s">
        <v>456</v>
      </c>
      <c r="F139" s="3" t="s">
        <v>163</v>
      </c>
      <c r="G139" s="3" t="s">
        <v>128</v>
      </c>
      <c r="H139" s="15" t="s">
        <v>36</v>
      </c>
      <c r="I139" s="4">
        <v>1.0</v>
      </c>
      <c r="J139" s="4" t="s">
        <v>36</v>
      </c>
      <c r="K139" s="3"/>
      <c r="L139" s="3" t="s">
        <v>457</v>
      </c>
      <c r="M139" s="3" t="s">
        <v>457</v>
      </c>
      <c r="N139" s="3" t="s">
        <v>22</v>
      </c>
      <c r="O139" s="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" t="s">
        <v>14</v>
      </c>
      <c r="B140" s="3" t="s">
        <v>455</v>
      </c>
      <c r="C140" s="36" t="s">
        <v>3607</v>
      </c>
      <c r="D140" s="3" t="s">
        <v>163</v>
      </c>
      <c r="E140" s="3" t="s">
        <v>456</v>
      </c>
      <c r="F140" s="3" t="s">
        <v>163</v>
      </c>
      <c r="G140" s="3" t="s">
        <v>162</v>
      </c>
      <c r="H140" s="15" t="s">
        <v>163</v>
      </c>
      <c r="I140" s="4">
        <v>2.0</v>
      </c>
      <c r="J140" s="4">
        <v>1.0</v>
      </c>
      <c r="K140" s="3"/>
      <c r="L140" s="3" t="s">
        <v>457</v>
      </c>
      <c r="M140" s="3" t="s">
        <v>457</v>
      </c>
      <c r="N140" s="3" t="s">
        <v>22</v>
      </c>
      <c r="O140" s="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 t="s">
        <v>14</v>
      </c>
      <c r="B141" s="3" t="s">
        <v>458</v>
      </c>
      <c r="C141" s="33" t="s">
        <v>3603</v>
      </c>
      <c r="D141" s="3" t="s">
        <v>459</v>
      </c>
      <c r="E141" s="6" t="s">
        <v>460</v>
      </c>
      <c r="F141" s="3" t="s">
        <v>461</v>
      </c>
      <c r="G141" s="6" t="s">
        <v>36</v>
      </c>
      <c r="H141" s="3" t="s">
        <v>462</v>
      </c>
      <c r="I141" s="4" t="s">
        <v>36</v>
      </c>
      <c r="J141" s="4">
        <v>1.0</v>
      </c>
      <c r="K141" s="3"/>
      <c r="L141" s="3" t="s">
        <v>463</v>
      </c>
      <c r="M141" s="3" t="s">
        <v>464</v>
      </c>
      <c r="N141" s="3" t="s">
        <v>22</v>
      </c>
      <c r="O141" s="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" t="s">
        <v>14</v>
      </c>
      <c r="B142" s="3" t="s">
        <v>458</v>
      </c>
      <c r="C142" s="33" t="s">
        <v>3603</v>
      </c>
      <c r="D142" s="3" t="s">
        <v>459</v>
      </c>
      <c r="E142" s="6" t="s">
        <v>460</v>
      </c>
      <c r="F142" s="3" t="s">
        <v>461</v>
      </c>
      <c r="G142" s="6" t="s">
        <v>465</v>
      </c>
      <c r="H142" s="3" t="s">
        <v>466</v>
      </c>
      <c r="I142" s="4">
        <v>1.0</v>
      </c>
      <c r="J142" s="4">
        <v>2.0</v>
      </c>
      <c r="K142" s="3" t="s">
        <v>467</v>
      </c>
      <c r="L142" s="3" t="s">
        <v>463</v>
      </c>
      <c r="M142" s="3" t="s">
        <v>464</v>
      </c>
      <c r="N142" s="3" t="s">
        <v>22</v>
      </c>
      <c r="O142" s="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" t="s">
        <v>14</v>
      </c>
      <c r="B143" s="3" t="s">
        <v>458</v>
      </c>
      <c r="C143" s="33" t="s">
        <v>3603</v>
      </c>
      <c r="D143" s="3" t="s">
        <v>459</v>
      </c>
      <c r="E143" s="6" t="s">
        <v>460</v>
      </c>
      <c r="F143" s="3" t="s">
        <v>461</v>
      </c>
      <c r="G143" s="6" t="s">
        <v>98</v>
      </c>
      <c r="H143" s="3" t="s">
        <v>98</v>
      </c>
      <c r="I143" s="4">
        <v>2.0</v>
      </c>
      <c r="J143" s="4">
        <v>3.0</v>
      </c>
      <c r="K143" s="3"/>
      <c r="L143" s="3" t="s">
        <v>463</v>
      </c>
      <c r="M143" s="3" t="s">
        <v>464</v>
      </c>
      <c r="N143" s="3" t="s">
        <v>22</v>
      </c>
      <c r="O143" s="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 t="s">
        <v>14</v>
      </c>
      <c r="B144" s="3" t="s">
        <v>468</v>
      </c>
      <c r="C144" s="36" t="s">
        <v>3607</v>
      </c>
      <c r="D144" s="3" t="s">
        <v>469</v>
      </c>
      <c r="E144" s="3" t="s">
        <v>470</v>
      </c>
      <c r="F144" s="3" t="s">
        <v>469</v>
      </c>
      <c r="G144" s="3" t="s">
        <v>471</v>
      </c>
      <c r="H144" s="15" t="s">
        <v>36</v>
      </c>
      <c r="I144" s="4">
        <v>1.0</v>
      </c>
      <c r="J144" s="4" t="s">
        <v>36</v>
      </c>
      <c r="K144" s="5"/>
      <c r="L144" s="3" t="s">
        <v>472</v>
      </c>
      <c r="M144" s="3" t="s">
        <v>473</v>
      </c>
      <c r="N144" s="3" t="s">
        <v>22</v>
      </c>
      <c r="O144" s="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 t="s">
        <v>14</v>
      </c>
      <c r="B145" s="3" t="s">
        <v>468</v>
      </c>
      <c r="C145" s="36" t="s">
        <v>3607</v>
      </c>
      <c r="D145" s="3" t="s">
        <v>469</v>
      </c>
      <c r="E145" s="3" t="s">
        <v>470</v>
      </c>
      <c r="F145" s="3" t="s">
        <v>469</v>
      </c>
      <c r="G145" s="3" t="s">
        <v>469</v>
      </c>
      <c r="H145" s="3" t="s">
        <v>469</v>
      </c>
      <c r="I145" s="4">
        <v>2.0</v>
      </c>
      <c r="J145" s="4">
        <v>1.0</v>
      </c>
      <c r="K145" s="5"/>
      <c r="L145" s="3" t="s">
        <v>472</v>
      </c>
      <c r="M145" s="3" t="s">
        <v>473</v>
      </c>
      <c r="N145" s="3" t="s">
        <v>22</v>
      </c>
      <c r="O145" s="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" t="s">
        <v>14</v>
      </c>
      <c r="B146" s="3" t="s">
        <v>474</v>
      </c>
      <c r="C146" s="36" t="s">
        <v>3608</v>
      </c>
      <c r="D146" s="3" t="s">
        <v>475</v>
      </c>
      <c r="E146" s="3" t="s">
        <v>476</v>
      </c>
      <c r="F146" s="3" t="s">
        <v>477</v>
      </c>
      <c r="G146" s="3" t="s">
        <v>128</v>
      </c>
      <c r="H146" s="3" t="s">
        <v>29</v>
      </c>
      <c r="I146" s="4">
        <v>1.0</v>
      </c>
      <c r="J146" s="4">
        <v>1.0</v>
      </c>
      <c r="K146" s="3" t="s">
        <v>467</v>
      </c>
      <c r="L146" s="3" t="s">
        <v>478</v>
      </c>
      <c r="M146" s="3" t="s">
        <v>479</v>
      </c>
      <c r="N146" s="3" t="s">
        <v>22</v>
      </c>
      <c r="O146" s="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" t="s">
        <v>14</v>
      </c>
      <c r="B147" s="3" t="s">
        <v>474</v>
      </c>
      <c r="C147" s="36" t="s">
        <v>3608</v>
      </c>
      <c r="D147" s="3" t="s">
        <v>475</v>
      </c>
      <c r="E147" s="3" t="s">
        <v>476</v>
      </c>
      <c r="F147" s="3" t="s">
        <v>477</v>
      </c>
      <c r="G147" s="3" t="s">
        <v>36</v>
      </c>
      <c r="H147" s="3" t="s">
        <v>480</v>
      </c>
      <c r="I147" s="4" t="s">
        <v>36</v>
      </c>
      <c r="J147" s="4">
        <v>2.0</v>
      </c>
      <c r="K147" s="3"/>
      <c r="L147" s="3" t="s">
        <v>478</v>
      </c>
      <c r="M147" s="3" t="s">
        <v>479</v>
      </c>
      <c r="N147" s="3" t="s">
        <v>22</v>
      </c>
      <c r="O147" s="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" t="s">
        <v>14</v>
      </c>
      <c r="B148" s="3" t="s">
        <v>474</v>
      </c>
      <c r="C148" s="36" t="s">
        <v>3608</v>
      </c>
      <c r="D148" s="3" t="s">
        <v>475</v>
      </c>
      <c r="E148" s="3" t="s">
        <v>476</v>
      </c>
      <c r="F148" s="3" t="s">
        <v>477</v>
      </c>
      <c r="G148" s="3" t="s">
        <v>481</v>
      </c>
      <c r="H148" s="3" t="s">
        <v>482</v>
      </c>
      <c r="I148" s="4">
        <v>2.0</v>
      </c>
      <c r="J148" s="4">
        <v>3.0</v>
      </c>
      <c r="K148" s="5"/>
      <c r="L148" s="3" t="s">
        <v>478</v>
      </c>
      <c r="M148" s="3" t="s">
        <v>479</v>
      </c>
      <c r="N148" s="3" t="s">
        <v>22</v>
      </c>
      <c r="O148" s="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" t="s">
        <v>14</v>
      </c>
      <c r="B149" s="3" t="s">
        <v>483</v>
      </c>
      <c r="C149" s="33" t="s">
        <v>3592</v>
      </c>
      <c r="D149" s="3" t="s">
        <v>484</v>
      </c>
      <c r="E149" s="3" t="s">
        <v>485</v>
      </c>
      <c r="F149" s="3" t="s">
        <v>486</v>
      </c>
      <c r="G149" s="3" t="s">
        <v>173</v>
      </c>
      <c r="H149" s="3" t="s">
        <v>219</v>
      </c>
      <c r="I149" s="4">
        <v>1.0</v>
      </c>
      <c r="J149" s="4">
        <v>1.0</v>
      </c>
      <c r="K149" s="5"/>
      <c r="L149" s="3" t="s">
        <v>487</v>
      </c>
      <c r="M149" s="3" t="s">
        <v>488</v>
      </c>
      <c r="N149" s="3" t="s">
        <v>22</v>
      </c>
      <c r="O149" s="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" t="s">
        <v>14</v>
      </c>
      <c r="B150" s="3" t="s">
        <v>483</v>
      </c>
      <c r="C150" s="33" t="s">
        <v>3592</v>
      </c>
      <c r="D150" s="3" t="s">
        <v>484</v>
      </c>
      <c r="E150" s="3" t="s">
        <v>485</v>
      </c>
      <c r="F150" s="3" t="s">
        <v>486</v>
      </c>
      <c r="G150" s="3" t="s">
        <v>362</v>
      </c>
      <c r="H150" s="3" t="s">
        <v>362</v>
      </c>
      <c r="I150" s="4">
        <v>2.0</v>
      </c>
      <c r="J150" s="4">
        <v>2.0</v>
      </c>
      <c r="K150" s="5"/>
      <c r="L150" s="3" t="s">
        <v>487</v>
      </c>
      <c r="M150" s="3" t="s">
        <v>488</v>
      </c>
      <c r="N150" s="3" t="s">
        <v>22</v>
      </c>
      <c r="O150" s="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" t="s">
        <v>14</v>
      </c>
      <c r="B151" s="3" t="s">
        <v>489</v>
      </c>
      <c r="C151" s="33" t="s">
        <v>3592</v>
      </c>
      <c r="D151" s="3" t="s">
        <v>490</v>
      </c>
      <c r="E151" s="3" t="s">
        <v>491</v>
      </c>
      <c r="F151" s="3" t="s">
        <v>492</v>
      </c>
      <c r="G151" s="3" t="s">
        <v>29</v>
      </c>
      <c r="H151" s="3" t="s">
        <v>36</v>
      </c>
      <c r="I151" s="4">
        <v>1.0</v>
      </c>
      <c r="J151" s="4" t="s">
        <v>36</v>
      </c>
      <c r="K151" s="3"/>
      <c r="L151" s="3" t="s">
        <v>493</v>
      </c>
      <c r="M151" s="3" t="s">
        <v>494</v>
      </c>
      <c r="N151" s="3" t="s">
        <v>22</v>
      </c>
      <c r="O151" s="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" t="s">
        <v>14</v>
      </c>
      <c r="B152" s="3" t="s">
        <v>489</v>
      </c>
      <c r="C152" s="33" t="s">
        <v>3592</v>
      </c>
      <c r="D152" s="3" t="s">
        <v>490</v>
      </c>
      <c r="E152" s="3" t="s">
        <v>491</v>
      </c>
      <c r="F152" s="3" t="s">
        <v>492</v>
      </c>
      <c r="G152" s="3" t="s">
        <v>290</v>
      </c>
      <c r="H152" s="3" t="s">
        <v>495</v>
      </c>
      <c r="I152" s="4">
        <v>2.0</v>
      </c>
      <c r="J152" s="4">
        <v>1.0</v>
      </c>
      <c r="K152" s="3" t="s">
        <v>467</v>
      </c>
      <c r="L152" s="3" t="s">
        <v>493</v>
      </c>
      <c r="M152" s="3" t="s">
        <v>494</v>
      </c>
      <c r="N152" s="3" t="s">
        <v>22</v>
      </c>
      <c r="O152" s="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" t="s">
        <v>14</v>
      </c>
      <c r="B153" s="3" t="s">
        <v>489</v>
      </c>
      <c r="C153" s="33" t="s">
        <v>3592</v>
      </c>
      <c r="D153" s="3" t="s">
        <v>490</v>
      </c>
      <c r="E153" s="3" t="s">
        <v>491</v>
      </c>
      <c r="F153" s="3" t="s">
        <v>492</v>
      </c>
      <c r="G153" s="3" t="s">
        <v>36</v>
      </c>
      <c r="H153" s="3" t="s">
        <v>496</v>
      </c>
      <c r="I153" s="4" t="s">
        <v>36</v>
      </c>
      <c r="J153" s="4">
        <v>2.0</v>
      </c>
      <c r="K153" s="3"/>
      <c r="L153" s="3" t="s">
        <v>493</v>
      </c>
      <c r="M153" s="3" t="s">
        <v>494</v>
      </c>
      <c r="N153" s="3" t="s">
        <v>22</v>
      </c>
      <c r="O153" s="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" t="s">
        <v>14</v>
      </c>
      <c r="B154" s="3" t="s">
        <v>489</v>
      </c>
      <c r="C154" s="33" t="s">
        <v>3592</v>
      </c>
      <c r="D154" s="3" t="s">
        <v>490</v>
      </c>
      <c r="E154" s="3" t="s">
        <v>491</v>
      </c>
      <c r="F154" s="3" t="s">
        <v>492</v>
      </c>
      <c r="G154" s="17" t="s">
        <v>36</v>
      </c>
      <c r="H154" s="3" t="s">
        <v>24</v>
      </c>
      <c r="I154" s="4" t="s">
        <v>36</v>
      </c>
      <c r="J154" s="4">
        <v>3.0</v>
      </c>
      <c r="K154" s="5"/>
      <c r="L154" s="3" t="s">
        <v>493</v>
      </c>
      <c r="M154" s="3" t="s">
        <v>494</v>
      </c>
      <c r="N154" s="3" t="s">
        <v>22</v>
      </c>
      <c r="O154" s="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" t="s">
        <v>14</v>
      </c>
      <c r="B155" s="3" t="s">
        <v>497</v>
      </c>
      <c r="C155" s="33" t="s">
        <v>3600</v>
      </c>
      <c r="D155" s="3" t="s">
        <v>498</v>
      </c>
      <c r="E155" s="3" t="s">
        <v>499</v>
      </c>
      <c r="F155" s="3" t="s">
        <v>500</v>
      </c>
      <c r="G155" s="3" t="s">
        <v>469</v>
      </c>
      <c r="H155" s="3" t="s">
        <v>317</v>
      </c>
      <c r="I155" s="4">
        <v>1.0</v>
      </c>
      <c r="J155" s="4">
        <v>1.0</v>
      </c>
      <c r="K155" s="5"/>
      <c r="L155" s="3" t="s">
        <v>501</v>
      </c>
      <c r="M155" s="3" t="s">
        <v>502</v>
      </c>
      <c r="N155" s="3" t="s">
        <v>22</v>
      </c>
      <c r="O155" s="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" t="s">
        <v>14</v>
      </c>
      <c r="B156" s="3" t="s">
        <v>497</v>
      </c>
      <c r="C156" s="33" t="s">
        <v>3600</v>
      </c>
      <c r="D156" s="3" t="s">
        <v>498</v>
      </c>
      <c r="E156" s="3" t="s">
        <v>499</v>
      </c>
      <c r="F156" s="3" t="s">
        <v>500</v>
      </c>
      <c r="G156" s="3" t="s">
        <v>197</v>
      </c>
      <c r="H156" s="3" t="s">
        <v>503</v>
      </c>
      <c r="I156" s="4">
        <v>2.0</v>
      </c>
      <c r="J156" s="4">
        <v>2.0</v>
      </c>
      <c r="K156" s="5"/>
      <c r="L156" s="3" t="s">
        <v>501</v>
      </c>
      <c r="M156" s="3" t="s">
        <v>502</v>
      </c>
      <c r="N156" s="3" t="s">
        <v>22</v>
      </c>
      <c r="O156" s="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" t="s">
        <v>14</v>
      </c>
      <c r="B157" s="3" t="s">
        <v>504</v>
      </c>
      <c r="C157" s="33" t="s">
        <v>3600</v>
      </c>
      <c r="D157" s="3" t="s">
        <v>505</v>
      </c>
      <c r="E157" s="3" t="s">
        <v>506</v>
      </c>
      <c r="F157" s="3" t="s">
        <v>507</v>
      </c>
      <c r="G157" s="3" t="s">
        <v>508</v>
      </c>
      <c r="H157" s="3" t="s">
        <v>509</v>
      </c>
      <c r="I157" s="4">
        <v>1.0</v>
      </c>
      <c r="J157" s="4">
        <v>1.0</v>
      </c>
      <c r="K157" s="5"/>
      <c r="L157" s="3" t="s">
        <v>510</v>
      </c>
      <c r="M157" s="3" t="s">
        <v>511</v>
      </c>
      <c r="N157" s="3" t="s">
        <v>22</v>
      </c>
      <c r="O157" s="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" t="s">
        <v>14</v>
      </c>
      <c r="B158" s="3" t="s">
        <v>504</v>
      </c>
      <c r="C158" s="33" t="s">
        <v>3600</v>
      </c>
      <c r="D158" s="3" t="s">
        <v>505</v>
      </c>
      <c r="E158" s="3" t="s">
        <v>506</v>
      </c>
      <c r="F158" s="3" t="s">
        <v>507</v>
      </c>
      <c r="G158" s="3" t="s">
        <v>362</v>
      </c>
      <c r="H158" s="3" t="s">
        <v>362</v>
      </c>
      <c r="I158" s="4">
        <v>2.0</v>
      </c>
      <c r="J158" s="4">
        <v>2.0</v>
      </c>
      <c r="K158" s="5"/>
      <c r="L158" s="3" t="s">
        <v>510</v>
      </c>
      <c r="M158" s="3" t="s">
        <v>511</v>
      </c>
      <c r="N158" s="3" t="s">
        <v>22</v>
      </c>
      <c r="O158" s="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" t="s">
        <v>14</v>
      </c>
      <c r="B159" s="3" t="s">
        <v>512</v>
      </c>
      <c r="C159" s="36" t="s">
        <v>3609</v>
      </c>
      <c r="D159" s="3" t="s">
        <v>513</v>
      </c>
      <c r="E159" s="3" t="s">
        <v>514</v>
      </c>
      <c r="F159" s="3" t="s">
        <v>515</v>
      </c>
      <c r="G159" s="3" t="s">
        <v>437</v>
      </c>
      <c r="H159" s="3" t="s">
        <v>516</v>
      </c>
      <c r="I159" s="4">
        <v>1.0</v>
      </c>
      <c r="J159" s="4">
        <v>1.0</v>
      </c>
      <c r="K159" s="3" t="s">
        <v>72</v>
      </c>
      <c r="L159" s="3" t="s">
        <v>517</v>
      </c>
      <c r="M159" s="3" t="s">
        <v>518</v>
      </c>
      <c r="N159" s="3" t="s">
        <v>22</v>
      </c>
      <c r="O159" s="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" t="s">
        <v>14</v>
      </c>
      <c r="B160" s="3" t="s">
        <v>512</v>
      </c>
      <c r="C160" s="36" t="s">
        <v>3609</v>
      </c>
      <c r="D160" s="3" t="s">
        <v>513</v>
      </c>
      <c r="E160" s="3" t="s">
        <v>514</v>
      </c>
      <c r="F160" s="3" t="s">
        <v>515</v>
      </c>
      <c r="G160" s="3" t="s">
        <v>245</v>
      </c>
      <c r="H160" s="3" t="s">
        <v>36</v>
      </c>
      <c r="I160" s="4">
        <v>2.0</v>
      </c>
      <c r="J160" s="4" t="s">
        <v>36</v>
      </c>
      <c r="K160" s="3"/>
      <c r="L160" s="3" t="s">
        <v>517</v>
      </c>
      <c r="M160" s="3" t="s">
        <v>518</v>
      </c>
      <c r="N160" s="3" t="s">
        <v>22</v>
      </c>
      <c r="O160" s="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" t="s">
        <v>14</v>
      </c>
      <c r="B161" s="3" t="s">
        <v>512</v>
      </c>
      <c r="C161" s="36" t="s">
        <v>3609</v>
      </c>
      <c r="D161" s="3" t="s">
        <v>513</v>
      </c>
      <c r="E161" s="3" t="s">
        <v>514</v>
      </c>
      <c r="F161" s="3" t="s">
        <v>515</v>
      </c>
      <c r="G161" s="3" t="s">
        <v>162</v>
      </c>
      <c r="H161" s="3" t="s">
        <v>163</v>
      </c>
      <c r="I161" s="4">
        <v>3.0</v>
      </c>
      <c r="J161" s="4">
        <v>2.0</v>
      </c>
      <c r="K161" s="3"/>
      <c r="L161" s="3" t="s">
        <v>517</v>
      </c>
      <c r="M161" s="3" t="s">
        <v>518</v>
      </c>
      <c r="N161" s="3" t="s">
        <v>22</v>
      </c>
      <c r="O161" s="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" t="s">
        <v>14</v>
      </c>
      <c r="B162" s="3" t="s">
        <v>519</v>
      </c>
      <c r="C162" s="36" t="s">
        <v>3593</v>
      </c>
      <c r="D162" s="3" t="s">
        <v>520</v>
      </c>
      <c r="E162" s="3" t="s">
        <v>521</v>
      </c>
      <c r="F162" s="3" t="s">
        <v>522</v>
      </c>
      <c r="G162" s="3" t="s">
        <v>287</v>
      </c>
      <c r="H162" s="3" t="s">
        <v>65</v>
      </c>
      <c r="I162" s="4">
        <v>1.0</v>
      </c>
      <c r="J162" s="4">
        <v>1.0</v>
      </c>
      <c r="K162" s="5"/>
      <c r="L162" s="3" t="s">
        <v>523</v>
      </c>
      <c r="M162" s="3" t="s">
        <v>524</v>
      </c>
      <c r="N162" s="3" t="s">
        <v>22</v>
      </c>
      <c r="O162" s="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" t="s">
        <v>14</v>
      </c>
      <c r="B163" s="3" t="s">
        <v>519</v>
      </c>
      <c r="C163" s="36" t="s">
        <v>3593</v>
      </c>
      <c r="D163" s="3" t="s">
        <v>520</v>
      </c>
      <c r="E163" s="3" t="s">
        <v>521</v>
      </c>
      <c r="F163" s="3" t="s">
        <v>522</v>
      </c>
      <c r="G163" s="3" t="s">
        <v>525</v>
      </c>
      <c r="H163" s="3" t="s">
        <v>526</v>
      </c>
      <c r="I163" s="4">
        <v>2.0</v>
      </c>
      <c r="J163" s="4">
        <v>2.0</v>
      </c>
      <c r="K163" s="5"/>
      <c r="L163" s="3" t="s">
        <v>523</v>
      </c>
      <c r="M163" s="3" t="s">
        <v>524</v>
      </c>
      <c r="N163" s="3" t="s">
        <v>22</v>
      </c>
      <c r="O163" s="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" t="s">
        <v>14</v>
      </c>
      <c r="B164" s="3" t="s">
        <v>519</v>
      </c>
      <c r="C164" s="36" t="s">
        <v>3593</v>
      </c>
      <c r="D164" s="3" t="s">
        <v>520</v>
      </c>
      <c r="E164" s="3" t="s">
        <v>521</v>
      </c>
      <c r="F164" s="3" t="s">
        <v>522</v>
      </c>
      <c r="G164" s="3" t="s">
        <v>527</v>
      </c>
      <c r="H164" s="3" t="s">
        <v>36</v>
      </c>
      <c r="I164" s="4">
        <v>3.0</v>
      </c>
      <c r="J164" s="4" t="s">
        <v>36</v>
      </c>
      <c r="K164" s="5"/>
      <c r="L164" s="3" t="s">
        <v>523</v>
      </c>
      <c r="M164" s="3" t="s">
        <v>524</v>
      </c>
      <c r="N164" s="3" t="s">
        <v>22</v>
      </c>
      <c r="O164" s="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" t="s">
        <v>14</v>
      </c>
      <c r="B165" s="3" t="s">
        <v>528</v>
      </c>
      <c r="C165" s="33" t="s">
        <v>3600</v>
      </c>
      <c r="D165" s="3" t="s">
        <v>529</v>
      </c>
      <c r="E165" s="3" t="s">
        <v>530</v>
      </c>
      <c r="F165" s="3" t="s">
        <v>531</v>
      </c>
      <c r="G165" s="3" t="s">
        <v>181</v>
      </c>
      <c r="H165" s="3" t="s">
        <v>181</v>
      </c>
      <c r="I165" s="4">
        <v>1.0</v>
      </c>
      <c r="J165" s="4">
        <v>1.0</v>
      </c>
      <c r="K165" s="5"/>
      <c r="L165" s="3" t="s">
        <v>532</v>
      </c>
      <c r="M165" s="3" t="s">
        <v>533</v>
      </c>
      <c r="N165" s="3" t="s">
        <v>22</v>
      </c>
      <c r="O165" s="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" t="s">
        <v>14</v>
      </c>
      <c r="B166" s="3" t="s">
        <v>528</v>
      </c>
      <c r="C166" s="33" t="s">
        <v>3600</v>
      </c>
      <c r="D166" s="3" t="s">
        <v>529</v>
      </c>
      <c r="E166" s="3" t="s">
        <v>530</v>
      </c>
      <c r="F166" s="3" t="s">
        <v>531</v>
      </c>
      <c r="G166" s="3" t="s">
        <v>534</v>
      </c>
      <c r="H166" s="3" t="s">
        <v>535</v>
      </c>
      <c r="I166" s="4">
        <v>2.0</v>
      </c>
      <c r="J166" s="4">
        <v>2.0</v>
      </c>
      <c r="K166" s="5"/>
      <c r="L166" s="3" t="s">
        <v>532</v>
      </c>
      <c r="M166" s="3" t="s">
        <v>533</v>
      </c>
      <c r="N166" s="3" t="s">
        <v>22</v>
      </c>
      <c r="O166" s="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" t="s">
        <v>14</v>
      </c>
      <c r="B167" s="3" t="s">
        <v>536</v>
      </c>
      <c r="C167" s="33" t="s">
        <v>3600</v>
      </c>
      <c r="D167" s="15" t="s">
        <v>537</v>
      </c>
      <c r="E167" s="3" t="s">
        <v>538</v>
      </c>
      <c r="F167" s="15" t="s">
        <v>539</v>
      </c>
      <c r="G167" s="3" t="s">
        <v>268</v>
      </c>
      <c r="H167" s="15" t="s">
        <v>269</v>
      </c>
      <c r="I167" s="4">
        <v>1.0</v>
      </c>
      <c r="J167" s="4">
        <v>1.0</v>
      </c>
      <c r="K167" s="3"/>
      <c r="L167" s="15" t="s">
        <v>540</v>
      </c>
      <c r="M167" s="3" t="s">
        <v>541</v>
      </c>
      <c r="N167" s="3" t="s">
        <v>22</v>
      </c>
      <c r="O167" s="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" t="s">
        <v>14</v>
      </c>
      <c r="B168" s="3" t="s">
        <v>536</v>
      </c>
      <c r="C168" s="33" t="s">
        <v>3600</v>
      </c>
      <c r="D168" s="15" t="s">
        <v>537</v>
      </c>
      <c r="E168" s="3" t="s">
        <v>538</v>
      </c>
      <c r="F168" s="15" t="s">
        <v>539</v>
      </c>
      <c r="G168" s="15" t="s">
        <v>254</v>
      </c>
      <c r="H168" s="15" t="s">
        <v>254</v>
      </c>
      <c r="I168" s="4">
        <v>2.0</v>
      </c>
      <c r="J168" s="4">
        <v>2.0</v>
      </c>
      <c r="K168" s="3"/>
      <c r="L168" s="15" t="s">
        <v>540</v>
      </c>
      <c r="M168" s="3" t="s">
        <v>541</v>
      </c>
      <c r="N168" s="3" t="s">
        <v>22</v>
      </c>
      <c r="O168" s="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" t="s">
        <v>14</v>
      </c>
      <c r="B169" s="3" t="s">
        <v>542</v>
      </c>
      <c r="C169" s="36" t="s">
        <v>3593</v>
      </c>
      <c r="D169" s="3" t="s">
        <v>543</v>
      </c>
      <c r="E169" s="3" t="s">
        <v>544</v>
      </c>
      <c r="F169" s="3" t="s">
        <v>545</v>
      </c>
      <c r="G169" s="3" t="s">
        <v>128</v>
      </c>
      <c r="H169" s="3" t="s">
        <v>546</v>
      </c>
      <c r="I169" s="4">
        <v>1.0</v>
      </c>
      <c r="J169" s="4">
        <v>1.0</v>
      </c>
      <c r="K169" s="3"/>
      <c r="L169" s="3" t="s">
        <v>547</v>
      </c>
      <c r="M169" s="3" t="s">
        <v>548</v>
      </c>
      <c r="N169" s="3" t="s">
        <v>22</v>
      </c>
      <c r="O169" s="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" t="s">
        <v>14</v>
      </c>
      <c r="B170" s="3" t="s">
        <v>542</v>
      </c>
      <c r="C170" s="36" t="s">
        <v>3593</v>
      </c>
      <c r="D170" s="3" t="s">
        <v>543</v>
      </c>
      <c r="E170" s="3" t="s">
        <v>544</v>
      </c>
      <c r="F170" s="3" t="s">
        <v>545</v>
      </c>
      <c r="G170" s="3" t="s">
        <v>549</v>
      </c>
      <c r="H170" s="3" t="s">
        <v>36</v>
      </c>
      <c r="I170" s="4">
        <v>2.0</v>
      </c>
      <c r="J170" s="4" t="s">
        <v>36</v>
      </c>
      <c r="K170" s="3"/>
      <c r="L170" s="3" t="s">
        <v>547</v>
      </c>
      <c r="M170" s="3" t="s">
        <v>548</v>
      </c>
      <c r="N170" s="3" t="s">
        <v>22</v>
      </c>
      <c r="O170" s="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" t="s">
        <v>14</v>
      </c>
      <c r="B171" s="3" t="s">
        <v>542</v>
      </c>
      <c r="C171" s="36" t="s">
        <v>3593</v>
      </c>
      <c r="D171" s="3" t="s">
        <v>543</v>
      </c>
      <c r="E171" s="3" t="s">
        <v>544</v>
      </c>
      <c r="F171" s="3" t="s">
        <v>545</v>
      </c>
      <c r="G171" s="3" t="s">
        <v>75</v>
      </c>
      <c r="H171" s="3" t="s">
        <v>75</v>
      </c>
      <c r="I171" s="4">
        <v>3.0</v>
      </c>
      <c r="J171" s="4">
        <v>2.0</v>
      </c>
      <c r="K171" s="5"/>
      <c r="L171" s="3" t="s">
        <v>547</v>
      </c>
      <c r="M171" s="3" t="s">
        <v>548</v>
      </c>
      <c r="N171" s="3" t="s">
        <v>22</v>
      </c>
      <c r="O171" s="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" t="s">
        <v>14</v>
      </c>
      <c r="B172" s="3" t="s">
        <v>335</v>
      </c>
      <c r="C172" s="33" t="s">
        <v>3610</v>
      </c>
      <c r="D172" s="3" t="s">
        <v>550</v>
      </c>
      <c r="E172" s="3" t="s">
        <v>335</v>
      </c>
      <c r="F172" s="3" t="s">
        <v>551</v>
      </c>
      <c r="G172" s="3" t="s">
        <v>335</v>
      </c>
      <c r="H172" s="3" t="s">
        <v>219</v>
      </c>
      <c r="I172" s="4">
        <v>1.0</v>
      </c>
      <c r="J172" s="4">
        <v>1.0</v>
      </c>
      <c r="K172" s="3"/>
      <c r="L172" s="3" t="s">
        <v>552</v>
      </c>
      <c r="M172" s="3" t="s">
        <v>553</v>
      </c>
      <c r="N172" s="3" t="s">
        <v>22</v>
      </c>
      <c r="O172" s="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" t="s">
        <v>14</v>
      </c>
      <c r="B173" s="3" t="s">
        <v>335</v>
      </c>
      <c r="C173" s="33" t="s">
        <v>3610</v>
      </c>
      <c r="D173" s="3" t="s">
        <v>550</v>
      </c>
      <c r="E173" s="3" t="s">
        <v>335</v>
      </c>
      <c r="F173" s="3" t="s">
        <v>551</v>
      </c>
      <c r="G173" s="3" t="s">
        <v>36</v>
      </c>
      <c r="H173" s="3" t="s">
        <v>24</v>
      </c>
      <c r="I173" s="4" t="s">
        <v>36</v>
      </c>
      <c r="J173" s="4">
        <v>2.0</v>
      </c>
      <c r="K173" s="3"/>
      <c r="L173" s="3" t="s">
        <v>552</v>
      </c>
      <c r="M173" s="3" t="s">
        <v>553</v>
      </c>
      <c r="N173" s="3" t="s">
        <v>22</v>
      </c>
      <c r="O173" s="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6" t="s">
        <v>14</v>
      </c>
      <c r="B174" s="26" t="s">
        <v>554</v>
      </c>
      <c r="C174" s="36" t="s">
        <v>3611</v>
      </c>
      <c r="D174" s="26" t="s">
        <v>555</v>
      </c>
      <c r="E174" s="26" t="s">
        <v>556</v>
      </c>
      <c r="F174" s="26" t="s">
        <v>557</v>
      </c>
      <c r="G174" s="26"/>
      <c r="H174" s="26"/>
      <c r="I174" s="27"/>
      <c r="J174" s="27"/>
      <c r="K174" s="28"/>
      <c r="L174" s="26" t="s">
        <v>558</v>
      </c>
      <c r="M174" s="26" t="s">
        <v>559</v>
      </c>
      <c r="N174" s="26" t="s">
        <v>22</v>
      </c>
      <c r="O174" s="26" t="s">
        <v>560</v>
      </c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15" t="s">
        <v>14</v>
      </c>
      <c r="B175" s="15" t="s">
        <v>561</v>
      </c>
      <c r="C175" s="33" t="s">
        <v>3600</v>
      </c>
      <c r="D175" s="15" t="s">
        <v>562</v>
      </c>
      <c r="E175" s="15" t="s">
        <v>563</v>
      </c>
      <c r="F175" s="15" t="s">
        <v>562</v>
      </c>
      <c r="G175" s="15" t="s">
        <v>466</v>
      </c>
      <c r="H175" s="15" t="s">
        <v>466</v>
      </c>
      <c r="I175" s="18">
        <v>1.0</v>
      </c>
      <c r="J175" s="18">
        <v>1.0</v>
      </c>
      <c r="K175" s="20"/>
      <c r="L175" s="15" t="s">
        <v>564</v>
      </c>
      <c r="M175" s="15" t="s">
        <v>565</v>
      </c>
      <c r="N175" s="15" t="s">
        <v>22</v>
      </c>
      <c r="O175" s="20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5" t="s">
        <v>14</v>
      </c>
      <c r="B176" s="15" t="s">
        <v>561</v>
      </c>
      <c r="C176" s="33" t="s">
        <v>3600</v>
      </c>
      <c r="D176" s="15" t="s">
        <v>562</v>
      </c>
      <c r="E176" s="15" t="s">
        <v>563</v>
      </c>
      <c r="F176" s="15" t="s">
        <v>562</v>
      </c>
      <c r="G176" s="15" t="s">
        <v>362</v>
      </c>
      <c r="H176" s="15" t="s">
        <v>566</v>
      </c>
      <c r="I176" s="18" t="s">
        <v>36</v>
      </c>
      <c r="J176" s="18">
        <v>2.0</v>
      </c>
      <c r="K176" s="15"/>
      <c r="L176" s="15" t="s">
        <v>564</v>
      </c>
      <c r="M176" s="15" t="s">
        <v>565</v>
      </c>
      <c r="N176" s="15" t="s">
        <v>22</v>
      </c>
      <c r="O176" s="20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5" t="s">
        <v>14</v>
      </c>
      <c r="B177" s="15" t="s">
        <v>567</v>
      </c>
      <c r="C177" s="36" t="s">
        <v>3612</v>
      </c>
      <c r="D177" s="15" t="s">
        <v>568</v>
      </c>
      <c r="E177" s="15" t="s">
        <v>569</v>
      </c>
      <c r="F177" s="15" t="s">
        <v>570</v>
      </c>
      <c r="G177" s="15" t="s">
        <v>128</v>
      </c>
      <c r="H177" s="15" t="s">
        <v>36</v>
      </c>
      <c r="I177" s="18">
        <v>1.0</v>
      </c>
      <c r="J177" s="18" t="s">
        <v>36</v>
      </c>
      <c r="K177" s="20"/>
      <c r="L177" s="15" t="s">
        <v>571</v>
      </c>
      <c r="M177" s="15" t="s">
        <v>572</v>
      </c>
      <c r="N177" s="15" t="s">
        <v>22</v>
      </c>
      <c r="O177" s="20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5" t="s">
        <v>14</v>
      </c>
      <c r="B178" s="15" t="s">
        <v>567</v>
      </c>
      <c r="C178" s="36" t="s">
        <v>3612</v>
      </c>
      <c r="D178" s="15" t="s">
        <v>568</v>
      </c>
      <c r="E178" s="15" t="s">
        <v>569</v>
      </c>
      <c r="F178" s="15" t="s">
        <v>570</v>
      </c>
      <c r="G178" s="15" t="s">
        <v>573</v>
      </c>
      <c r="H178" s="15" t="s">
        <v>574</v>
      </c>
      <c r="I178" s="18">
        <v>2.0</v>
      </c>
      <c r="J178" s="18">
        <v>1.0</v>
      </c>
      <c r="K178" s="20"/>
      <c r="L178" s="15" t="s">
        <v>571</v>
      </c>
      <c r="M178" s="15" t="s">
        <v>572</v>
      </c>
      <c r="N178" s="15" t="s">
        <v>22</v>
      </c>
      <c r="O178" s="20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5" t="s">
        <v>14</v>
      </c>
      <c r="B179" s="15" t="s">
        <v>567</v>
      </c>
      <c r="C179" s="36" t="s">
        <v>3612</v>
      </c>
      <c r="D179" s="15" t="s">
        <v>568</v>
      </c>
      <c r="E179" s="15" t="s">
        <v>569</v>
      </c>
      <c r="F179" s="15" t="s">
        <v>570</v>
      </c>
      <c r="G179" s="15" t="s">
        <v>471</v>
      </c>
      <c r="H179" s="15" t="s">
        <v>219</v>
      </c>
      <c r="I179" s="18">
        <v>3.0</v>
      </c>
      <c r="J179" s="18">
        <v>2.0</v>
      </c>
      <c r="K179" s="20"/>
      <c r="L179" s="15" t="s">
        <v>571</v>
      </c>
      <c r="M179" s="15" t="s">
        <v>572</v>
      </c>
      <c r="N179" s="15" t="s">
        <v>22</v>
      </c>
      <c r="O179" s="20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5" t="s">
        <v>14</v>
      </c>
      <c r="B180" s="15" t="s">
        <v>567</v>
      </c>
      <c r="C180" s="36" t="s">
        <v>3612</v>
      </c>
      <c r="D180" s="15" t="s">
        <v>568</v>
      </c>
      <c r="E180" s="15" t="s">
        <v>569</v>
      </c>
      <c r="F180" s="15" t="s">
        <v>570</v>
      </c>
      <c r="G180" s="15" t="s">
        <v>575</v>
      </c>
      <c r="H180" s="15" t="s">
        <v>576</v>
      </c>
      <c r="I180" s="18">
        <v>4.0</v>
      </c>
      <c r="J180" s="18">
        <v>3.0</v>
      </c>
      <c r="K180" s="20"/>
      <c r="L180" s="15" t="s">
        <v>571</v>
      </c>
      <c r="M180" s="15" t="s">
        <v>572</v>
      </c>
      <c r="N180" s="15" t="s">
        <v>22</v>
      </c>
      <c r="O180" s="20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3" t="s">
        <v>14</v>
      </c>
      <c r="B181" s="3" t="s">
        <v>577</v>
      </c>
      <c r="C181" s="33" t="s">
        <v>3600</v>
      </c>
      <c r="D181" s="3" t="s">
        <v>578</v>
      </c>
      <c r="E181" s="3" t="s">
        <v>579</v>
      </c>
      <c r="F181" s="3" t="s">
        <v>580</v>
      </c>
      <c r="G181" s="3" t="s">
        <v>131</v>
      </c>
      <c r="H181" s="3" t="s">
        <v>131</v>
      </c>
      <c r="I181" s="4">
        <v>1.0</v>
      </c>
      <c r="J181" s="4">
        <v>1.0</v>
      </c>
      <c r="K181" s="5"/>
      <c r="L181" s="3" t="s">
        <v>581</v>
      </c>
      <c r="M181" s="3" t="s">
        <v>582</v>
      </c>
      <c r="N181" s="3" t="s">
        <v>22</v>
      </c>
      <c r="O181" s="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" t="s">
        <v>14</v>
      </c>
      <c r="B182" s="3" t="s">
        <v>577</v>
      </c>
      <c r="C182" s="33" t="s">
        <v>3600</v>
      </c>
      <c r="D182" s="3" t="s">
        <v>578</v>
      </c>
      <c r="E182" s="3" t="s">
        <v>579</v>
      </c>
      <c r="F182" s="3" t="s">
        <v>580</v>
      </c>
      <c r="G182" s="3" t="s">
        <v>62</v>
      </c>
      <c r="H182" s="3" t="s">
        <v>583</v>
      </c>
      <c r="I182" s="4">
        <v>2.0</v>
      </c>
      <c r="J182" s="4">
        <v>2.0</v>
      </c>
      <c r="K182" s="5"/>
      <c r="L182" s="3" t="s">
        <v>581</v>
      </c>
      <c r="M182" s="3" t="s">
        <v>582</v>
      </c>
      <c r="N182" s="3" t="s">
        <v>22</v>
      </c>
      <c r="O182" s="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5" t="s">
        <v>14</v>
      </c>
      <c r="B183" s="15" t="s">
        <v>584</v>
      </c>
      <c r="C183" s="36" t="s">
        <v>3595</v>
      </c>
      <c r="D183" s="15" t="s">
        <v>585</v>
      </c>
      <c r="E183" s="15" t="s">
        <v>586</v>
      </c>
      <c r="F183" s="15" t="s">
        <v>587</v>
      </c>
      <c r="G183" s="15" t="s">
        <v>108</v>
      </c>
      <c r="H183" s="15" t="s">
        <v>175</v>
      </c>
      <c r="I183" s="18">
        <v>1.0</v>
      </c>
      <c r="J183" s="18">
        <v>1.0</v>
      </c>
      <c r="K183" s="15" t="s">
        <v>467</v>
      </c>
      <c r="L183" s="15" t="s">
        <v>588</v>
      </c>
      <c r="M183" s="15" t="s">
        <v>589</v>
      </c>
      <c r="N183" s="15" t="s">
        <v>22</v>
      </c>
      <c r="O183" s="20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5" t="s">
        <v>14</v>
      </c>
      <c r="B184" s="15" t="s">
        <v>584</v>
      </c>
      <c r="C184" s="36" t="s">
        <v>3595</v>
      </c>
      <c r="D184" s="15" t="s">
        <v>585</v>
      </c>
      <c r="E184" s="15" t="s">
        <v>586</v>
      </c>
      <c r="F184" s="15" t="s">
        <v>587</v>
      </c>
      <c r="G184" s="15" t="s">
        <v>251</v>
      </c>
      <c r="H184" s="15" t="s">
        <v>590</v>
      </c>
      <c r="I184" s="18">
        <v>2.0</v>
      </c>
      <c r="J184" s="18">
        <v>2.0</v>
      </c>
      <c r="K184" s="15"/>
      <c r="L184" s="15" t="s">
        <v>588</v>
      </c>
      <c r="M184" s="15" t="s">
        <v>589</v>
      </c>
      <c r="N184" s="15" t="s">
        <v>22</v>
      </c>
      <c r="O184" s="20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5" t="s">
        <v>14</v>
      </c>
      <c r="B185" s="15" t="s">
        <v>584</v>
      </c>
      <c r="C185" s="36" t="s">
        <v>3595</v>
      </c>
      <c r="D185" s="15" t="s">
        <v>585</v>
      </c>
      <c r="E185" s="15" t="s">
        <v>586</v>
      </c>
      <c r="F185" s="15" t="s">
        <v>587</v>
      </c>
      <c r="G185" s="15" t="s">
        <v>36</v>
      </c>
      <c r="H185" s="15" t="s">
        <v>591</v>
      </c>
      <c r="I185" s="18" t="s">
        <v>36</v>
      </c>
      <c r="J185" s="18">
        <v>3.0</v>
      </c>
      <c r="K185" s="20"/>
      <c r="L185" s="15" t="s">
        <v>588</v>
      </c>
      <c r="M185" s="15" t="s">
        <v>589</v>
      </c>
      <c r="N185" s="15" t="s">
        <v>22</v>
      </c>
      <c r="O185" s="20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3" t="s">
        <v>14</v>
      </c>
      <c r="B186" s="3" t="s">
        <v>592</v>
      </c>
      <c r="C186" s="33" t="s">
        <v>3600</v>
      </c>
      <c r="D186" s="3" t="s">
        <v>593</v>
      </c>
      <c r="E186" s="3" t="s">
        <v>594</v>
      </c>
      <c r="F186" s="3" t="s">
        <v>595</v>
      </c>
      <c r="G186" s="3" t="s">
        <v>596</v>
      </c>
      <c r="H186" s="3" t="s">
        <v>596</v>
      </c>
      <c r="I186" s="4">
        <v>1.0</v>
      </c>
      <c r="J186" s="4">
        <v>1.0</v>
      </c>
      <c r="K186" s="5"/>
      <c r="L186" s="3" t="s">
        <v>597</v>
      </c>
      <c r="M186" s="3" t="s">
        <v>598</v>
      </c>
      <c r="N186" s="3" t="s">
        <v>22</v>
      </c>
      <c r="O186" s="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" t="s">
        <v>14</v>
      </c>
      <c r="B187" s="3" t="s">
        <v>592</v>
      </c>
      <c r="C187" s="33" t="s">
        <v>3600</v>
      </c>
      <c r="D187" s="3" t="s">
        <v>593</v>
      </c>
      <c r="E187" s="3" t="s">
        <v>594</v>
      </c>
      <c r="F187" s="3" t="s">
        <v>595</v>
      </c>
      <c r="G187" s="3" t="s">
        <v>599</v>
      </c>
      <c r="H187" s="3" t="s">
        <v>583</v>
      </c>
      <c r="I187" s="4">
        <v>2.0</v>
      </c>
      <c r="J187" s="4">
        <v>2.0</v>
      </c>
      <c r="K187" s="5"/>
      <c r="L187" s="3" t="s">
        <v>597</v>
      </c>
      <c r="M187" s="3" t="s">
        <v>598</v>
      </c>
      <c r="N187" s="3" t="s">
        <v>22</v>
      </c>
      <c r="O187" s="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" t="s">
        <v>14</v>
      </c>
      <c r="B188" s="3" t="s">
        <v>600</v>
      </c>
      <c r="C188" s="36" t="s">
        <v>3597</v>
      </c>
      <c r="D188" s="3" t="s">
        <v>601</v>
      </c>
      <c r="E188" s="3" t="s">
        <v>602</v>
      </c>
      <c r="F188" s="3" t="s">
        <v>603</v>
      </c>
      <c r="G188" s="3" t="s">
        <v>157</v>
      </c>
      <c r="H188" s="3" t="s">
        <v>158</v>
      </c>
      <c r="I188" s="4">
        <v>1.0</v>
      </c>
      <c r="J188" s="4">
        <v>1.0</v>
      </c>
      <c r="K188" s="5"/>
      <c r="L188" s="3" t="s">
        <v>604</v>
      </c>
      <c r="M188" s="3" t="s">
        <v>605</v>
      </c>
      <c r="N188" s="3" t="s">
        <v>22</v>
      </c>
      <c r="O188" s="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" t="s">
        <v>14</v>
      </c>
      <c r="B189" s="3" t="s">
        <v>600</v>
      </c>
      <c r="C189" s="36" t="s">
        <v>3597</v>
      </c>
      <c r="D189" s="3" t="s">
        <v>601</v>
      </c>
      <c r="E189" s="3" t="s">
        <v>602</v>
      </c>
      <c r="F189" s="3" t="s">
        <v>603</v>
      </c>
      <c r="G189" s="3" t="s">
        <v>131</v>
      </c>
      <c r="H189" s="3" t="s">
        <v>131</v>
      </c>
      <c r="I189" s="4">
        <v>2.0</v>
      </c>
      <c r="J189" s="4">
        <v>2.0</v>
      </c>
      <c r="K189" s="5"/>
      <c r="L189" s="3" t="s">
        <v>604</v>
      </c>
      <c r="M189" s="3" t="s">
        <v>605</v>
      </c>
      <c r="N189" s="3" t="s">
        <v>22</v>
      </c>
      <c r="O189" s="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" t="s">
        <v>14</v>
      </c>
      <c r="B190" s="3" t="s">
        <v>600</v>
      </c>
      <c r="C190" s="36" t="s">
        <v>3597</v>
      </c>
      <c r="D190" s="3" t="s">
        <v>601</v>
      </c>
      <c r="E190" s="3" t="s">
        <v>602</v>
      </c>
      <c r="F190" s="3" t="s">
        <v>603</v>
      </c>
      <c r="G190" s="3" t="s">
        <v>425</v>
      </c>
      <c r="H190" s="3" t="s">
        <v>425</v>
      </c>
      <c r="I190" s="4">
        <v>3.0</v>
      </c>
      <c r="J190" s="4">
        <v>3.0</v>
      </c>
      <c r="K190" s="5"/>
      <c r="L190" s="3" t="s">
        <v>604</v>
      </c>
      <c r="M190" s="3" t="s">
        <v>605</v>
      </c>
      <c r="N190" s="3" t="s">
        <v>22</v>
      </c>
      <c r="O190" s="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" t="s">
        <v>14</v>
      </c>
      <c r="B191" s="3" t="s">
        <v>606</v>
      </c>
      <c r="C191" s="36" t="s">
        <v>3597</v>
      </c>
      <c r="D191" s="3" t="s">
        <v>607</v>
      </c>
      <c r="E191" s="3" t="s">
        <v>608</v>
      </c>
      <c r="F191" s="3" t="s">
        <v>609</v>
      </c>
      <c r="G191" s="3" t="s">
        <v>610</v>
      </c>
      <c r="H191" s="3" t="s">
        <v>611</v>
      </c>
      <c r="I191" s="4">
        <v>1.0</v>
      </c>
      <c r="J191" s="4">
        <v>1.0</v>
      </c>
      <c r="K191" s="5"/>
      <c r="L191" s="3" t="s">
        <v>612</v>
      </c>
      <c r="M191" s="3" t="s">
        <v>613</v>
      </c>
      <c r="N191" s="3" t="s">
        <v>22</v>
      </c>
      <c r="O191" s="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" t="s">
        <v>14</v>
      </c>
      <c r="B192" s="3" t="s">
        <v>606</v>
      </c>
      <c r="C192" s="36" t="s">
        <v>3597</v>
      </c>
      <c r="D192" s="3" t="s">
        <v>607</v>
      </c>
      <c r="E192" s="3" t="s">
        <v>608</v>
      </c>
      <c r="F192" s="3" t="s">
        <v>609</v>
      </c>
      <c r="G192" s="3" t="s">
        <v>614</v>
      </c>
      <c r="H192" s="3" t="s">
        <v>615</v>
      </c>
      <c r="I192" s="4">
        <v>2.0</v>
      </c>
      <c r="J192" s="4">
        <v>2.0</v>
      </c>
      <c r="K192" s="5"/>
      <c r="L192" s="3" t="s">
        <v>612</v>
      </c>
      <c r="M192" s="3" t="s">
        <v>613</v>
      </c>
      <c r="N192" s="3" t="s">
        <v>22</v>
      </c>
      <c r="O192" s="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" t="s">
        <v>14</v>
      </c>
      <c r="B193" s="3" t="s">
        <v>606</v>
      </c>
      <c r="C193" s="36" t="s">
        <v>3597</v>
      </c>
      <c r="D193" s="3" t="s">
        <v>607</v>
      </c>
      <c r="E193" s="3" t="s">
        <v>608</v>
      </c>
      <c r="F193" s="3" t="s">
        <v>609</v>
      </c>
      <c r="G193" s="3" t="s">
        <v>98</v>
      </c>
      <c r="H193" s="3" t="s">
        <v>98</v>
      </c>
      <c r="I193" s="4">
        <v>3.0</v>
      </c>
      <c r="J193" s="4">
        <v>3.0</v>
      </c>
      <c r="K193" s="5"/>
      <c r="L193" s="3" t="s">
        <v>612</v>
      </c>
      <c r="M193" s="3" t="s">
        <v>613</v>
      </c>
      <c r="N193" s="3" t="s">
        <v>22</v>
      </c>
      <c r="O193" s="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" t="s">
        <v>14</v>
      </c>
      <c r="B194" s="3" t="s">
        <v>616</v>
      </c>
      <c r="C194" s="36" t="s">
        <v>3595</v>
      </c>
      <c r="D194" s="3" t="s">
        <v>617</v>
      </c>
      <c r="E194" s="3" t="s">
        <v>618</v>
      </c>
      <c r="F194" s="3" t="s">
        <v>619</v>
      </c>
      <c r="G194" s="3" t="s">
        <v>620</v>
      </c>
      <c r="H194" s="3" t="s">
        <v>190</v>
      </c>
      <c r="I194" s="4">
        <v>1.0</v>
      </c>
      <c r="J194" s="4">
        <v>1.0</v>
      </c>
      <c r="K194" s="3" t="s">
        <v>467</v>
      </c>
      <c r="L194" s="3" t="s">
        <v>621</v>
      </c>
      <c r="M194" s="3" t="s">
        <v>622</v>
      </c>
      <c r="N194" s="3" t="s">
        <v>22</v>
      </c>
      <c r="O194" s="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" t="s">
        <v>14</v>
      </c>
      <c r="B195" s="3" t="s">
        <v>616</v>
      </c>
      <c r="C195" s="36" t="s">
        <v>3595</v>
      </c>
      <c r="D195" s="3" t="s">
        <v>617</v>
      </c>
      <c r="E195" s="3" t="s">
        <v>618</v>
      </c>
      <c r="F195" s="3" t="s">
        <v>619</v>
      </c>
      <c r="G195" s="3" t="s">
        <v>36</v>
      </c>
      <c r="H195" s="3" t="s">
        <v>623</v>
      </c>
      <c r="I195" s="4">
        <v>2.0</v>
      </c>
      <c r="J195" s="4">
        <v>2.0</v>
      </c>
      <c r="K195" s="3"/>
      <c r="L195" s="3" t="s">
        <v>621</v>
      </c>
      <c r="M195" s="3" t="s">
        <v>622</v>
      </c>
      <c r="N195" s="3" t="s">
        <v>22</v>
      </c>
      <c r="O195" s="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" t="s">
        <v>14</v>
      </c>
      <c r="B196" s="3" t="s">
        <v>616</v>
      </c>
      <c r="C196" s="36" t="s">
        <v>3595</v>
      </c>
      <c r="D196" s="3" t="s">
        <v>617</v>
      </c>
      <c r="E196" s="3" t="s">
        <v>618</v>
      </c>
      <c r="F196" s="3" t="s">
        <v>619</v>
      </c>
      <c r="G196" s="3" t="s">
        <v>624</v>
      </c>
      <c r="H196" s="3" t="s">
        <v>75</v>
      </c>
      <c r="I196" s="4">
        <v>3.0</v>
      </c>
      <c r="J196" s="4">
        <v>3.0</v>
      </c>
      <c r="K196" s="5"/>
      <c r="L196" s="3" t="s">
        <v>621</v>
      </c>
      <c r="M196" s="3" t="s">
        <v>622</v>
      </c>
      <c r="N196" s="3" t="s">
        <v>22</v>
      </c>
      <c r="O196" s="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" t="s">
        <v>14</v>
      </c>
      <c r="B197" s="3" t="s">
        <v>625</v>
      </c>
      <c r="C197" s="33" t="s">
        <v>3600</v>
      </c>
      <c r="D197" s="3" t="s">
        <v>626</v>
      </c>
      <c r="E197" s="3" t="s">
        <v>627</v>
      </c>
      <c r="F197" s="3" t="s">
        <v>628</v>
      </c>
      <c r="G197" s="3" t="s">
        <v>629</v>
      </c>
      <c r="H197" s="3" t="s">
        <v>630</v>
      </c>
      <c r="I197" s="4">
        <v>1.0</v>
      </c>
      <c r="J197" s="4">
        <v>1.0</v>
      </c>
      <c r="K197" s="5"/>
      <c r="L197" s="3" t="s">
        <v>631</v>
      </c>
      <c r="M197" s="3" t="s">
        <v>632</v>
      </c>
      <c r="N197" s="3" t="s">
        <v>22</v>
      </c>
      <c r="O197" s="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" t="s">
        <v>14</v>
      </c>
      <c r="B198" s="3" t="s">
        <v>625</v>
      </c>
      <c r="C198" s="33" t="s">
        <v>3600</v>
      </c>
      <c r="D198" s="3" t="s">
        <v>626</v>
      </c>
      <c r="E198" s="3" t="s">
        <v>627</v>
      </c>
      <c r="F198" s="3" t="s">
        <v>628</v>
      </c>
      <c r="G198" s="3" t="s">
        <v>402</v>
      </c>
      <c r="H198" s="3" t="s">
        <v>402</v>
      </c>
      <c r="I198" s="4">
        <v>2.0</v>
      </c>
      <c r="J198" s="4">
        <v>2.0</v>
      </c>
      <c r="K198" s="5"/>
      <c r="L198" s="3" t="s">
        <v>631</v>
      </c>
      <c r="M198" s="3" t="s">
        <v>632</v>
      </c>
      <c r="N198" s="3" t="s">
        <v>22</v>
      </c>
      <c r="O198" s="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5" t="s">
        <v>14</v>
      </c>
      <c r="B199" s="15" t="s">
        <v>633</v>
      </c>
      <c r="C199" s="36" t="s">
        <v>3595</v>
      </c>
      <c r="D199" s="15" t="s">
        <v>634</v>
      </c>
      <c r="E199" s="15" t="s">
        <v>635</v>
      </c>
      <c r="F199" s="15" t="s">
        <v>636</v>
      </c>
      <c r="G199" s="15"/>
      <c r="H199" s="15"/>
      <c r="I199" s="18"/>
      <c r="J199" s="18"/>
      <c r="K199" s="20"/>
      <c r="L199" s="15" t="s">
        <v>637</v>
      </c>
      <c r="M199" s="15" t="s">
        <v>638</v>
      </c>
      <c r="N199" s="15" t="s">
        <v>22</v>
      </c>
      <c r="O199" s="15" t="s">
        <v>560</v>
      </c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3" t="s">
        <v>14</v>
      </c>
      <c r="B200" s="3" t="s">
        <v>639</v>
      </c>
      <c r="C200" s="33" t="s">
        <v>3600</v>
      </c>
      <c r="D200" s="3" t="s">
        <v>640</v>
      </c>
      <c r="E200" s="6" t="s">
        <v>641</v>
      </c>
      <c r="F200" s="3" t="s">
        <v>642</v>
      </c>
      <c r="G200" s="6" t="s">
        <v>643</v>
      </c>
      <c r="H200" s="3" t="s">
        <v>644</v>
      </c>
      <c r="I200" s="4">
        <v>1.0</v>
      </c>
      <c r="J200" s="4">
        <v>1.0</v>
      </c>
      <c r="K200" s="5"/>
      <c r="L200" s="3" t="s">
        <v>645</v>
      </c>
      <c r="M200" s="3" t="s">
        <v>646</v>
      </c>
      <c r="N200" s="3" t="s">
        <v>22</v>
      </c>
      <c r="O200" s="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" t="s">
        <v>14</v>
      </c>
      <c r="B201" s="3" t="s">
        <v>639</v>
      </c>
      <c r="C201" s="33" t="s">
        <v>3600</v>
      </c>
      <c r="D201" s="3" t="s">
        <v>640</v>
      </c>
      <c r="E201" s="6" t="s">
        <v>641</v>
      </c>
      <c r="F201" s="3" t="s">
        <v>642</v>
      </c>
      <c r="G201" s="6" t="s">
        <v>419</v>
      </c>
      <c r="H201" s="3" t="s">
        <v>425</v>
      </c>
      <c r="I201" s="4">
        <v>2.0</v>
      </c>
      <c r="J201" s="4">
        <v>2.0</v>
      </c>
      <c r="K201" s="5"/>
      <c r="L201" s="3" t="s">
        <v>645</v>
      </c>
      <c r="M201" s="3" t="s">
        <v>646</v>
      </c>
      <c r="N201" s="3" t="s">
        <v>22</v>
      </c>
      <c r="O201" s="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" t="s">
        <v>14</v>
      </c>
      <c r="B202" s="3" t="s">
        <v>647</v>
      </c>
      <c r="C202" s="36" t="s">
        <v>3597</v>
      </c>
      <c r="D202" s="3" t="s">
        <v>648</v>
      </c>
      <c r="E202" s="6" t="s">
        <v>649</v>
      </c>
      <c r="F202" s="3" t="s">
        <v>650</v>
      </c>
      <c r="G202" s="6"/>
      <c r="H202" s="3"/>
      <c r="I202" s="4"/>
      <c r="J202" s="4"/>
      <c r="K202" s="3"/>
      <c r="L202" s="3" t="s">
        <v>651</v>
      </c>
      <c r="M202" s="3" t="s">
        <v>652</v>
      </c>
      <c r="N202" s="3" t="s">
        <v>22</v>
      </c>
      <c r="O202" s="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" t="s">
        <v>14</v>
      </c>
      <c r="B203" s="3" t="s">
        <v>647</v>
      </c>
      <c r="C203" s="36" t="s">
        <v>3597</v>
      </c>
      <c r="D203" s="3" t="s">
        <v>648</v>
      </c>
      <c r="E203" s="6" t="s">
        <v>649</v>
      </c>
      <c r="F203" s="3" t="s">
        <v>650</v>
      </c>
      <c r="G203" s="6" t="s">
        <v>653</v>
      </c>
      <c r="H203" s="3" t="s">
        <v>238</v>
      </c>
      <c r="I203" s="4">
        <v>2.0</v>
      </c>
      <c r="J203" s="4">
        <v>2.0</v>
      </c>
      <c r="K203" s="5"/>
      <c r="L203" s="3" t="s">
        <v>651</v>
      </c>
      <c r="M203" s="3" t="s">
        <v>652</v>
      </c>
      <c r="N203" s="3" t="s">
        <v>22</v>
      </c>
      <c r="O203" s="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" t="s">
        <v>14</v>
      </c>
      <c r="B204" s="3" t="s">
        <v>647</v>
      </c>
      <c r="C204" s="36" t="s">
        <v>3597</v>
      </c>
      <c r="D204" s="3" t="s">
        <v>648</v>
      </c>
      <c r="E204" s="6" t="s">
        <v>649</v>
      </c>
      <c r="F204" s="3" t="s">
        <v>650</v>
      </c>
      <c r="G204" s="6" t="s">
        <v>36</v>
      </c>
      <c r="H204" s="3" t="s">
        <v>654</v>
      </c>
      <c r="I204" s="4">
        <v>3.0</v>
      </c>
      <c r="J204" s="4">
        <v>3.0</v>
      </c>
      <c r="K204" s="3"/>
      <c r="L204" s="3" t="s">
        <v>651</v>
      </c>
      <c r="M204" s="3" t="s">
        <v>652</v>
      </c>
      <c r="N204" s="3" t="s">
        <v>22</v>
      </c>
      <c r="O204" s="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" t="s">
        <v>14</v>
      </c>
      <c r="B205" s="3" t="s">
        <v>647</v>
      </c>
      <c r="C205" s="36" t="s">
        <v>3597</v>
      </c>
      <c r="D205" s="3" t="s">
        <v>648</v>
      </c>
      <c r="E205" s="6" t="s">
        <v>649</v>
      </c>
      <c r="F205" s="3" t="s">
        <v>650</v>
      </c>
      <c r="G205" s="6" t="s">
        <v>190</v>
      </c>
      <c r="H205" s="3" t="s">
        <v>190</v>
      </c>
      <c r="I205" s="4">
        <v>4.0</v>
      </c>
      <c r="J205" s="4">
        <v>4.0</v>
      </c>
      <c r="K205" s="5"/>
      <c r="L205" s="3" t="s">
        <v>651</v>
      </c>
      <c r="M205" s="3" t="s">
        <v>652</v>
      </c>
      <c r="N205" s="3" t="s">
        <v>22</v>
      </c>
      <c r="O205" s="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" t="s">
        <v>14</v>
      </c>
      <c r="B206" s="3" t="s">
        <v>655</v>
      </c>
      <c r="C206" s="36" t="s">
        <v>3608</v>
      </c>
      <c r="D206" s="3" t="s">
        <v>656</v>
      </c>
      <c r="E206" s="3" t="s">
        <v>657</v>
      </c>
      <c r="F206" s="3" t="s">
        <v>658</v>
      </c>
      <c r="G206" s="3" t="s">
        <v>30</v>
      </c>
      <c r="H206" s="3" t="s">
        <v>49</v>
      </c>
      <c r="I206" s="4">
        <v>1.0</v>
      </c>
      <c r="J206" s="4">
        <v>1.0</v>
      </c>
      <c r="K206" s="5"/>
      <c r="L206" s="3" t="s">
        <v>659</v>
      </c>
      <c r="M206" s="3" t="s">
        <v>660</v>
      </c>
      <c r="N206" s="3" t="s">
        <v>22</v>
      </c>
      <c r="O206" s="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" t="s">
        <v>14</v>
      </c>
      <c r="B207" s="3" t="s">
        <v>655</v>
      </c>
      <c r="C207" s="36" t="s">
        <v>3608</v>
      </c>
      <c r="D207" s="3" t="s">
        <v>656</v>
      </c>
      <c r="E207" s="3" t="s">
        <v>657</v>
      </c>
      <c r="F207" s="3" t="s">
        <v>658</v>
      </c>
      <c r="G207" s="3" t="s">
        <v>661</v>
      </c>
      <c r="H207" s="3" t="s">
        <v>662</v>
      </c>
      <c r="I207" s="4">
        <v>2.0</v>
      </c>
      <c r="J207" s="4">
        <v>2.0</v>
      </c>
      <c r="K207" s="5"/>
      <c r="L207" s="3" t="s">
        <v>659</v>
      </c>
      <c r="M207" s="3" t="s">
        <v>660</v>
      </c>
      <c r="N207" s="3" t="s">
        <v>22</v>
      </c>
      <c r="O207" s="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" t="s">
        <v>14</v>
      </c>
      <c r="B208" s="3" t="s">
        <v>663</v>
      </c>
      <c r="C208" s="33" t="s">
        <v>3610</v>
      </c>
      <c r="D208" s="3" t="s">
        <v>664</v>
      </c>
      <c r="E208" s="3" t="s">
        <v>663</v>
      </c>
      <c r="F208" s="3" t="s">
        <v>665</v>
      </c>
      <c r="G208" s="3" t="s">
        <v>663</v>
      </c>
      <c r="H208" s="3" t="s">
        <v>663</v>
      </c>
      <c r="I208" s="4">
        <v>1.0</v>
      </c>
      <c r="J208" s="4">
        <v>1.0</v>
      </c>
      <c r="K208" s="3"/>
      <c r="L208" s="3" t="s">
        <v>666</v>
      </c>
      <c r="M208" s="3" t="s">
        <v>667</v>
      </c>
      <c r="N208" s="3" t="s">
        <v>22</v>
      </c>
      <c r="O208" s="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" t="s">
        <v>14</v>
      </c>
      <c r="B209" s="3" t="s">
        <v>663</v>
      </c>
      <c r="C209" s="33" t="s">
        <v>3610</v>
      </c>
      <c r="D209" s="3" t="s">
        <v>664</v>
      </c>
      <c r="E209" s="3" t="s">
        <v>663</v>
      </c>
      <c r="F209" s="3" t="s">
        <v>665</v>
      </c>
      <c r="G209" s="3" t="s">
        <v>36</v>
      </c>
      <c r="H209" s="3" t="s">
        <v>668</v>
      </c>
      <c r="I209" s="4" t="s">
        <v>36</v>
      </c>
      <c r="J209" s="4">
        <v>2.0</v>
      </c>
      <c r="K209" s="3"/>
      <c r="L209" s="3" t="s">
        <v>666</v>
      </c>
      <c r="M209" s="3" t="s">
        <v>667</v>
      </c>
      <c r="N209" s="3" t="s">
        <v>22</v>
      </c>
      <c r="O209" s="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" t="s">
        <v>14</v>
      </c>
      <c r="B210" s="3" t="s">
        <v>669</v>
      </c>
      <c r="C210" s="33" t="s">
        <v>3604</v>
      </c>
      <c r="D210" s="3" t="s">
        <v>670</v>
      </c>
      <c r="E210" s="3" t="s">
        <v>671</v>
      </c>
      <c r="F210" s="3" t="s">
        <v>672</v>
      </c>
      <c r="G210" s="3" t="s">
        <v>131</v>
      </c>
      <c r="H210" s="3" t="s">
        <v>673</v>
      </c>
      <c r="I210" s="4">
        <v>1.0</v>
      </c>
      <c r="J210" s="4">
        <v>1.0</v>
      </c>
      <c r="K210" s="5"/>
      <c r="L210" s="3" t="s">
        <v>674</v>
      </c>
      <c r="M210" s="3" t="s">
        <v>675</v>
      </c>
      <c r="N210" s="3" t="s">
        <v>22</v>
      </c>
      <c r="O210" s="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" t="s">
        <v>14</v>
      </c>
      <c r="B211" s="3" t="s">
        <v>669</v>
      </c>
      <c r="C211" s="33" t="s">
        <v>3604</v>
      </c>
      <c r="D211" s="3" t="s">
        <v>670</v>
      </c>
      <c r="E211" s="3" t="s">
        <v>671</v>
      </c>
      <c r="F211" s="3" t="s">
        <v>672</v>
      </c>
      <c r="G211" s="3" t="s">
        <v>197</v>
      </c>
      <c r="H211" s="3" t="s">
        <v>36</v>
      </c>
      <c r="I211" s="4">
        <v>2.0</v>
      </c>
      <c r="J211" s="4" t="s">
        <v>36</v>
      </c>
      <c r="K211" s="5"/>
      <c r="L211" s="3" t="s">
        <v>674</v>
      </c>
      <c r="M211" s="3" t="s">
        <v>675</v>
      </c>
      <c r="N211" s="3" t="s">
        <v>22</v>
      </c>
      <c r="O211" s="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" t="s">
        <v>14</v>
      </c>
      <c r="B212" s="3" t="s">
        <v>669</v>
      </c>
      <c r="C212" s="33" t="s">
        <v>3604</v>
      </c>
      <c r="D212" s="3" t="s">
        <v>670</v>
      </c>
      <c r="E212" s="3" t="s">
        <v>671</v>
      </c>
      <c r="F212" s="3" t="s">
        <v>672</v>
      </c>
      <c r="G212" s="3" t="s">
        <v>158</v>
      </c>
      <c r="H212" s="3" t="s">
        <v>158</v>
      </c>
      <c r="I212" s="4">
        <v>3.0</v>
      </c>
      <c r="J212" s="4">
        <v>2.0</v>
      </c>
      <c r="K212" s="5"/>
      <c r="L212" s="3" t="s">
        <v>674</v>
      </c>
      <c r="M212" s="3" t="s">
        <v>675</v>
      </c>
      <c r="N212" s="3" t="s">
        <v>22</v>
      </c>
      <c r="O212" s="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" t="s">
        <v>14</v>
      </c>
      <c r="B213" s="3" t="s">
        <v>676</v>
      </c>
      <c r="C213" s="36" t="s">
        <v>3597</v>
      </c>
      <c r="D213" s="3" t="s">
        <v>677</v>
      </c>
      <c r="E213" s="3" t="s">
        <v>678</v>
      </c>
      <c r="F213" s="3" t="s">
        <v>679</v>
      </c>
      <c r="G213" s="3" t="s">
        <v>174</v>
      </c>
      <c r="H213" s="3" t="s">
        <v>425</v>
      </c>
      <c r="I213" s="4">
        <v>1.0</v>
      </c>
      <c r="J213" s="4">
        <v>1.0</v>
      </c>
      <c r="K213" s="5"/>
      <c r="L213" s="3" t="s">
        <v>680</v>
      </c>
      <c r="M213" s="3" t="s">
        <v>681</v>
      </c>
      <c r="N213" s="3" t="s">
        <v>22</v>
      </c>
      <c r="O213" s="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" t="s">
        <v>14</v>
      </c>
      <c r="B214" s="3" t="s">
        <v>676</v>
      </c>
      <c r="C214" s="36" t="s">
        <v>3597</v>
      </c>
      <c r="D214" s="3" t="s">
        <v>677</v>
      </c>
      <c r="E214" s="3" t="s">
        <v>678</v>
      </c>
      <c r="F214" s="3" t="s">
        <v>679</v>
      </c>
      <c r="G214" s="3" t="s">
        <v>326</v>
      </c>
      <c r="H214" s="3" t="s">
        <v>115</v>
      </c>
      <c r="I214" s="4">
        <v>2.0</v>
      </c>
      <c r="J214" s="4">
        <v>2.0</v>
      </c>
      <c r="K214" s="5"/>
      <c r="L214" s="3" t="s">
        <v>680</v>
      </c>
      <c r="M214" s="3" t="s">
        <v>681</v>
      </c>
      <c r="N214" s="3" t="s">
        <v>22</v>
      </c>
      <c r="O214" s="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" t="s">
        <v>14</v>
      </c>
      <c r="B215" s="3" t="s">
        <v>676</v>
      </c>
      <c r="C215" s="36" t="s">
        <v>3597</v>
      </c>
      <c r="D215" s="3" t="s">
        <v>677</v>
      </c>
      <c r="E215" s="3" t="s">
        <v>678</v>
      </c>
      <c r="F215" s="3" t="s">
        <v>679</v>
      </c>
      <c r="G215" s="3" t="s">
        <v>213</v>
      </c>
      <c r="H215" s="3" t="s">
        <v>682</v>
      </c>
      <c r="I215" s="4">
        <v>3.0</v>
      </c>
      <c r="J215" s="4">
        <v>3.0</v>
      </c>
      <c r="K215" s="5"/>
      <c r="L215" s="3" t="s">
        <v>680</v>
      </c>
      <c r="M215" s="3" t="s">
        <v>681</v>
      </c>
      <c r="N215" s="3" t="s">
        <v>22</v>
      </c>
      <c r="O215" s="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" t="s">
        <v>14</v>
      </c>
      <c r="B216" s="3" t="s">
        <v>683</v>
      </c>
      <c r="C216" s="36" t="s">
        <v>3607</v>
      </c>
      <c r="D216" s="3" t="s">
        <v>684</v>
      </c>
      <c r="E216" s="3" t="s">
        <v>685</v>
      </c>
      <c r="F216" s="3" t="s">
        <v>686</v>
      </c>
      <c r="G216" s="3" t="s">
        <v>128</v>
      </c>
      <c r="H216" s="3" t="s">
        <v>591</v>
      </c>
      <c r="I216" s="4">
        <v>1.0</v>
      </c>
      <c r="J216" s="4">
        <v>1.0</v>
      </c>
      <c r="K216" s="5"/>
      <c r="L216" s="3" t="s">
        <v>687</v>
      </c>
      <c r="M216" s="3" t="s">
        <v>688</v>
      </c>
      <c r="N216" s="3" t="s">
        <v>22</v>
      </c>
      <c r="O216" s="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" t="s">
        <v>14</v>
      </c>
      <c r="B217" s="3" t="s">
        <v>683</v>
      </c>
      <c r="C217" s="36" t="s">
        <v>3607</v>
      </c>
      <c r="D217" s="3" t="s">
        <v>684</v>
      </c>
      <c r="E217" s="3" t="s">
        <v>685</v>
      </c>
      <c r="F217" s="3" t="s">
        <v>686</v>
      </c>
      <c r="G217" s="3" t="s">
        <v>689</v>
      </c>
      <c r="H217" s="3" t="s">
        <v>690</v>
      </c>
      <c r="I217" s="4">
        <v>2.0</v>
      </c>
      <c r="J217" s="4">
        <v>2.0</v>
      </c>
      <c r="K217" s="5"/>
      <c r="L217" s="3" t="s">
        <v>687</v>
      </c>
      <c r="M217" s="3" t="s">
        <v>688</v>
      </c>
      <c r="N217" s="3" t="s">
        <v>22</v>
      </c>
      <c r="O217" s="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" t="s">
        <v>14</v>
      </c>
      <c r="B218" s="3" t="s">
        <v>691</v>
      </c>
      <c r="C218" s="36" t="s">
        <v>3609</v>
      </c>
      <c r="D218" s="3" t="s">
        <v>692</v>
      </c>
      <c r="E218" s="3" t="s">
        <v>693</v>
      </c>
      <c r="F218" s="3" t="s">
        <v>694</v>
      </c>
      <c r="G218" s="3" t="s">
        <v>157</v>
      </c>
      <c r="H218" s="3" t="s">
        <v>695</v>
      </c>
      <c r="I218" s="4">
        <v>1.0</v>
      </c>
      <c r="J218" s="4">
        <v>1.0</v>
      </c>
      <c r="K218" s="3"/>
      <c r="L218" s="3" t="s">
        <v>696</v>
      </c>
      <c r="M218" s="3" t="s">
        <v>697</v>
      </c>
      <c r="N218" s="3" t="s">
        <v>22</v>
      </c>
      <c r="O218" s="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" t="s">
        <v>14</v>
      </c>
      <c r="B219" s="3" t="s">
        <v>691</v>
      </c>
      <c r="C219" s="36" t="s">
        <v>3609</v>
      </c>
      <c r="D219" s="3" t="s">
        <v>692</v>
      </c>
      <c r="E219" s="3" t="s">
        <v>693</v>
      </c>
      <c r="F219" s="3" t="s">
        <v>694</v>
      </c>
      <c r="G219" s="3" t="s">
        <v>172</v>
      </c>
      <c r="H219" s="3" t="s">
        <v>172</v>
      </c>
      <c r="I219" s="4">
        <v>2.0</v>
      </c>
      <c r="J219" s="4">
        <v>2.0</v>
      </c>
      <c r="K219" s="5"/>
      <c r="L219" s="3" t="s">
        <v>696</v>
      </c>
      <c r="M219" s="3" t="s">
        <v>697</v>
      </c>
      <c r="N219" s="3" t="s">
        <v>22</v>
      </c>
      <c r="O219" s="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" t="s">
        <v>14</v>
      </c>
      <c r="B220" s="3" t="s">
        <v>691</v>
      </c>
      <c r="C220" s="36" t="s">
        <v>3609</v>
      </c>
      <c r="D220" s="3" t="s">
        <v>692</v>
      </c>
      <c r="E220" s="3" t="s">
        <v>693</v>
      </c>
      <c r="F220" s="3" t="s">
        <v>694</v>
      </c>
      <c r="G220" s="3" t="s">
        <v>181</v>
      </c>
      <c r="H220" s="3" t="s">
        <v>428</v>
      </c>
      <c r="I220" s="4">
        <v>3.0</v>
      </c>
      <c r="J220" s="4">
        <v>3.0</v>
      </c>
      <c r="K220" s="3"/>
      <c r="L220" s="3" t="s">
        <v>696</v>
      </c>
      <c r="M220" s="3" t="s">
        <v>697</v>
      </c>
      <c r="N220" s="3" t="s">
        <v>22</v>
      </c>
      <c r="O220" s="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" t="s">
        <v>14</v>
      </c>
      <c r="B221" s="3" t="s">
        <v>698</v>
      </c>
      <c r="C221" s="36" t="s">
        <v>3595</v>
      </c>
      <c r="D221" s="3" t="s">
        <v>699</v>
      </c>
      <c r="E221" s="3" t="s">
        <v>700</v>
      </c>
      <c r="F221" s="3" t="s">
        <v>701</v>
      </c>
      <c r="G221" s="3" t="s">
        <v>702</v>
      </c>
      <c r="H221" s="3" t="s">
        <v>703</v>
      </c>
      <c r="I221" s="4">
        <v>1.0</v>
      </c>
      <c r="J221" s="4">
        <v>1.0</v>
      </c>
      <c r="K221" s="3"/>
      <c r="L221" s="3" t="s">
        <v>704</v>
      </c>
      <c r="M221" s="3" t="s">
        <v>705</v>
      </c>
      <c r="N221" s="3" t="s">
        <v>22</v>
      </c>
      <c r="O221" s="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" t="s">
        <v>14</v>
      </c>
      <c r="B222" s="3" t="s">
        <v>698</v>
      </c>
      <c r="C222" s="36" t="s">
        <v>3595</v>
      </c>
      <c r="D222" s="3" t="s">
        <v>699</v>
      </c>
      <c r="E222" s="3" t="s">
        <v>700</v>
      </c>
      <c r="F222" s="3" t="s">
        <v>701</v>
      </c>
      <c r="G222" s="3" t="s">
        <v>706</v>
      </c>
      <c r="H222" s="3" t="s">
        <v>707</v>
      </c>
      <c r="I222" s="4">
        <v>2.0</v>
      </c>
      <c r="J222" s="4">
        <v>2.0</v>
      </c>
      <c r="K222" s="3"/>
      <c r="L222" s="3" t="s">
        <v>704</v>
      </c>
      <c r="M222" s="3" t="s">
        <v>705</v>
      </c>
      <c r="N222" s="3" t="s">
        <v>22</v>
      </c>
      <c r="O222" s="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" t="s">
        <v>14</v>
      </c>
      <c r="B223" s="3" t="s">
        <v>708</v>
      </c>
      <c r="C223" s="36" t="s">
        <v>3597</v>
      </c>
      <c r="D223" s="3" t="s">
        <v>709</v>
      </c>
      <c r="E223" s="3" t="s">
        <v>710</v>
      </c>
      <c r="F223" s="3" t="s">
        <v>711</v>
      </c>
      <c r="G223" s="3" t="s">
        <v>233</v>
      </c>
      <c r="H223" s="3" t="s">
        <v>712</v>
      </c>
      <c r="I223" s="4">
        <v>1.0</v>
      </c>
      <c r="J223" s="4">
        <v>1.0</v>
      </c>
      <c r="K223" s="5"/>
      <c r="L223" s="3" t="s">
        <v>713</v>
      </c>
      <c r="M223" s="3" t="s">
        <v>714</v>
      </c>
      <c r="N223" s="3" t="s">
        <v>22</v>
      </c>
      <c r="O223" s="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" t="s">
        <v>14</v>
      </c>
      <c r="B224" s="3" t="s">
        <v>708</v>
      </c>
      <c r="C224" s="36" t="s">
        <v>3597</v>
      </c>
      <c r="D224" s="3" t="s">
        <v>709</v>
      </c>
      <c r="E224" s="3" t="s">
        <v>710</v>
      </c>
      <c r="F224" s="3" t="s">
        <v>711</v>
      </c>
      <c r="G224" s="3" t="s">
        <v>715</v>
      </c>
      <c r="H224" s="3" t="s">
        <v>715</v>
      </c>
      <c r="I224" s="4">
        <v>2.0</v>
      </c>
      <c r="J224" s="4">
        <v>2.0</v>
      </c>
      <c r="K224" s="5"/>
      <c r="L224" s="3" t="s">
        <v>713</v>
      </c>
      <c r="M224" s="3" t="s">
        <v>714</v>
      </c>
      <c r="N224" s="3" t="s">
        <v>22</v>
      </c>
      <c r="O224" s="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" t="s">
        <v>14</v>
      </c>
      <c r="B225" s="3" t="s">
        <v>708</v>
      </c>
      <c r="C225" s="36" t="s">
        <v>3597</v>
      </c>
      <c r="D225" s="3" t="s">
        <v>709</v>
      </c>
      <c r="E225" s="3" t="s">
        <v>710</v>
      </c>
      <c r="F225" s="3" t="s">
        <v>711</v>
      </c>
      <c r="G225" s="3" t="s">
        <v>402</v>
      </c>
      <c r="H225" s="3" t="s">
        <v>402</v>
      </c>
      <c r="I225" s="4">
        <v>3.0</v>
      </c>
      <c r="J225" s="4">
        <v>3.0</v>
      </c>
      <c r="K225" s="5"/>
      <c r="L225" s="3" t="s">
        <v>713</v>
      </c>
      <c r="M225" s="3" t="s">
        <v>714</v>
      </c>
      <c r="N225" s="3" t="s">
        <v>22</v>
      </c>
      <c r="O225" s="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" t="s">
        <v>14</v>
      </c>
      <c r="B226" s="3" t="s">
        <v>716</v>
      </c>
      <c r="C226" s="33" t="s">
        <v>3600</v>
      </c>
      <c r="D226" s="3" t="s">
        <v>717</v>
      </c>
      <c r="E226" s="3" t="s">
        <v>718</v>
      </c>
      <c r="F226" s="3" t="s">
        <v>719</v>
      </c>
      <c r="G226" s="3" t="s">
        <v>720</v>
      </c>
      <c r="H226" s="3" t="s">
        <v>721</v>
      </c>
      <c r="I226" s="4">
        <v>1.0</v>
      </c>
      <c r="J226" s="4">
        <v>1.0</v>
      </c>
      <c r="K226" s="5"/>
      <c r="L226" s="3" t="s">
        <v>722</v>
      </c>
      <c r="M226" s="3" t="s">
        <v>723</v>
      </c>
      <c r="N226" s="3" t="s">
        <v>22</v>
      </c>
      <c r="O226" s="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" t="s">
        <v>14</v>
      </c>
      <c r="B227" s="3" t="s">
        <v>716</v>
      </c>
      <c r="C227" s="33" t="s">
        <v>3600</v>
      </c>
      <c r="D227" s="3" t="s">
        <v>717</v>
      </c>
      <c r="E227" s="3" t="s">
        <v>718</v>
      </c>
      <c r="F227" s="3" t="s">
        <v>719</v>
      </c>
      <c r="G227" s="3" t="s">
        <v>724</v>
      </c>
      <c r="H227" s="3" t="s">
        <v>724</v>
      </c>
      <c r="I227" s="4">
        <v>2.0</v>
      </c>
      <c r="J227" s="4">
        <v>2.0</v>
      </c>
      <c r="K227" s="5"/>
      <c r="L227" s="3" t="s">
        <v>722</v>
      </c>
      <c r="M227" s="3" t="s">
        <v>723</v>
      </c>
      <c r="N227" s="3" t="s">
        <v>22</v>
      </c>
      <c r="O227" s="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" t="s">
        <v>14</v>
      </c>
      <c r="B228" s="3" t="s">
        <v>725</v>
      </c>
      <c r="C228" s="33" t="s">
        <v>3600</v>
      </c>
      <c r="D228" s="3" t="s">
        <v>726</v>
      </c>
      <c r="E228" s="3" t="s">
        <v>727</v>
      </c>
      <c r="F228" s="3" t="s">
        <v>728</v>
      </c>
      <c r="G228" s="3" t="s">
        <v>615</v>
      </c>
      <c r="H228" s="3" t="s">
        <v>615</v>
      </c>
      <c r="I228" s="4">
        <v>1.0</v>
      </c>
      <c r="J228" s="4">
        <v>1.0</v>
      </c>
      <c r="K228" s="5"/>
      <c r="L228" s="3" t="s">
        <v>729</v>
      </c>
      <c r="M228" s="3" t="s">
        <v>730</v>
      </c>
      <c r="N228" s="3" t="s">
        <v>22</v>
      </c>
      <c r="O228" s="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" t="s">
        <v>14</v>
      </c>
      <c r="B229" s="3" t="s">
        <v>725</v>
      </c>
      <c r="C229" s="33" t="s">
        <v>3600</v>
      </c>
      <c r="D229" s="3" t="s">
        <v>726</v>
      </c>
      <c r="E229" s="3" t="s">
        <v>727</v>
      </c>
      <c r="F229" s="3" t="s">
        <v>728</v>
      </c>
      <c r="G229" s="3" t="s">
        <v>731</v>
      </c>
      <c r="H229" s="3" t="s">
        <v>334</v>
      </c>
      <c r="I229" s="4">
        <v>2.0</v>
      </c>
      <c r="J229" s="4">
        <v>2.0</v>
      </c>
      <c r="K229" s="5"/>
      <c r="L229" s="3" t="s">
        <v>729</v>
      </c>
      <c r="M229" s="3" t="s">
        <v>730</v>
      </c>
      <c r="N229" s="3" t="s">
        <v>22</v>
      </c>
      <c r="O229" s="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" t="s">
        <v>14</v>
      </c>
      <c r="B230" s="3" t="s">
        <v>732</v>
      </c>
      <c r="C230" s="33" t="s">
        <v>3600</v>
      </c>
      <c r="D230" s="3" t="s">
        <v>733</v>
      </c>
      <c r="E230" s="3" t="s">
        <v>734</v>
      </c>
      <c r="F230" s="3" t="s">
        <v>735</v>
      </c>
      <c r="G230" s="3" t="s">
        <v>261</v>
      </c>
      <c r="H230" s="3" t="s">
        <v>736</v>
      </c>
      <c r="I230" s="4">
        <v>1.0</v>
      </c>
      <c r="J230" s="4">
        <v>1.0</v>
      </c>
      <c r="K230" s="3" t="s">
        <v>80</v>
      </c>
      <c r="L230" s="3" t="s">
        <v>737</v>
      </c>
      <c r="M230" s="3" t="s">
        <v>738</v>
      </c>
      <c r="N230" s="3" t="s">
        <v>22</v>
      </c>
      <c r="O230" s="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" t="s">
        <v>14</v>
      </c>
      <c r="B231" s="3" t="s">
        <v>732</v>
      </c>
      <c r="C231" s="33" t="s">
        <v>3600</v>
      </c>
      <c r="D231" s="3" t="s">
        <v>733</v>
      </c>
      <c r="E231" s="3" t="s">
        <v>734</v>
      </c>
      <c r="F231" s="3" t="s">
        <v>735</v>
      </c>
      <c r="G231" s="3" t="s">
        <v>36</v>
      </c>
      <c r="H231" s="3" t="s">
        <v>546</v>
      </c>
      <c r="I231" s="4" t="s">
        <v>36</v>
      </c>
      <c r="J231" s="4">
        <v>2.0</v>
      </c>
      <c r="K231" s="3"/>
      <c r="L231" s="3" t="s">
        <v>737</v>
      </c>
      <c r="M231" s="3" t="s">
        <v>738</v>
      </c>
      <c r="N231" s="3" t="s">
        <v>22</v>
      </c>
      <c r="O231" s="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" t="s">
        <v>14</v>
      </c>
      <c r="B232" s="3" t="s">
        <v>732</v>
      </c>
      <c r="C232" s="33" t="s">
        <v>3600</v>
      </c>
      <c r="D232" s="3" t="s">
        <v>733</v>
      </c>
      <c r="E232" s="3" t="s">
        <v>734</v>
      </c>
      <c r="F232" s="3" t="s">
        <v>735</v>
      </c>
      <c r="G232" s="3" t="s">
        <v>575</v>
      </c>
      <c r="H232" s="3" t="s">
        <v>739</v>
      </c>
      <c r="I232" s="4">
        <v>2.0</v>
      </c>
      <c r="J232" s="4">
        <v>3.0</v>
      </c>
      <c r="K232" s="5"/>
      <c r="L232" s="3" t="s">
        <v>737</v>
      </c>
      <c r="M232" s="3" t="s">
        <v>738</v>
      </c>
      <c r="N232" s="3" t="s">
        <v>22</v>
      </c>
      <c r="O232" s="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" t="s">
        <v>14</v>
      </c>
      <c r="B233" s="3" t="s">
        <v>740</v>
      </c>
      <c r="C233" s="36" t="s">
        <v>3605</v>
      </c>
      <c r="D233" s="3" t="s">
        <v>741</v>
      </c>
      <c r="E233" s="6" t="s">
        <v>742</v>
      </c>
      <c r="F233" s="3" t="s">
        <v>743</v>
      </c>
      <c r="G233" s="6" t="s">
        <v>744</v>
      </c>
      <c r="H233" s="3" t="s">
        <v>745</v>
      </c>
      <c r="I233" s="4">
        <v>1.0</v>
      </c>
      <c r="J233" s="4">
        <v>1.0</v>
      </c>
      <c r="K233" s="3" t="s">
        <v>80</v>
      </c>
      <c r="L233" s="3" t="s">
        <v>746</v>
      </c>
      <c r="M233" s="3" t="s">
        <v>747</v>
      </c>
      <c r="N233" s="3" t="s">
        <v>22</v>
      </c>
      <c r="O233" s="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" t="s">
        <v>14</v>
      </c>
      <c r="B234" s="3" t="s">
        <v>740</v>
      </c>
      <c r="C234" s="36" t="s">
        <v>3605</v>
      </c>
      <c r="D234" s="3" t="s">
        <v>741</v>
      </c>
      <c r="E234" s="6" t="s">
        <v>742</v>
      </c>
      <c r="F234" s="3" t="s">
        <v>743</v>
      </c>
      <c r="G234" s="6" t="s">
        <v>36</v>
      </c>
      <c r="H234" s="3" t="s">
        <v>353</v>
      </c>
      <c r="I234" s="4" t="s">
        <v>36</v>
      </c>
      <c r="J234" s="4">
        <v>2.0</v>
      </c>
      <c r="K234" s="3"/>
      <c r="L234" s="3" t="s">
        <v>746</v>
      </c>
      <c r="M234" s="3" t="s">
        <v>747</v>
      </c>
      <c r="N234" s="3" t="s">
        <v>22</v>
      </c>
      <c r="O234" s="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" t="s">
        <v>14</v>
      </c>
      <c r="B235" s="3" t="s">
        <v>740</v>
      </c>
      <c r="C235" s="36" t="s">
        <v>3605</v>
      </c>
      <c r="D235" s="3" t="s">
        <v>741</v>
      </c>
      <c r="E235" s="6" t="s">
        <v>742</v>
      </c>
      <c r="F235" s="3" t="s">
        <v>743</v>
      </c>
      <c r="G235" s="6" t="s">
        <v>748</v>
      </c>
      <c r="H235" s="3" t="s">
        <v>75</v>
      </c>
      <c r="I235" s="4">
        <v>2.0</v>
      </c>
      <c r="J235" s="4">
        <v>3.0</v>
      </c>
      <c r="K235" s="5"/>
      <c r="L235" s="3" t="s">
        <v>746</v>
      </c>
      <c r="M235" s="3" t="s">
        <v>747</v>
      </c>
      <c r="N235" s="3" t="s">
        <v>22</v>
      </c>
      <c r="O235" s="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" t="s">
        <v>14</v>
      </c>
      <c r="B236" s="3" t="s">
        <v>749</v>
      </c>
      <c r="C236" s="33" t="s">
        <v>3605</v>
      </c>
      <c r="D236" s="3" t="s">
        <v>750</v>
      </c>
      <c r="E236" s="3" t="s">
        <v>751</v>
      </c>
      <c r="F236" s="3" t="s">
        <v>752</v>
      </c>
      <c r="G236" s="3" t="s">
        <v>335</v>
      </c>
      <c r="H236" s="3" t="s">
        <v>753</v>
      </c>
      <c r="I236" s="4">
        <v>1.0</v>
      </c>
      <c r="J236" s="4">
        <v>1.0</v>
      </c>
      <c r="K236" s="3" t="s">
        <v>80</v>
      </c>
      <c r="L236" s="3" t="s">
        <v>754</v>
      </c>
      <c r="M236" s="3" t="s">
        <v>755</v>
      </c>
      <c r="N236" s="3" t="s">
        <v>22</v>
      </c>
      <c r="O236" s="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" t="s">
        <v>14</v>
      </c>
      <c r="B237" s="3" t="s">
        <v>749</v>
      </c>
      <c r="C237" s="33" t="s">
        <v>3605</v>
      </c>
      <c r="D237" s="3" t="s">
        <v>750</v>
      </c>
      <c r="E237" s="3" t="s">
        <v>751</v>
      </c>
      <c r="F237" s="3" t="s">
        <v>752</v>
      </c>
      <c r="G237" s="3" t="s">
        <v>36</v>
      </c>
      <c r="H237" s="3" t="s">
        <v>756</v>
      </c>
      <c r="I237" s="4" t="s">
        <v>36</v>
      </c>
      <c r="J237" s="4">
        <v>2.0</v>
      </c>
      <c r="K237" s="3"/>
      <c r="L237" s="3" t="s">
        <v>754</v>
      </c>
      <c r="M237" s="3" t="s">
        <v>755</v>
      </c>
      <c r="N237" s="3" t="s">
        <v>22</v>
      </c>
      <c r="O237" s="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" t="s">
        <v>14</v>
      </c>
      <c r="B238" s="3" t="s">
        <v>749</v>
      </c>
      <c r="C238" s="33" t="s">
        <v>3605</v>
      </c>
      <c r="D238" s="3" t="s">
        <v>750</v>
      </c>
      <c r="E238" s="3" t="s">
        <v>751</v>
      </c>
      <c r="F238" s="3" t="s">
        <v>752</v>
      </c>
      <c r="G238" s="3" t="s">
        <v>757</v>
      </c>
      <c r="H238" s="3" t="s">
        <v>758</v>
      </c>
      <c r="I238" s="4">
        <v>2.0</v>
      </c>
      <c r="J238" s="4">
        <v>3.0</v>
      </c>
      <c r="K238" s="5"/>
      <c r="L238" s="3" t="s">
        <v>754</v>
      </c>
      <c r="M238" s="3" t="s">
        <v>755</v>
      </c>
      <c r="N238" s="3" t="s">
        <v>22</v>
      </c>
      <c r="O238" s="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" t="s">
        <v>14</v>
      </c>
      <c r="B239" s="3" t="s">
        <v>759</v>
      </c>
      <c r="C239" s="33" t="s">
        <v>3600</v>
      </c>
      <c r="D239" s="3" t="s">
        <v>760</v>
      </c>
      <c r="E239" s="6" t="s">
        <v>761</v>
      </c>
      <c r="F239" s="3" t="s">
        <v>762</v>
      </c>
      <c r="G239" s="6" t="s">
        <v>763</v>
      </c>
      <c r="H239" s="3" t="s">
        <v>764</v>
      </c>
      <c r="I239" s="4">
        <v>1.0</v>
      </c>
      <c r="J239" s="4">
        <v>1.0</v>
      </c>
      <c r="K239" s="5"/>
      <c r="L239" s="3" t="s">
        <v>765</v>
      </c>
      <c r="M239" s="3" t="s">
        <v>766</v>
      </c>
      <c r="N239" s="3" t="s">
        <v>22</v>
      </c>
      <c r="O239" s="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" t="s">
        <v>14</v>
      </c>
      <c r="B240" s="3" t="s">
        <v>759</v>
      </c>
      <c r="C240" s="33" t="s">
        <v>3600</v>
      </c>
      <c r="D240" s="3" t="s">
        <v>760</v>
      </c>
      <c r="E240" s="6" t="s">
        <v>761</v>
      </c>
      <c r="F240" s="3" t="s">
        <v>762</v>
      </c>
      <c r="G240" s="6" t="s">
        <v>425</v>
      </c>
      <c r="H240" s="3" t="s">
        <v>425</v>
      </c>
      <c r="I240" s="4">
        <v>2.0</v>
      </c>
      <c r="J240" s="4">
        <v>2.0</v>
      </c>
      <c r="K240" s="5"/>
      <c r="L240" s="3" t="s">
        <v>765</v>
      </c>
      <c r="M240" s="3" t="s">
        <v>766</v>
      </c>
      <c r="N240" s="3" t="s">
        <v>22</v>
      </c>
      <c r="O240" s="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" t="s">
        <v>14</v>
      </c>
      <c r="B241" s="3" t="s">
        <v>420</v>
      </c>
      <c r="C241" s="33" t="s">
        <v>3610</v>
      </c>
      <c r="D241" s="3" t="s">
        <v>309</v>
      </c>
      <c r="E241" s="3" t="s">
        <v>420</v>
      </c>
      <c r="F241" s="3" t="s">
        <v>309</v>
      </c>
      <c r="G241" s="3" t="s">
        <v>420</v>
      </c>
      <c r="H241" s="3" t="s">
        <v>309</v>
      </c>
      <c r="I241" s="4">
        <v>1.0</v>
      </c>
      <c r="J241" s="4">
        <v>1.0</v>
      </c>
      <c r="K241" s="5"/>
      <c r="L241" s="3" t="s">
        <v>767</v>
      </c>
      <c r="M241" s="3" t="s">
        <v>768</v>
      </c>
      <c r="N241" s="3" t="s">
        <v>22</v>
      </c>
      <c r="O241" s="5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" t="s">
        <v>14</v>
      </c>
      <c r="B242" s="3" t="s">
        <v>769</v>
      </c>
      <c r="C242" s="36" t="s">
        <v>3597</v>
      </c>
      <c r="D242" s="3" t="s">
        <v>770</v>
      </c>
      <c r="E242" s="3" t="s">
        <v>771</v>
      </c>
      <c r="F242" s="3" t="s">
        <v>772</v>
      </c>
      <c r="G242" s="17" t="s">
        <v>36</v>
      </c>
      <c r="H242" s="3" t="s">
        <v>49</v>
      </c>
      <c r="I242" s="17" t="s">
        <v>36</v>
      </c>
      <c r="J242" s="4">
        <v>1.0</v>
      </c>
      <c r="K242" s="3"/>
      <c r="L242" s="3" t="s">
        <v>773</v>
      </c>
      <c r="M242" s="3" t="s">
        <v>774</v>
      </c>
      <c r="N242" s="3" t="s">
        <v>22</v>
      </c>
      <c r="O242" s="5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" t="s">
        <v>14</v>
      </c>
      <c r="B243" s="3" t="s">
        <v>769</v>
      </c>
      <c r="C243" s="36" t="s">
        <v>3597</v>
      </c>
      <c r="D243" s="3" t="s">
        <v>770</v>
      </c>
      <c r="E243" s="3" t="s">
        <v>771</v>
      </c>
      <c r="F243" s="3" t="s">
        <v>772</v>
      </c>
      <c r="G243" s="3" t="s">
        <v>157</v>
      </c>
      <c r="H243" s="3" t="s">
        <v>158</v>
      </c>
      <c r="I243" s="4">
        <v>1.0</v>
      </c>
      <c r="J243" s="4">
        <v>2.0</v>
      </c>
      <c r="K243" s="5"/>
      <c r="L243" s="3" t="s">
        <v>773</v>
      </c>
      <c r="M243" s="3" t="s">
        <v>774</v>
      </c>
      <c r="N243" s="3" t="s">
        <v>22</v>
      </c>
      <c r="O243" s="5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" t="s">
        <v>14</v>
      </c>
      <c r="B244" s="3" t="s">
        <v>769</v>
      </c>
      <c r="C244" s="36" t="s">
        <v>3597</v>
      </c>
      <c r="D244" s="3" t="s">
        <v>770</v>
      </c>
      <c r="E244" s="3" t="s">
        <v>771</v>
      </c>
      <c r="F244" s="3" t="s">
        <v>772</v>
      </c>
      <c r="G244" s="3" t="s">
        <v>720</v>
      </c>
      <c r="H244" s="3" t="s">
        <v>775</v>
      </c>
      <c r="I244" s="4">
        <v>2.0</v>
      </c>
      <c r="J244" s="4">
        <v>3.0</v>
      </c>
      <c r="K244" s="3"/>
      <c r="L244" s="3" t="s">
        <v>773</v>
      </c>
      <c r="M244" s="3" t="s">
        <v>774</v>
      </c>
      <c r="N244" s="3" t="s">
        <v>22</v>
      </c>
      <c r="O244" s="5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" t="s">
        <v>14</v>
      </c>
      <c r="B245" s="3" t="s">
        <v>769</v>
      </c>
      <c r="C245" s="36" t="s">
        <v>3597</v>
      </c>
      <c r="D245" s="3" t="s">
        <v>770</v>
      </c>
      <c r="E245" s="3" t="s">
        <v>771</v>
      </c>
      <c r="F245" s="3" t="s">
        <v>772</v>
      </c>
      <c r="G245" s="3" t="s">
        <v>245</v>
      </c>
      <c r="H245" s="3" t="s">
        <v>245</v>
      </c>
      <c r="I245" s="4">
        <v>3.0</v>
      </c>
      <c r="J245" s="4">
        <v>4.0</v>
      </c>
      <c r="K245" s="5"/>
      <c r="L245" s="3" t="s">
        <v>773</v>
      </c>
      <c r="M245" s="3" t="s">
        <v>774</v>
      </c>
      <c r="N245" s="3" t="s">
        <v>22</v>
      </c>
      <c r="O245" s="5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" t="s">
        <v>14</v>
      </c>
      <c r="B246" s="3" t="s">
        <v>776</v>
      </c>
      <c r="C246" s="33" t="s">
        <v>3600</v>
      </c>
      <c r="D246" s="3" t="s">
        <v>777</v>
      </c>
      <c r="E246" s="6" t="s">
        <v>778</v>
      </c>
      <c r="F246" s="3" t="s">
        <v>779</v>
      </c>
      <c r="G246" s="6" t="s">
        <v>780</v>
      </c>
      <c r="H246" s="3" t="s">
        <v>781</v>
      </c>
      <c r="I246" s="4">
        <v>1.0</v>
      </c>
      <c r="J246" s="4">
        <v>1.0</v>
      </c>
      <c r="K246" s="5"/>
      <c r="L246" s="3" t="s">
        <v>782</v>
      </c>
      <c r="M246" s="3" t="s">
        <v>783</v>
      </c>
      <c r="N246" s="3" t="s">
        <v>22</v>
      </c>
      <c r="O246" s="5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" t="s">
        <v>14</v>
      </c>
      <c r="B247" s="3" t="s">
        <v>776</v>
      </c>
      <c r="C247" s="33" t="s">
        <v>3600</v>
      </c>
      <c r="D247" s="3" t="s">
        <v>777</v>
      </c>
      <c r="E247" s="6" t="s">
        <v>778</v>
      </c>
      <c r="F247" s="3" t="s">
        <v>779</v>
      </c>
      <c r="G247" s="6" t="s">
        <v>784</v>
      </c>
      <c r="H247" s="3" t="s">
        <v>784</v>
      </c>
      <c r="I247" s="4">
        <v>2.0</v>
      </c>
      <c r="J247" s="4">
        <v>2.0</v>
      </c>
      <c r="K247" s="5"/>
      <c r="L247" s="3" t="s">
        <v>782</v>
      </c>
      <c r="M247" s="3" t="s">
        <v>783</v>
      </c>
      <c r="N247" s="3" t="s">
        <v>22</v>
      </c>
      <c r="O247" s="5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" t="s">
        <v>14</v>
      </c>
      <c r="B248" s="3" t="s">
        <v>785</v>
      </c>
      <c r="C248" s="33" t="s">
        <v>3600</v>
      </c>
      <c r="D248" s="3" t="s">
        <v>786</v>
      </c>
      <c r="E248" s="3" t="s">
        <v>787</v>
      </c>
      <c r="F248" s="3" t="s">
        <v>788</v>
      </c>
      <c r="G248" s="3" t="s">
        <v>789</v>
      </c>
      <c r="H248" s="3" t="s">
        <v>790</v>
      </c>
      <c r="I248" s="4">
        <v>1.0</v>
      </c>
      <c r="J248" s="4">
        <v>1.0</v>
      </c>
      <c r="K248" s="5"/>
      <c r="L248" s="3" t="s">
        <v>791</v>
      </c>
      <c r="M248" s="3" t="s">
        <v>792</v>
      </c>
      <c r="N248" s="3" t="s">
        <v>22</v>
      </c>
      <c r="O248" s="5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" t="s">
        <v>14</v>
      </c>
      <c r="B249" s="3" t="s">
        <v>785</v>
      </c>
      <c r="C249" s="33" t="s">
        <v>3600</v>
      </c>
      <c r="D249" s="3" t="s">
        <v>786</v>
      </c>
      <c r="E249" s="3" t="s">
        <v>787</v>
      </c>
      <c r="F249" s="3" t="s">
        <v>788</v>
      </c>
      <c r="G249" s="3" t="s">
        <v>296</v>
      </c>
      <c r="H249" s="3" t="s">
        <v>296</v>
      </c>
      <c r="I249" s="4">
        <v>2.0</v>
      </c>
      <c r="J249" s="4">
        <v>2.0</v>
      </c>
      <c r="K249" s="5"/>
      <c r="L249" s="3" t="s">
        <v>791</v>
      </c>
      <c r="M249" s="3" t="s">
        <v>792</v>
      </c>
      <c r="N249" s="3" t="s">
        <v>22</v>
      </c>
      <c r="O249" s="5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" t="s">
        <v>14</v>
      </c>
      <c r="B250" s="3" t="s">
        <v>793</v>
      </c>
      <c r="C250" s="33" t="s">
        <v>3600</v>
      </c>
      <c r="D250" s="3" t="s">
        <v>794</v>
      </c>
      <c r="E250" s="3" t="s">
        <v>795</v>
      </c>
      <c r="F250" s="3" t="s">
        <v>796</v>
      </c>
      <c r="G250" s="3" t="s">
        <v>797</v>
      </c>
      <c r="H250" s="3" t="s">
        <v>798</v>
      </c>
      <c r="I250" s="4">
        <v>1.0</v>
      </c>
      <c r="J250" s="4">
        <v>1.0</v>
      </c>
      <c r="K250" s="5"/>
      <c r="L250" s="3" t="s">
        <v>799</v>
      </c>
      <c r="M250" s="3" t="s">
        <v>800</v>
      </c>
      <c r="N250" s="3" t="s">
        <v>22</v>
      </c>
      <c r="O250" s="5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" t="s">
        <v>14</v>
      </c>
      <c r="B251" s="3" t="s">
        <v>793</v>
      </c>
      <c r="C251" s="33" t="s">
        <v>3600</v>
      </c>
      <c r="D251" s="3" t="s">
        <v>794</v>
      </c>
      <c r="E251" s="3" t="s">
        <v>795</v>
      </c>
      <c r="F251" s="3" t="s">
        <v>796</v>
      </c>
      <c r="G251" s="3" t="s">
        <v>801</v>
      </c>
      <c r="H251" s="3" t="s">
        <v>334</v>
      </c>
      <c r="I251" s="4">
        <v>2.0</v>
      </c>
      <c r="J251" s="4">
        <v>2.0</v>
      </c>
      <c r="K251" s="5"/>
      <c r="L251" s="3" t="s">
        <v>799</v>
      </c>
      <c r="M251" s="3" t="s">
        <v>800</v>
      </c>
      <c r="N251" s="3" t="s">
        <v>22</v>
      </c>
      <c r="O251" s="5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15" t="s">
        <v>14</v>
      </c>
      <c r="B252" s="15" t="s">
        <v>802</v>
      </c>
      <c r="C252" s="36" t="s">
        <v>3595</v>
      </c>
      <c r="D252" s="15" t="s">
        <v>803</v>
      </c>
      <c r="E252" s="15" t="s">
        <v>804</v>
      </c>
      <c r="F252" s="15" t="s">
        <v>805</v>
      </c>
      <c r="G252" s="15" t="s">
        <v>806</v>
      </c>
      <c r="H252" s="15" t="s">
        <v>745</v>
      </c>
      <c r="I252" s="18">
        <v>1.0</v>
      </c>
      <c r="J252" s="18">
        <v>1.0</v>
      </c>
      <c r="K252" s="15" t="s">
        <v>80</v>
      </c>
      <c r="L252" s="15" t="s">
        <v>807</v>
      </c>
      <c r="M252" s="15" t="s">
        <v>808</v>
      </c>
      <c r="N252" s="15" t="s">
        <v>22</v>
      </c>
      <c r="O252" s="20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5" t="s">
        <v>14</v>
      </c>
      <c r="B253" s="15" t="s">
        <v>802</v>
      </c>
      <c r="C253" s="36" t="s">
        <v>3595</v>
      </c>
      <c r="D253" s="15" t="s">
        <v>803</v>
      </c>
      <c r="E253" s="15" t="s">
        <v>804</v>
      </c>
      <c r="F253" s="15" t="s">
        <v>805</v>
      </c>
      <c r="G253" s="15" t="s">
        <v>809</v>
      </c>
      <c r="H253" s="15" t="s">
        <v>810</v>
      </c>
      <c r="I253" s="18">
        <v>2.0</v>
      </c>
      <c r="J253" s="18">
        <v>2.0</v>
      </c>
      <c r="K253" s="15"/>
      <c r="L253" s="15" t="s">
        <v>807</v>
      </c>
      <c r="M253" s="15" t="s">
        <v>808</v>
      </c>
      <c r="N253" s="15" t="s">
        <v>22</v>
      </c>
      <c r="O253" s="20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5" t="s">
        <v>14</v>
      </c>
      <c r="B254" s="15" t="s">
        <v>802</v>
      </c>
      <c r="C254" s="36" t="s">
        <v>3595</v>
      </c>
      <c r="D254" s="15" t="s">
        <v>803</v>
      </c>
      <c r="E254" s="15" t="s">
        <v>804</v>
      </c>
      <c r="F254" s="15" t="s">
        <v>805</v>
      </c>
      <c r="G254" s="15" t="s">
        <v>36</v>
      </c>
      <c r="H254" s="15" t="s">
        <v>24</v>
      </c>
      <c r="I254" s="18" t="s">
        <v>36</v>
      </c>
      <c r="J254" s="18">
        <v>3.0</v>
      </c>
      <c r="K254" s="20"/>
      <c r="L254" s="15" t="s">
        <v>807</v>
      </c>
      <c r="M254" s="15" t="s">
        <v>808</v>
      </c>
      <c r="N254" s="15" t="s">
        <v>22</v>
      </c>
      <c r="O254" s="20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3" t="s">
        <v>14</v>
      </c>
      <c r="B255" s="3" t="s">
        <v>811</v>
      </c>
      <c r="C255" s="33" t="s">
        <v>3600</v>
      </c>
      <c r="D255" s="3" t="s">
        <v>812</v>
      </c>
      <c r="E255" s="3" t="s">
        <v>813</v>
      </c>
      <c r="F255" s="3" t="s">
        <v>814</v>
      </c>
      <c r="G255" s="3" t="s">
        <v>815</v>
      </c>
      <c r="H255" s="3" t="s">
        <v>49</v>
      </c>
      <c r="I255" s="4">
        <v>1.0</v>
      </c>
      <c r="J255" s="4">
        <v>1.0</v>
      </c>
      <c r="K255" s="5"/>
      <c r="L255" s="3" t="s">
        <v>816</v>
      </c>
      <c r="M255" s="3" t="s">
        <v>817</v>
      </c>
      <c r="N255" s="3" t="s">
        <v>22</v>
      </c>
      <c r="O255" s="5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" t="s">
        <v>14</v>
      </c>
      <c r="B256" s="3" t="s">
        <v>811</v>
      </c>
      <c r="C256" s="33" t="s">
        <v>3600</v>
      </c>
      <c r="D256" s="3" t="s">
        <v>812</v>
      </c>
      <c r="E256" s="3" t="s">
        <v>813</v>
      </c>
      <c r="F256" s="3" t="s">
        <v>814</v>
      </c>
      <c r="G256" s="3" t="s">
        <v>245</v>
      </c>
      <c r="H256" s="3" t="s">
        <v>818</v>
      </c>
      <c r="I256" s="4">
        <v>2.0</v>
      </c>
      <c r="J256" s="4">
        <v>2.0</v>
      </c>
      <c r="K256" s="5"/>
      <c r="L256" s="3" t="s">
        <v>816</v>
      </c>
      <c r="M256" s="3" t="s">
        <v>817</v>
      </c>
      <c r="N256" s="3" t="s">
        <v>22</v>
      </c>
      <c r="O256" s="5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15" t="s">
        <v>14</v>
      </c>
      <c r="B257" s="15" t="s">
        <v>819</v>
      </c>
      <c r="C257" s="36" t="s">
        <v>3595</v>
      </c>
      <c r="D257" s="15" t="s">
        <v>820</v>
      </c>
      <c r="E257" s="15" t="s">
        <v>821</v>
      </c>
      <c r="F257" s="15" t="s">
        <v>822</v>
      </c>
      <c r="G257" s="15" t="s">
        <v>108</v>
      </c>
      <c r="H257" s="15" t="s">
        <v>175</v>
      </c>
      <c r="I257" s="18">
        <v>1.0</v>
      </c>
      <c r="J257" s="18">
        <v>1.0</v>
      </c>
      <c r="K257" s="15" t="s">
        <v>80</v>
      </c>
      <c r="L257" s="15" t="s">
        <v>823</v>
      </c>
      <c r="M257" s="15" t="s">
        <v>824</v>
      </c>
      <c r="N257" s="15" t="s">
        <v>22</v>
      </c>
      <c r="O257" s="20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5" t="s">
        <v>14</v>
      </c>
      <c r="B258" s="15" t="s">
        <v>819</v>
      </c>
      <c r="C258" s="36" t="s">
        <v>3595</v>
      </c>
      <c r="D258" s="15" t="s">
        <v>820</v>
      </c>
      <c r="E258" s="15" t="s">
        <v>821</v>
      </c>
      <c r="F258" s="15" t="s">
        <v>822</v>
      </c>
      <c r="G258" s="15" t="s">
        <v>326</v>
      </c>
      <c r="H258" s="15" t="s">
        <v>825</v>
      </c>
      <c r="I258" s="18">
        <v>2.0</v>
      </c>
      <c r="J258" s="18">
        <v>2.0</v>
      </c>
      <c r="K258" s="15"/>
      <c r="L258" s="15" t="s">
        <v>823</v>
      </c>
      <c r="M258" s="15" t="s">
        <v>824</v>
      </c>
      <c r="N258" s="15" t="s">
        <v>22</v>
      </c>
      <c r="O258" s="20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5" t="s">
        <v>14</v>
      </c>
      <c r="B259" s="15" t="s">
        <v>819</v>
      </c>
      <c r="C259" s="36" t="s">
        <v>3595</v>
      </c>
      <c r="D259" s="15" t="s">
        <v>820</v>
      </c>
      <c r="E259" s="15" t="s">
        <v>821</v>
      </c>
      <c r="F259" s="15" t="s">
        <v>822</v>
      </c>
      <c r="G259" s="15" t="s">
        <v>36</v>
      </c>
      <c r="H259" s="15" t="s">
        <v>826</v>
      </c>
      <c r="I259" s="18" t="s">
        <v>36</v>
      </c>
      <c r="J259" s="18">
        <v>3.0</v>
      </c>
      <c r="K259" s="15"/>
      <c r="L259" s="15" t="s">
        <v>823</v>
      </c>
      <c r="M259" s="15" t="s">
        <v>824</v>
      </c>
      <c r="N259" s="15" t="s">
        <v>22</v>
      </c>
      <c r="O259" s="20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5" t="s">
        <v>14</v>
      </c>
      <c r="B260" s="15" t="s">
        <v>819</v>
      </c>
      <c r="C260" s="36" t="s">
        <v>3595</v>
      </c>
      <c r="D260" s="15" t="s">
        <v>820</v>
      </c>
      <c r="E260" s="15" t="s">
        <v>821</v>
      </c>
      <c r="F260" s="15" t="s">
        <v>822</v>
      </c>
      <c r="G260" s="15" t="s">
        <v>36</v>
      </c>
      <c r="H260" s="15" t="s">
        <v>495</v>
      </c>
      <c r="I260" s="18" t="s">
        <v>36</v>
      </c>
      <c r="J260" s="18">
        <v>4.0</v>
      </c>
      <c r="K260" s="20"/>
      <c r="L260" s="15" t="s">
        <v>823</v>
      </c>
      <c r="M260" s="15" t="s">
        <v>824</v>
      </c>
      <c r="N260" s="15" t="s">
        <v>22</v>
      </c>
      <c r="O260" s="20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5" t="s">
        <v>14</v>
      </c>
      <c r="B261" s="15" t="s">
        <v>827</v>
      </c>
      <c r="C261" s="33" t="s">
        <v>3604</v>
      </c>
      <c r="D261" s="15" t="s">
        <v>828</v>
      </c>
      <c r="E261" s="15" t="s">
        <v>829</v>
      </c>
      <c r="F261" s="15" t="s">
        <v>830</v>
      </c>
      <c r="G261" s="15"/>
      <c r="H261" s="15"/>
      <c r="I261" s="18"/>
      <c r="J261" s="18"/>
      <c r="K261" s="15"/>
      <c r="L261" s="15" t="s">
        <v>831</v>
      </c>
      <c r="M261" s="15" t="s">
        <v>832</v>
      </c>
      <c r="N261" s="15" t="s">
        <v>22</v>
      </c>
      <c r="O261" s="15" t="s">
        <v>560</v>
      </c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3" t="s">
        <v>14</v>
      </c>
      <c r="B262" s="3" t="s">
        <v>833</v>
      </c>
      <c r="C262" s="36" t="s">
        <v>3593</v>
      </c>
      <c r="D262" s="3" t="s">
        <v>834</v>
      </c>
      <c r="E262" s="3" t="s">
        <v>835</v>
      </c>
      <c r="F262" s="3" t="s">
        <v>836</v>
      </c>
      <c r="G262" s="3" t="s">
        <v>128</v>
      </c>
      <c r="H262" s="3" t="s">
        <v>49</v>
      </c>
      <c r="I262" s="4">
        <v>1.0</v>
      </c>
      <c r="J262" s="4">
        <v>1.0</v>
      </c>
      <c r="K262" s="5"/>
      <c r="L262" s="3" t="s">
        <v>837</v>
      </c>
      <c r="M262" s="3" t="s">
        <v>838</v>
      </c>
      <c r="N262" s="3" t="s">
        <v>22</v>
      </c>
      <c r="O262" s="5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" t="s">
        <v>14</v>
      </c>
      <c r="B263" s="3" t="s">
        <v>833</v>
      </c>
      <c r="C263" s="36" t="s">
        <v>3593</v>
      </c>
      <c r="D263" s="3" t="s">
        <v>834</v>
      </c>
      <c r="E263" s="3" t="s">
        <v>835</v>
      </c>
      <c r="F263" s="3" t="s">
        <v>836</v>
      </c>
      <c r="G263" s="3" t="s">
        <v>839</v>
      </c>
      <c r="H263" s="3" t="s">
        <v>839</v>
      </c>
      <c r="I263" s="4">
        <v>2.0</v>
      </c>
      <c r="J263" s="4">
        <v>2.0</v>
      </c>
      <c r="K263" s="5"/>
      <c r="L263" s="3" t="s">
        <v>837</v>
      </c>
      <c r="M263" s="3" t="s">
        <v>838</v>
      </c>
      <c r="N263" s="3" t="s">
        <v>22</v>
      </c>
      <c r="O263" s="5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" t="s">
        <v>14</v>
      </c>
      <c r="B264" s="3" t="s">
        <v>833</v>
      </c>
      <c r="C264" s="36" t="s">
        <v>3593</v>
      </c>
      <c r="D264" s="3" t="s">
        <v>834</v>
      </c>
      <c r="E264" s="3" t="s">
        <v>835</v>
      </c>
      <c r="F264" s="3" t="s">
        <v>836</v>
      </c>
      <c r="G264" s="3" t="s">
        <v>840</v>
      </c>
      <c r="H264" s="3" t="s">
        <v>482</v>
      </c>
      <c r="I264" s="4">
        <v>3.0</v>
      </c>
      <c r="J264" s="4">
        <v>3.0</v>
      </c>
      <c r="K264" s="5"/>
      <c r="L264" s="3" t="s">
        <v>837</v>
      </c>
      <c r="M264" s="3" t="s">
        <v>838</v>
      </c>
      <c r="N264" s="3" t="s">
        <v>22</v>
      </c>
      <c r="O264" s="5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15" t="s">
        <v>14</v>
      </c>
      <c r="B265" s="15" t="s">
        <v>841</v>
      </c>
      <c r="C265" s="33" t="s">
        <v>3613</v>
      </c>
      <c r="D265" s="15" t="s">
        <v>842</v>
      </c>
      <c r="E265" s="15" t="s">
        <v>843</v>
      </c>
      <c r="F265" s="15" t="s">
        <v>844</v>
      </c>
      <c r="G265" s="15" t="s">
        <v>845</v>
      </c>
      <c r="H265" s="15" t="s">
        <v>36</v>
      </c>
      <c r="I265" s="18">
        <v>1.0</v>
      </c>
      <c r="J265" s="18" t="s">
        <v>36</v>
      </c>
      <c r="K265" s="20"/>
      <c r="L265" s="15" t="s">
        <v>846</v>
      </c>
      <c r="M265" s="15" t="s">
        <v>847</v>
      </c>
      <c r="N265" s="15" t="s">
        <v>22</v>
      </c>
      <c r="O265" s="20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5" t="s">
        <v>14</v>
      </c>
      <c r="B266" s="15" t="s">
        <v>841</v>
      </c>
      <c r="C266" s="33" t="s">
        <v>3613</v>
      </c>
      <c r="D266" s="15" t="s">
        <v>842</v>
      </c>
      <c r="E266" s="15" t="s">
        <v>843</v>
      </c>
      <c r="F266" s="15" t="s">
        <v>844</v>
      </c>
      <c r="G266" s="15" t="s">
        <v>848</v>
      </c>
      <c r="H266" s="15" t="s">
        <v>849</v>
      </c>
      <c r="I266" s="18">
        <v>2.0</v>
      </c>
      <c r="J266" s="18">
        <v>1.0</v>
      </c>
      <c r="K266" s="20"/>
      <c r="L266" s="15" t="s">
        <v>846</v>
      </c>
      <c r="M266" s="15" t="s">
        <v>847</v>
      </c>
      <c r="N266" s="15" t="s">
        <v>22</v>
      </c>
      <c r="O266" s="20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5" t="s">
        <v>14</v>
      </c>
      <c r="B267" s="15" t="s">
        <v>841</v>
      </c>
      <c r="C267" s="33" t="s">
        <v>3613</v>
      </c>
      <c r="D267" s="15" t="s">
        <v>842</v>
      </c>
      <c r="E267" s="15" t="s">
        <v>843</v>
      </c>
      <c r="F267" s="15" t="s">
        <v>844</v>
      </c>
      <c r="G267" s="15" t="s">
        <v>175</v>
      </c>
      <c r="H267" s="15" t="s">
        <v>175</v>
      </c>
      <c r="I267" s="18">
        <v>3.0</v>
      </c>
      <c r="J267" s="18">
        <v>2.0</v>
      </c>
      <c r="K267" s="20"/>
      <c r="L267" s="15" t="s">
        <v>846</v>
      </c>
      <c r="M267" s="15" t="s">
        <v>847</v>
      </c>
      <c r="N267" s="15" t="s">
        <v>22</v>
      </c>
      <c r="O267" s="20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5" t="s">
        <v>14</v>
      </c>
      <c r="B268" s="15" t="s">
        <v>850</v>
      </c>
      <c r="C268" s="36" t="s">
        <v>3607</v>
      </c>
      <c r="D268" s="15" t="s">
        <v>851</v>
      </c>
      <c r="E268" s="15" t="s">
        <v>852</v>
      </c>
      <c r="F268" s="15" t="s">
        <v>853</v>
      </c>
      <c r="G268" s="15"/>
      <c r="H268" s="15"/>
      <c r="I268" s="18"/>
      <c r="J268" s="18"/>
      <c r="K268" s="15"/>
      <c r="L268" s="15" t="s">
        <v>854</v>
      </c>
      <c r="M268" s="15" t="s">
        <v>855</v>
      </c>
      <c r="N268" s="15" t="s">
        <v>22</v>
      </c>
      <c r="O268" s="15" t="s">
        <v>560</v>
      </c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5" t="s">
        <v>14</v>
      </c>
      <c r="B269" s="15" t="s">
        <v>856</v>
      </c>
      <c r="C269" s="36" t="s">
        <v>3595</v>
      </c>
      <c r="D269" s="15" t="s">
        <v>857</v>
      </c>
      <c r="E269" s="15" t="s">
        <v>858</v>
      </c>
      <c r="F269" s="15" t="s">
        <v>859</v>
      </c>
      <c r="G269" s="15" t="s">
        <v>784</v>
      </c>
      <c r="H269" s="15" t="s">
        <v>784</v>
      </c>
      <c r="I269" s="18">
        <v>1.0</v>
      </c>
      <c r="J269" s="18">
        <v>1.0</v>
      </c>
      <c r="K269" s="15"/>
      <c r="L269" s="15" t="s">
        <v>860</v>
      </c>
      <c r="M269" s="15" t="s">
        <v>861</v>
      </c>
      <c r="N269" s="15" t="s">
        <v>22</v>
      </c>
      <c r="O269" s="20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5" t="s">
        <v>14</v>
      </c>
      <c r="B270" s="15" t="s">
        <v>856</v>
      </c>
      <c r="C270" s="36" t="s">
        <v>3595</v>
      </c>
      <c r="D270" s="15" t="s">
        <v>857</v>
      </c>
      <c r="E270" s="15" t="s">
        <v>858</v>
      </c>
      <c r="F270" s="15" t="s">
        <v>859</v>
      </c>
      <c r="G270" s="15" t="s">
        <v>70</v>
      </c>
      <c r="H270" s="15" t="s">
        <v>62</v>
      </c>
      <c r="I270" s="18">
        <v>2.0</v>
      </c>
      <c r="J270" s="18">
        <v>2.0</v>
      </c>
      <c r="K270" s="15"/>
      <c r="L270" s="15" t="s">
        <v>860</v>
      </c>
      <c r="M270" s="15" t="s">
        <v>861</v>
      </c>
      <c r="N270" s="15" t="s">
        <v>22</v>
      </c>
      <c r="O270" s="20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5" t="s">
        <v>14</v>
      </c>
      <c r="B271" s="15" t="s">
        <v>856</v>
      </c>
      <c r="C271" s="36" t="s">
        <v>3595</v>
      </c>
      <c r="D271" s="15" t="s">
        <v>857</v>
      </c>
      <c r="E271" s="15" t="s">
        <v>858</v>
      </c>
      <c r="F271" s="15" t="s">
        <v>859</v>
      </c>
      <c r="G271" s="15" t="s">
        <v>36</v>
      </c>
      <c r="H271" s="15" t="s">
        <v>862</v>
      </c>
      <c r="I271" s="18" t="s">
        <v>36</v>
      </c>
      <c r="J271" s="18">
        <v>3.0</v>
      </c>
      <c r="K271" s="15"/>
      <c r="L271" s="15" t="s">
        <v>860</v>
      </c>
      <c r="M271" s="15" t="s">
        <v>861</v>
      </c>
      <c r="N271" s="15" t="s">
        <v>22</v>
      </c>
      <c r="O271" s="20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3" t="s">
        <v>14</v>
      </c>
      <c r="B272" s="3" t="s">
        <v>863</v>
      </c>
      <c r="C272" s="33" t="s">
        <v>3600</v>
      </c>
      <c r="D272" s="3" t="s">
        <v>864</v>
      </c>
      <c r="E272" s="3" t="s">
        <v>865</v>
      </c>
      <c r="F272" s="3" t="s">
        <v>866</v>
      </c>
      <c r="G272" s="3" t="s">
        <v>317</v>
      </c>
      <c r="H272" s="3" t="s">
        <v>867</v>
      </c>
      <c r="I272" s="4">
        <v>1.0</v>
      </c>
      <c r="J272" s="4">
        <v>1.0</v>
      </c>
      <c r="K272" s="3"/>
      <c r="L272" s="3" t="s">
        <v>868</v>
      </c>
      <c r="M272" s="3" t="s">
        <v>869</v>
      </c>
      <c r="N272" s="3" t="s">
        <v>22</v>
      </c>
      <c r="O272" s="5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" t="s">
        <v>14</v>
      </c>
      <c r="B273" s="3" t="s">
        <v>863</v>
      </c>
      <c r="C273" s="33" t="s">
        <v>3600</v>
      </c>
      <c r="D273" s="3" t="s">
        <v>864</v>
      </c>
      <c r="E273" s="3" t="s">
        <v>865</v>
      </c>
      <c r="F273" s="3" t="s">
        <v>866</v>
      </c>
      <c r="G273" s="3" t="s">
        <v>848</v>
      </c>
      <c r="H273" s="3" t="s">
        <v>870</v>
      </c>
      <c r="I273" s="4">
        <v>2.0</v>
      </c>
      <c r="J273" s="4">
        <v>2.0</v>
      </c>
      <c r="K273" s="3"/>
      <c r="L273" s="3" t="s">
        <v>868</v>
      </c>
      <c r="M273" s="3" t="s">
        <v>869</v>
      </c>
      <c r="N273" s="3" t="s">
        <v>22</v>
      </c>
      <c r="O273" s="5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" t="s">
        <v>14</v>
      </c>
      <c r="B274" s="3" t="s">
        <v>871</v>
      </c>
      <c r="C274" s="36" t="s">
        <v>3614</v>
      </c>
      <c r="D274" s="3" t="s">
        <v>872</v>
      </c>
      <c r="E274" s="3" t="s">
        <v>873</v>
      </c>
      <c r="F274" s="3" t="s">
        <v>874</v>
      </c>
      <c r="G274" s="3" t="s">
        <v>875</v>
      </c>
      <c r="H274" s="3" t="s">
        <v>222</v>
      </c>
      <c r="I274" s="4">
        <v>1.0</v>
      </c>
      <c r="J274" s="4">
        <v>1.0</v>
      </c>
      <c r="K274" s="3"/>
      <c r="L274" s="3" t="s">
        <v>876</v>
      </c>
      <c r="M274" s="3" t="s">
        <v>877</v>
      </c>
      <c r="N274" s="3" t="s">
        <v>22</v>
      </c>
      <c r="O274" s="5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" t="s">
        <v>14</v>
      </c>
      <c r="B275" s="3" t="s">
        <v>871</v>
      </c>
      <c r="C275" s="36" t="s">
        <v>3614</v>
      </c>
      <c r="D275" s="3" t="s">
        <v>872</v>
      </c>
      <c r="E275" s="3" t="s">
        <v>873</v>
      </c>
      <c r="F275" s="3" t="s">
        <v>874</v>
      </c>
      <c r="G275" s="3" t="s">
        <v>30</v>
      </c>
      <c r="H275" s="3" t="s">
        <v>49</v>
      </c>
      <c r="I275" s="4">
        <v>2.0</v>
      </c>
      <c r="J275" s="4">
        <v>2.0</v>
      </c>
      <c r="K275" s="3"/>
      <c r="L275" s="3" t="s">
        <v>876</v>
      </c>
      <c r="M275" s="3" t="s">
        <v>877</v>
      </c>
      <c r="N275" s="3" t="s">
        <v>22</v>
      </c>
      <c r="O275" s="5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" t="s">
        <v>14</v>
      </c>
      <c r="B276" s="3" t="s">
        <v>871</v>
      </c>
      <c r="C276" s="36" t="s">
        <v>3614</v>
      </c>
      <c r="D276" s="3" t="s">
        <v>872</v>
      </c>
      <c r="E276" s="3" t="s">
        <v>873</v>
      </c>
      <c r="F276" s="3" t="s">
        <v>874</v>
      </c>
      <c r="G276" s="3" t="s">
        <v>878</v>
      </c>
      <c r="H276" s="3" t="s">
        <v>879</v>
      </c>
      <c r="I276" s="4">
        <v>3.0</v>
      </c>
      <c r="J276" s="4">
        <v>3.0</v>
      </c>
      <c r="K276" s="3"/>
      <c r="L276" s="3" t="s">
        <v>876</v>
      </c>
      <c r="M276" s="3" t="s">
        <v>877</v>
      </c>
      <c r="N276" s="3" t="s">
        <v>22</v>
      </c>
      <c r="O276" s="5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15" t="s">
        <v>14</v>
      </c>
      <c r="B277" s="15" t="s">
        <v>880</v>
      </c>
      <c r="C277" s="33" t="s">
        <v>3600</v>
      </c>
      <c r="D277" s="15" t="s">
        <v>881</v>
      </c>
      <c r="E277" s="15" t="s">
        <v>882</v>
      </c>
      <c r="F277" s="15" t="s">
        <v>883</v>
      </c>
      <c r="G277" s="15"/>
      <c r="H277" s="15"/>
      <c r="I277" s="18"/>
      <c r="J277" s="18"/>
      <c r="K277" s="15"/>
      <c r="L277" s="15" t="s">
        <v>884</v>
      </c>
      <c r="M277" s="15" t="s">
        <v>885</v>
      </c>
      <c r="N277" s="15" t="s">
        <v>22</v>
      </c>
      <c r="O277" s="15" t="s">
        <v>560</v>
      </c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5" t="s">
        <v>14</v>
      </c>
      <c r="B278" s="15" t="s">
        <v>886</v>
      </c>
      <c r="C278" s="36" t="s">
        <v>3597</v>
      </c>
      <c r="D278" s="15" t="s">
        <v>887</v>
      </c>
      <c r="E278" s="15" t="s">
        <v>888</v>
      </c>
      <c r="F278" s="15" t="s">
        <v>889</v>
      </c>
      <c r="G278" s="15" t="s">
        <v>349</v>
      </c>
      <c r="H278" s="15" t="s">
        <v>890</v>
      </c>
      <c r="I278" s="18">
        <v>1.0</v>
      </c>
      <c r="J278" s="18">
        <v>1.0</v>
      </c>
      <c r="K278" s="15" t="s">
        <v>80</v>
      </c>
      <c r="L278" s="15" t="s">
        <v>891</v>
      </c>
      <c r="M278" s="15" t="s">
        <v>892</v>
      </c>
      <c r="N278" s="15" t="s">
        <v>22</v>
      </c>
      <c r="O278" s="20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5" t="s">
        <v>14</v>
      </c>
      <c r="B279" s="15" t="s">
        <v>886</v>
      </c>
      <c r="C279" s="36" t="s">
        <v>3597</v>
      </c>
      <c r="D279" s="15" t="s">
        <v>887</v>
      </c>
      <c r="E279" s="15" t="s">
        <v>888</v>
      </c>
      <c r="F279" s="15" t="s">
        <v>889</v>
      </c>
      <c r="G279" s="15" t="s">
        <v>214</v>
      </c>
      <c r="H279" s="15" t="s">
        <v>214</v>
      </c>
      <c r="I279" s="18">
        <v>2.0</v>
      </c>
      <c r="J279" s="18">
        <v>2.0</v>
      </c>
      <c r="K279" s="15"/>
      <c r="L279" s="15" t="s">
        <v>891</v>
      </c>
      <c r="M279" s="15" t="s">
        <v>892</v>
      </c>
      <c r="N279" s="15" t="s">
        <v>22</v>
      </c>
      <c r="O279" s="20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5" t="s">
        <v>14</v>
      </c>
      <c r="B280" s="15" t="s">
        <v>886</v>
      </c>
      <c r="C280" s="36" t="s">
        <v>3597</v>
      </c>
      <c r="D280" s="15" t="s">
        <v>887</v>
      </c>
      <c r="E280" s="15" t="s">
        <v>888</v>
      </c>
      <c r="F280" s="15" t="s">
        <v>889</v>
      </c>
      <c r="G280" s="15" t="s">
        <v>190</v>
      </c>
      <c r="H280" s="15" t="s">
        <v>190</v>
      </c>
      <c r="I280" s="18">
        <v>3.0</v>
      </c>
      <c r="J280" s="18">
        <v>4.0</v>
      </c>
      <c r="K280" s="15"/>
      <c r="L280" s="15" t="s">
        <v>891</v>
      </c>
      <c r="M280" s="15" t="s">
        <v>892</v>
      </c>
      <c r="N280" s="15" t="s">
        <v>22</v>
      </c>
      <c r="O280" s="20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3" t="s">
        <v>14</v>
      </c>
      <c r="B281" s="3" t="s">
        <v>878</v>
      </c>
      <c r="C281" s="33" t="s">
        <v>3610</v>
      </c>
      <c r="D281" s="3" t="s">
        <v>879</v>
      </c>
      <c r="E281" s="3" t="s">
        <v>878</v>
      </c>
      <c r="F281" s="3" t="s">
        <v>879</v>
      </c>
      <c r="G281" s="3" t="s">
        <v>878</v>
      </c>
      <c r="H281" s="3" t="s">
        <v>879</v>
      </c>
      <c r="I281" s="4">
        <v>1.0</v>
      </c>
      <c r="J281" s="4">
        <v>1.0</v>
      </c>
      <c r="K281" s="3"/>
      <c r="L281" s="3" t="s">
        <v>893</v>
      </c>
      <c r="M281" s="3" t="s">
        <v>894</v>
      </c>
      <c r="N281" s="3" t="s">
        <v>22</v>
      </c>
      <c r="O281" s="5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" t="s">
        <v>14</v>
      </c>
      <c r="B282" s="3" t="s">
        <v>895</v>
      </c>
      <c r="C282" s="33" t="s">
        <v>3600</v>
      </c>
      <c r="D282" s="3" t="s">
        <v>896</v>
      </c>
      <c r="E282" s="3" t="s">
        <v>897</v>
      </c>
      <c r="F282" s="3" t="s">
        <v>898</v>
      </c>
      <c r="G282" s="3" t="s">
        <v>899</v>
      </c>
      <c r="H282" s="3" t="s">
        <v>899</v>
      </c>
      <c r="I282" s="4">
        <v>1.0</v>
      </c>
      <c r="J282" s="4">
        <v>1.0</v>
      </c>
      <c r="K282" s="3"/>
      <c r="L282" s="3" t="s">
        <v>900</v>
      </c>
      <c r="M282" s="3" t="s">
        <v>901</v>
      </c>
      <c r="N282" s="3" t="s">
        <v>22</v>
      </c>
      <c r="O282" s="5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" t="s">
        <v>14</v>
      </c>
      <c r="B283" s="3" t="s">
        <v>895</v>
      </c>
      <c r="C283" s="33" t="s">
        <v>3600</v>
      </c>
      <c r="D283" s="3" t="s">
        <v>896</v>
      </c>
      <c r="E283" s="3" t="s">
        <v>897</v>
      </c>
      <c r="F283" s="3" t="s">
        <v>898</v>
      </c>
      <c r="G283" s="3" t="s">
        <v>349</v>
      </c>
      <c r="H283" s="3" t="s">
        <v>902</v>
      </c>
      <c r="I283" s="4">
        <v>2.0</v>
      </c>
      <c r="J283" s="4">
        <v>2.0</v>
      </c>
      <c r="K283" s="3"/>
      <c r="L283" s="3" t="s">
        <v>900</v>
      </c>
      <c r="M283" s="3" t="s">
        <v>901</v>
      </c>
      <c r="N283" s="3" t="s">
        <v>22</v>
      </c>
      <c r="O283" s="5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" t="s">
        <v>14</v>
      </c>
      <c r="B284" s="3" t="s">
        <v>903</v>
      </c>
      <c r="C284" s="33" t="s">
        <v>3600</v>
      </c>
      <c r="D284" s="3" t="s">
        <v>904</v>
      </c>
      <c r="E284" s="3" t="s">
        <v>905</v>
      </c>
      <c r="F284" s="3" t="s">
        <v>906</v>
      </c>
      <c r="G284" s="3" t="s">
        <v>907</v>
      </c>
      <c r="H284" s="3" t="s">
        <v>908</v>
      </c>
      <c r="I284" s="4">
        <v>1.0</v>
      </c>
      <c r="J284" s="4">
        <v>1.0</v>
      </c>
      <c r="K284" s="3" t="s">
        <v>80</v>
      </c>
      <c r="L284" s="3" t="s">
        <v>909</v>
      </c>
      <c r="M284" s="3" t="s">
        <v>910</v>
      </c>
      <c r="N284" s="3" t="s">
        <v>22</v>
      </c>
      <c r="O284" s="5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" t="s">
        <v>14</v>
      </c>
      <c r="B285" s="3" t="s">
        <v>903</v>
      </c>
      <c r="C285" s="33" t="s">
        <v>3600</v>
      </c>
      <c r="D285" s="3" t="s">
        <v>904</v>
      </c>
      <c r="E285" s="3" t="s">
        <v>905</v>
      </c>
      <c r="F285" s="3" t="s">
        <v>906</v>
      </c>
      <c r="G285" s="3" t="s">
        <v>36</v>
      </c>
      <c r="H285" s="3" t="s">
        <v>83</v>
      </c>
      <c r="I285" s="4">
        <v>2.0</v>
      </c>
      <c r="J285" s="4">
        <v>2.0</v>
      </c>
      <c r="K285" s="3"/>
      <c r="L285" s="3" t="s">
        <v>909</v>
      </c>
      <c r="M285" s="3" t="s">
        <v>910</v>
      </c>
      <c r="N285" s="3" t="s">
        <v>22</v>
      </c>
      <c r="O285" s="5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" t="s">
        <v>14</v>
      </c>
      <c r="B286" s="3" t="s">
        <v>903</v>
      </c>
      <c r="C286" s="33" t="s">
        <v>3600</v>
      </c>
      <c r="D286" s="3" t="s">
        <v>904</v>
      </c>
      <c r="E286" s="3" t="s">
        <v>905</v>
      </c>
      <c r="F286" s="3" t="s">
        <v>906</v>
      </c>
      <c r="G286" s="3" t="s">
        <v>116</v>
      </c>
      <c r="H286" s="3" t="s">
        <v>116</v>
      </c>
      <c r="I286" s="4">
        <v>3.0</v>
      </c>
      <c r="J286" s="4">
        <v>3.0</v>
      </c>
      <c r="K286" s="3"/>
      <c r="L286" s="3" t="s">
        <v>909</v>
      </c>
      <c r="M286" s="3" t="s">
        <v>910</v>
      </c>
      <c r="N286" s="3" t="s">
        <v>22</v>
      </c>
      <c r="O286" s="5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" t="s">
        <v>14</v>
      </c>
      <c r="B287" s="3" t="s">
        <v>911</v>
      </c>
      <c r="C287" s="33" t="s">
        <v>3604</v>
      </c>
      <c r="D287" s="3" t="s">
        <v>912</v>
      </c>
      <c r="E287" s="3" t="s">
        <v>913</v>
      </c>
      <c r="F287" s="3" t="s">
        <v>914</v>
      </c>
      <c r="G287" s="3" t="s">
        <v>915</v>
      </c>
      <c r="H287" s="3" t="s">
        <v>222</v>
      </c>
      <c r="I287" s="4">
        <v>1.0</v>
      </c>
      <c r="J287" s="4">
        <v>1.0</v>
      </c>
      <c r="K287" s="3"/>
      <c r="L287" s="3" t="s">
        <v>916</v>
      </c>
      <c r="M287" s="3" t="s">
        <v>917</v>
      </c>
      <c r="N287" s="3" t="s">
        <v>22</v>
      </c>
      <c r="O287" s="5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" t="s">
        <v>14</v>
      </c>
      <c r="B288" s="3" t="s">
        <v>911</v>
      </c>
      <c r="C288" s="33" t="s">
        <v>3604</v>
      </c>
      <c r="D288" s="3" t="s">
        <v>912</v>
      </c>
      <c r="E288" s="3" t="s">
        <v>913</v>
      </c>
      <c r="F288" s="3" t="s">
        <v>914</v>
      </c>
      <c r="G288" s="3" t="s">
        <v>575</v>
      </c>
      <c r="H288" s="3" t="s">
        <v>918</v>
      </c>
      <c r="I288" s="4">
        <v>2.0</v>
      </c>
      <c r="J288" s="4">
        <v>2.0</v>
      </c>
      <c r="K288" s="3"/>
      <c r="L288" s="3" t="s">
        <v>916</v>
      </c>
      <c r="M288" s="3" t="s">
        <v>917</v>
      </c>
      <c r="N288" s="3" t="s">
        <v>22</v>
      </c>
      <c r="O288" s="5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" t="s">
        <v>14</v>
      </c>
      <c r="B289" s="3" t="s">
        <v>911</v>
      </c>
      <c r="C289" s="33" t="s">
        <v>3604</v>
      </c>
      <c r="D289" s="3" t="s">
        <v>912</v>
      </c>
      <c r="E289" s="3" t="s">
        <v>913</v>
      </c>
      <c r="F289" s="3" t="s">
        <v>914</v>
      </c>
      <c r="G289" s="3" t="s">
        <v>784</v>
      </c>
      <c r="H289" s="3" t="s">
        <v>784</v>
      </c>
      <c r="I289" s="4">
        <v>3.0</v>
      </c>
      <c r="J289" s="4">
        <v>3.0</v>
      </c>
      <c r="K289" s="3"/>
      <c r="L289" s="3" t="s">
        <v>916</v>
      </c>
      <c r="M289" s="3" t="s">
        <v>917</v>
      </c>
      <c r="N289" s="3" t="s">
        <v>22</v>
      </c>
      <c r="O289" s="5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5" t="s">
        <v>14</v>
      </c>
      <c r="B290" s="15" t="s">
        <v>919</v>
      </c>
      <c r="C290" s="33" t="s">
        <v>3598</v>
      </c>
      <c r="D290" s="15" t="s">
        <v>920</v>
      </c>
      <c r="E290" s="15" t="s">
        <v>921</v>
      </c>
      <c r="F290" s="15" t="s">
        <v>922</v>
      </c>
      <c r="G290" s="15"/>
      <c r="H290" s="15"/>
      <c r="I290" s="18"/>
      <c r="J290" s="18"/>
      <c r="K290" s="15"/>
      <c r="L290" s="15" t="s">
        <v>923</v>
      </c>
      <c r="M290" s="15" t="s">
        <v>924</v>
      </c>
      <c r="N290" s="15" t="s">
        <v>22</v>
      </c>
      <c r="O290" s="15" t="s">
        <v>560</v>
      </c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5" t="s">
        <v>14</v>
      </c>
      <c r="B291" s="15" t="s">
        <v>925</v>
      </c>
      <c r="C291" s="36" t="s">
        <v>3593</v>
      </c>
      <c r="D291" s="15" t="s">
        <v>926</v>
      </c>
      <c r="E291" s="15" t="s">
        <v>927</v>
      </c>
      <c r="F291" s="15" t="s">
        <v>928</v>
      </c>
      <c r="G291" s="15"/>
      <c r="H291" s="15"/>
      <c r="I291" s="18"/>
      <c r="J291" s="18"/>
      <c r="K291" s="15"/>
      <c r="L291" s="15" t="s">
        <v>929</v>
      </c>
      <c r="M291" s="15" t="s">
        <v>930</v>
      </c>
      <c r="N291" s="15" t="s">
        <v>22</v>
      </c>
      <c r="O291" s="15" t="s">
        <v>560</v>
      </c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3" t="s">
        <v>14</v>
      </c>
      <c r="B292" s="3" t="s">
        <v>931</v>
      </c>
      <c r="C292" s="33" t="s">
        <v>3600</v>
      </c>
      <c r="D292" s="3" t="s">
        <v>932</v>
      </c>
      <c r="E292" s="3" t="s">
        <v>933</v>
      </c>
      <c r="F292" s="3" t="s">
        <v>934</v>
      </c>
      <c r="G292" s="3" t="s">
        <v>935</v>
      </c>
      <c r="H292" s="3" t="s">
        <v>935</v>
      </c>
      <c r="I292" s="4">
        <v>1.0</v>
      </c>
      <c r="J292" s="4">
        <v>1.0</v>
      </c>
      <c r="K292" s="3"/>
      <c r="L292" s="3" t="s">
        <v>936</v>
      </c>
      <c r="M292" s="3" t="s">
        <v>937</v>
      </c>
      <c r="N292" s="3" t="s">
        <v>22</v>
      </c>
      <c r="O292" s="5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" t="s">
        <v>14</v>
      </c>
      <c r="B293" s="3" t="s">
        <v>931</v>
      </c>
      <c r="C293" s="33" t="s">
        <v>3600</v>
      </c>
      <c r="D293" s="3" t="s">
        <v>932</v>
      </c>
      <c r="E293" s="3" t="s">
        <v>933</v>
      </c>
      <c r="F293" s="3" t="s">
        <v>934</v>
      </c>
      <c r="G293" s="3" t="s">
        <v>254</v>
      </c>
      <c r="H293" s="3" t="s">
        <v>938</v>
      </c>
      <c r="I293" s="4">
        <v>2.0</v>
      </c>
      <c r="J293" s="4">
        <v>2.0</v>
      </c>
      <c r="K293" s="3"/>
      <c r="L293" s="3" t="s">
        <v>936</v>
      </c>
      <c r="M293" s="3" t="s">
        <v>937</v>
      </c>
      <c r="N293" s="3" t="s">
        <v>22</v>
      </c>
      <c r="O293" s="5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" t="s">
        <v>14</v>
      </c>
      <c r="B294" s="3" t="s">
        <v>939</v>
      </c>
      <c r="C294" s="36" t="s">
        <v>3597</v>
      </c>
      <c r="D294" s="3" t="s">
        <v>940</v>
      </c>
      <c r="E294" s="3" t="s">
        <v>941</v>
      </c>
      <c r="F294" s="3" t="s">
        <v>942</v>
      </c>
      <c r="G294" s="3" t="s">
        <v>943</v>
      </c>
      <c r="H294" s="3" t="s">
        <v>944</v>
      </c>
      <c r="I294" s="4">
        <v>1.0</v>
      </c>
      <c r="J294" s="4">
        <v>1.0</v>
      </c>
      <c r="K294" s="3" t="s">
        <v>80</v>
      </c>
      <c r="L294" s="3" t="s">
        <v>945</v>
      </c>
      <c r="M294" s="3" t="s">
        <v>946</v>
      </c>
      <c r="N294" s="3" t="s">
        <v>22</v>
      </c>
      <c r="O294" s="5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" t="s">
        <v>14</v>
      </c>
      <c r="B295" s="3" t="s">
        <v>939</v>
      </c>
      <c r="C295" s="36" t="s">
        <v>3597</v>
      </c>
      <c r="D295" s="3" t="s">
        <v>940</v>
      </c>
      <c r="E295" s="3" t="s">
        <v>941</v>
      </c>
      <c r="F295" s="3" t="s">
        <v>942</v>
      </c>
      <c r="G295" s="3" t="s">
        <v>947</v>
      </c>
      <c r="H295" s="3" t="s">
        <v>948</v>
      </c>
      <c r="I295" s="4">
        <v>2.0</v>
      </c>
      <c r="J295" s="4">
        <v>2.0</v>
      </c>
      <c r="K295" s="3"/>
      <c r="L295" s="3" t="s">
        <v>945</v>
      </c>
      <c r="M295" s="3" t="s">
        <v>946</v>
      </c>
      <c r="N295" s="3" t="s">
        <v>22</v>
      </c>
      <c r="O295" s="5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" t="s">
        <v>14</v>
      </c>
      <c r="B296" s="3" t="s">
        <v>939</v>
      </c>
      <c r="C296" s="36" t="s">
        <v>3597</v>
      </c>
      <c r="D296" s="3" t="s">
        <v>940</v>
      </c>
      <c r="E296" s="3" t="s">
        <v>941</v>
      </c>
      <c r="F296" s="3" t="s">
        <v>942</v>
      </c>
      <c r="G296" s="3" t="s">
        <v>190</v>
      </c>
      <c r="H296" s="3" t="s">
        <v>190</v>
      </c>
      <c r="I296" s="4">
        <v>3.0</v>
      </c>
      <c r="J296" s="4">
        <v>3.0</v>
      </c>
      <c r="K296" s="3"/>
      <c r="L296" s="3" t="s">
        <v>945</v>
      </c>
      <c r="M296" s="3" t="s">
        <v>946</v>
      </c>
      <c r="N296" s="3" t="s">
        <v>22</v>
      </c>
      <c r="O296" s="5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" t="s">
        <v>14</v>
      </c>
      <c r="B297" s="3" t="s">
        <v>949</v>
      </c>
      <c r="C297" s="33" t="s">
        <v>3615</v>
      </c>
      <c r="D297" s="3" t="s">
        <v>950</v>
      </c>
      <c r="E297" s="6" t="s">
        <v>951</v>
      </c>
      <c r="F297" s="3" t="s">
        <v>952</v>
      </c>
      <c r="G297" s="6" t="s">
        <v>451</v>
      </c>
      <c r="H297" s="3" t="s">
        <v>953</v>
      </c>
      <c r="I297" s="4">
        <v>1.0</v>
      </c>
      <c r="J297" s="4">
        <v>1.0</v>
      </c>
      <c r="K297" s="3" t="s">
        <v>80</v>
      </c>
      <c r="L297" s="3" t="s">
        <v>954</v>
      </c>
      <c r="M297" s="3" t="s">
        <v>955</v>
      </c>
      <c r="N297" s="3" t="s">
        <v>22</v>
      </c>
      <c r="O297" s="5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" t="s">
        <v>14</v>
      </c>
      <c r="B298" s="3" t="s">
        <v>949</v>
      </c>
      <c r="C298" s="33" t="s">
        <v>3615</v>
      </c>
      <c r="D298" s="3" t="s">
        <v>950</v>
      </c>
      <c r="E298" s="6" t="s">
        <v>951</v>
      </c>
      <c r="F298" s="3" t="s">
        <v>952</v>
      </c>
      <c r="G298" s="6" t="s">
        <v>197</v>
      </c>
      <c r="H298" s="3" t="s">
        <v>116</v>
      </c>
      <c r="I298" s="4">
        <v>2.0</v>
      </c>
      <c r="J298" s="4">
        <v>2.0</v>
      </c>
      <c r="K298" s="3"/>
      <c r="L298" s="3" t="s">
        <v>954</v>
      </c>
      <c r="M298" s="3" t="s">
        <v>955</v>
      </c>
      <c r="N298" s="3" t="s">
        <v>22</v>
      </c>
      <c r="O298" s="5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" t="s">
        <v>14</v>
      </c>
      <c r="B299" s="3" t="s">
        <v>949</v>
      </c>
      <c r="C299" s="33" t="s">
        <v>3615</v>
      </c>
      <c r="D299" s="3" t="s">
        <v>950</v>
      </c>
      <c r="E299" s="6" t="s">
        <v>951</v>
      </c>
      <c r="F299" s="3" t="s">
        <v>952</v>
      </c>
      <c r="G299" s="6" t="s">
        <v>956</v>
      </c>
      <c r="H299" s="3" t="s">
        <v>61</v>
      </c>
      <c r="I299" s="4">
        <v>3.0</v>
      </c>
      <c r="J299" s="4">
        <v>3.0</v>
      </c>
      <c r="K299" s="3"/>
      <c r="L299" s="3" t="s">
        <v>954</v>
      </c>
      <c r="M299" s="3" t="s">
        <v>955</v>
      </c>
      <c r="N299" s="3" t="s">
        <v>22</v>
      </c>
      <c r="O299" s="5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" t="s">
        <v>14</v>
      </c>
      <c r="B300" s="3" t="s">
        <v>949</v>
      </c>
      <c r="C300" s="33" t="s">
        <v>3615</v>
      </c>
      <c r="D300" s="3" t="s">
        <v>950</v>
      </c>
      <c r="E300" s="6" t="s">
        <v>951</v>
      </c>
      <c r="F300" s="3" t="s">
        <v>952</v>
      </c>
      <c r="G300" s="6" t="s">
        <v>36</v>
      </c>
      <c r="H300" s="3" t="s">
        <v>344</v>
      </c>
      <c r="I300" s="4" t="s">
        <v>36</v>
      </c>
      <c r="J300" s="4">
        <v>4.0</v>
      </c>
      <c r="K300" s="3"/>
      <c r="L300" s="3" t="s">
        <v>954</v>
      </c>
      <c r="M300" s="3" t="s">
        <v>955</v>
      </c>
      <c r="N300" s="3" t="s">
        <v>22</v>
      </c>
      <c r="O300" s="5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" t="s">
        <v>14</v>
      </c>
      <c r="B301" s="3" t="s">
        <v>949</v>
      </c>
      <c r="C301" s="33" t="s">
        <v>3615</v>
      </c>
      <c r="D301" s="3" t="s">
        <v>950</v>
      </c>
      <c r="E301" s="6" t="s">
        <v>951</v>
      </c>
      <c r="F301" s="3" t="s">
        <v>952</v>
      </c>
      <c r="G301" s="6" t="s">
        <v>190</v>
      </c>
      <c r="H301" s="3" t="s">
        <v>190</v>
      </c>
      <c r="I301" s="4">
        <v>4.0</v>
      </c>
      <c r="J301" s="4">
        <v>5.0</v>
      </c>
      <c r="K301" s="3"/>
      <c r="L301" s="3" t="s">
        <v>954</v>
      </c>
      <c r="M301" s="3" t="s">
        <v>955</v>
      </c>
      <c r="N301" s="3" t="s">
        <v>22</v>
      </c>
      <c r="O301" s="5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5" t="s">
        <v>14</v>
      </c>
      <c r="B302" s="15" t="s">
        <v>957</v>
      </c>
      <c r="C302" s="33" t="s">
        <v>3600</v>
      </c>
      <c r="D302" s="15" t="s">
        <v>958</v>
      </c>
      <c r="E302" s="15" t="s">
        <v>959</v>
      </c>
      <c r="F302" s="15" t="s">
        <v>960</v>
      </c>
      <c r="G302" s="15" t="s">
        <v>961</v>
      </c>
      <c r="H302" s="15" t="s">
        <v>961</v>
      </c>
      <c r="I302" s="18">
        <v>1.0</v>
      </c>
      <c r="J302" s="18">
        <v>1.0</v>
      </c>
      <c r="K302" s="15"/>
      <c r="L302" s="15" t="s">
        <v>962</v>
      </c>
      <c r="M302" s="15" t="s">
        <v>963</v>
      </c>
      <c r="N302" s="15" t="s">
        <v>22</v>
      </c>
      <c r="O302" s="20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5" t="s">
        <v>14</v>
      </c>
      <c r="B303" s="15" t="s">
        <v>957</v>
      </c>
      <c r="C303" s="33" t="s">
        <v>3600</v>
      </c>
      <c r="D303" s="15" t="s">
        <v>958</v>
      </c>
      <c r="E303" s="15" t="s">
        <v>959</v>
      </c>
      <c r="F303" s="15" t="s">
        <v>960</v>
      </c>
      <c r="G303" s="15" t="s">
        <v>114</v>
      </c>
      <c r="H303" s="15" t="s">
        <v>103</v>
      </c>
      <c r="I303" s="18">
        <v>2.0</v>
      </c>
      <c r="J303" s="18">
        <v>2.0</v>
      </c>
      <c r="K303" s="15"/>
      <c r="L303" s="15" t="s">
        <v>962</v>
      </c>
      <c r="M303" s="15" t="s">
        <v>963</v>
      </c>
      <c r="N303" s="15" t="s">
        <v>22</v>
      </c>
      <c r="O303" s="20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3" t="s">
        <v>14</v>
      </c>
      <c r="B304" s="3" t="s">
        <v>964</v>
      </c>
      <c r="C304" s="33" t="s">
        <v>3600</v>
      </c>
      <c r="D304" s="3" t="s">
        <v>965</v>
      </c>
      <c r="E304" s="3" t="s">
        <v>966</v>
      </c>
      <c r="F304" s="3" t="s">
        <v>967</v>
      </c>
      <c r="G304" s="3" t="s">
        <v>968</v>
      </c>
      <c r="H304" s="3" t="s">
        <v>969</v>
      </c>
      <c r="I304" s="4">
        <v>1.0</v>
      </c>
      <c r="J304" s="4">
        <v>1.0</v>
      </c>
      <c r="K304" s="3"/>
      <c r="L304" s="3" t="s">
        <v>970</v>
      </c>
      <c r="M304" s="3" t="s">
        <v>971</v>
      </c>
      <c r="N304" s="3" t="s">
        <v>22</v>
      </c>
      <c r="O304" s="5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" t="s">
        <v>14</v>
      </c>
      <c r="B305" s="3" t="s">
        <v>964</v>
      </c>
      <c r="C305" s="33" t="s">
        <v>3600</v>
      </c>
      <c r="D305" s="3" t="s">
        <v>965</v>
      </c>
      <c r="E305" s="3" t="s">
        <v>966</v>
      </c>
      <c r="F305" s="3" t="s">
        <v>967</v>
      </c>
      <c r="G305" s="3" t="s">
        <v>55</v>
      </c>
      <c r="H305" s="3" t="s">
        <v>56</v>
      </c>
      <c r="I305" s="4">
        <v>2.0</v>
      </c>
      <c r="J305" s="4">
        <v>2.0</v>
      </c>
      <c r="K305" s="3"/>
      <c r="L305" s="3" t="s">
        <v>970</v>
      </c>
      <c r="M305" s="3" t="s">
        <v>971</v>
      </c>
      <c r="N305" s="3" t="s">
        <v>22</v>
      </c>
      <c r="O305" s="5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" t="s">
        <v>14</v>
      </c>
      <c r="B306" s="3" t="s">
        <v>972</v>
      </c>
      <c r="C306" s="33" t="s">
        <v>3600</v>
      </c>
      <c r="D306" s="3" t="s">
        <v>973</v>
      </c>
      <c r="E306" s="3" t="s">
        <v>974</v>
      </c>
      <c r="F306" s="3" t="s">
        <v>975</v>
      </c>
      <c r="G306" s="3" t="s">
        <v>976</v>
      </c>
      <c r="H306" s="3" t="s">
        <v>977</v>
      </c>
      <c r="I306" s="4">
        <v>1.0</v>
      </c>
      <c r="J306" s="4">
        <v>1.0</v>
      </c>
      <c r="K306" s="3"/>
      <c r="L306" s="3" t="s">
        <v>978</v>
      </c>
      <c r="M306" s="3" t="s">
        <v>971</v>
      </c>
      <c r="N306" s="3" t="s">
        <v>22</v>
      </c>
      <c r="O306" s="5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" t="s">
        <v>14</v>
      </c>
      <c r="B307" s="3" t="s">
        <v>972</v>
      </c>
      <c r="C307" s="33" t="s">
        <v>3600</v>
      </c>
      <c r="D307" s="3" t="s">
        <v>973</v>
      </c>
      <c r="E307" s="3" t="s">
        <v>974</v>
      </c>
      <c r="F307" s="3" t="s">
        <v>975</v>
      </c>
      <c r="G307" s="3" t="s">
        <v>190</v>
      </c>
      <c r="H307" s="3" t="s">
        <v>190</v>
      </c>
      <c r="I307" s="4">
        <v>2.0</v>
      </c>
      <c r="J307" s="4">
        <v>2.0</v>
      </c>
      <c r="K307" s="3"/>
      <c r="L307" s="3" t="s">
        <v>978</v>
      </c>
      <c r="M307" s="3" t="s">
        <v>971</v>
      </c>
      <c r="N307" s="3" t="s">
        <v>22</v>
      </c>
      <c r="O307" s="5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" t="s">
        <v>14</v>
      </c>
      <c r="B308" s="3" t="s">
        <v>979</v>
      </c>
      <c r="C308" s="33" t="s">
        <v>3600</v>
      </c>
      <c r="D308" s="3" t="s">
        <v>980</v>
      </c>
      <c r="E308" s="3" t="s">
        <v>981</v>
      </c>
      <c r="F308" s="3" t="s">
        <v>982</v>
      </c>
      <c r="G308" s="3" t="s">
        <v>983</v>
      </c>
      <c r="H308" s="3" t="s">
        <v>984</v>
      </c>
      <c r="I308" s="4">
        <v>1.0</v>
      </c>
      <c r="J308" s="4">
        <v>1.0</v>
      </c>
      <c r="K308" s="3"/>
      <c r="L308" s="3" t="s">
        <v>985</v>
      </c>
      <c r="M308" s="3" t="s">
        <v>986</v>
      </c>
      <c r="N308" s="3" t="s">
        <v>22</v>
      </c>
      <c r="O308" s="5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" t="s">
        <v>14</v>
      </c>
      <c r="B309" s="3" t="s">
        <v>979</v>
      </c>
      <c r="C309" s="33" t="s">
        <v>3600</v>
      </c>
      <c r="D309" s="3" t="s">
        <v>980</v>
      </c>
      <c r="E309" s="3" t="s">
        <v>981</v>
      </c>
      <c r="F309" s="3" t="s">
        <v>982</v>
      </c>
      <c r="G309" s="3" t="s">
        <v>848</v>
      </c>
      <c r="H309" s="3" t="s">
        <v>987</v>
      </c>
      <c r="I309" s="4">
        <v>2.0</v>
      </c>
      <c r="J309" s="4">
        <v>2.0</v>
      </c>
      <c r="K309" s="3"/>
      <c r="L309" s="3" t="s">
        <v>985</v>
      </c>
      <c r="M309" s="3" t="s">
        <v>986</v>
      </c>
      <c r="N309" s="3" t="s">
        <v>22</v>
      </c>
      <c r="O309" s="5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" t="s">
        <v>14</v>
      </c>
      <c r="B310" s="3" t="s">
        <v>988</v>
      </c>
      <c r="C310" s="36" t="s">
        <v>3595</v>
      </c>
      <c r="D310" s="3" t="s">
        <v>989</v>
      </c>
      <c r="E310" s="3" t="s">
        <v>990</v>
      </c>
      <c r="F310" s="3" t="s">
        <v>991</v>
      </c>
      <c r="G310" s="3" t="s">
        <v>61</v>
      </c>
      <c r="H310" s="3" t="s">
        <v>992</v>
      </c>
      <c r="I310" s="4">
        <v>1.0</v>
      </c>
      <c r="J310" s="4">
        <v>1.0</v>
      </c>
      <c r="K310" s="3"/>
      <c r="L310" s="3" t="s">
        <v>993</v>
      </c>
      <c r="M310" s="3" t="s">
        <v>994</v>
      </c>
      <c r="N310" s="3" t="s">
        <v>22</v>
      </c>
      <c r="O310" s="5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" t="s">
        <v>14</v>
      </c>
      <c r="B311" s="3" t="s">
        <v>988</v>
      </c>
      <c r="C311" s="36" t="s">
        <v>3595</v>
      </c>
      <c r="D311" s="3" t="s">
        <v>989</v>
      </c>
      <c r="E311" s="3" t="s">
        <v>990</v>
      </c>
      <c r="F311" s="3" t="s">
        <v>991</v>
      </c>
      <c r="G311" s="3" t="s">
        <v>995</v>
      </c>
      <c r="H311" s="3" t="s">
        <v>996</v>
      </c>
      <c r="I311" s="4">
        <v>2.0</v>
      </c>
      <c r="J311" s="4">
        <v>2.0</v>
      </c>
      <c r="K311" s="3"/>
      <c r="L311" s="3" t="s">
        <v>993</v>
      </c>
      <c r="M311" s="3" t="s">
        <v>994</v>
      </c>
      <c r="N311" s="3" t="s">
        <v>22</v>
      </c>
      <c r="O311" s="5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" t="s">
        <v>14</v>
      </c>
      <c r="B312" s="3" t="s">
        <v>997</v>
      </c>
      <c r="C312" s="33" t="s">
        <v>3596</v>
      </c>
      <c r="D312" s="3" t="s">
        <v>998</v>
      </c>
      <c r="E312" s="3" t="s">
        <v>997</v>
      </c>
      <c r="F312" s="3" t="s">
        <v>999</v>
      </c>
      <c r="G312" s="3" t="s">
        <v>997</v>
      </c>
      <c r="H312" s="3" t="s">
        <v>724</v>
      </c>
      <c r="I312" s="4">
        <v>1.0</v>
      </c>
      <c r="J312" s="4">
        <v>1.0</v>
      </c>
      <c r="K312" s="3" t="s">
        <v>80</v>
      </c>
      <c r="L312" s="3" t="s">
        <v>1000</v>
      </c>
      <c r="M312" s="3" t="s">
        <v>1001</v>
      </c>
      <c r="N312" s="3" t="s">
        <v>22</v>
      </c>
      <c r="O312" s="5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" t="s">
        <v>14</v>
      </c>
      <c r="B313" s="3" t="s">
        <v>997</v>
      </c>
      <c r="C313" s="33" t="s">
        <v>3596</v>
      </c>
      <c r="D313" s="3" t="s">
        <v>998</v>
      </c>
      <c r="E313" s="3" t="s">
        <v>997</v>
      </c>
      <c r="F313" s="3" t="s">
        <v>999</v>
      </c>
      <c r="G313" s="3" t="s">
        <v>36</v>
      </c>
      <c r="H313" s="3" t="s">
        <v>1002</v>
      </c>
      <c r="I313" s="4" t="s">
        <v>36</v>
      </c>
      <c r="J313" s="4">
        <v>2.0</v>
      </c>
      <c r="K313" s="3"/>
      <c r="L313" s="3" t="s">
        <v>1000</v>
      </c>
      <c r="M313" s="3" t="s">
        <v>1001</v>
      </c>
      <c r="N313" s="3" t="s">
        <v>22</v>
      </c>
      <c r="O313" s="5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5" t="s">
        <v>14</v>
      </c>
      <c r="B314" s="15" t="s">
        <v>1003</v>
      </c>
      <c r="C314" s="36" t="s">
        <v>3595</v>
      </c>
      <c r="D314" s="15" t="s">
        <v>1004</v>
      </c>
      <c r="E314" s="15" t="s">
        <v>1005</v>
      </c>
      <c r="F314" s="15" t="s">
        <v>1006</v>
      </c>
      <c r="G314" s="15" t="s">
        <v>36</v>
      </c>
      <c r="H314" s="15" t="s">
        <v>49</v>
      </c>
      <c r="I314" s="18" t="s">
        <v>36</v>
      </c>
      <c r="J314" s="18">
        <v>1.0</v>
      </c>
      <c r="K314" s="15" t="s">
        <v>80</v>
      </c>
      <c r="L314" s="15" t="s">
        <v>1007</v>
      </c>
      <c r="M314" s="15" t="s">
        <v>1008</v>
      </c>
      <c r="N314" s="15" t="s">
        <v>22</v>
      </c>
      <c r="O314" s="20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5" t="s">
        <v>14</v>
      </c>
      <c r="B315" s="15" t="s">
        <v>1003</v>
      </c>
      <c r="C315" s="36" t="s">
        <v>3595</v>
      </c>
      <c r="D315" s="15" t="s">
        <v>1004</v>
      </c>
      <c r="E315" s="15" t="s">
        <v>1005</v>
      </c>
      <c r="F315" s="15" t="s">
        <v>1006</v>
      </c>
      <c r="G315" s="15" t="s">
        <v>61</v>
      </c>
      <c r="H315" s="15" t="s">
        <v>62</v>
      </c>
      <c r="I315" s="18">
        <v>1.0</v>
      </c>
      <c r="J315" s="18">
        <v>2.0</v>
      </c>
      <c r="K315" s="15"/>
      <c r="L315" s="15" t="s">
        <v>1007</v>
      </c>
      <c r="M315" s="15" t="s">
        <v>1008</v>
      </c>
      <c r="N315" s="15" t="s">
        <v>22</v>
      </c>
      <c r="O315" s="20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5" t="s">
        <v>14</v>
      </c>
      <c r="B316" s="15" t="s">
        <v>1003</v>
      </c>
      <c r="C316" s="36" t="s">
        <v>3595</v>
      </c>
      <c r="D316" s="15" t="s">
        <v>1004</v>
      </c>
      <c r="E316" s="15" t="s">
        <v>1005</v>
      </c>
      <c r="F316" s="15" t="s">
        <v>1006</v>
      </c>
      <c r="G316" s="15" t="s">
        <v>280</v>
      </c>
      <c r="H316" s="15" t="s">
        <v>1009</v>
      </c>
      <c r="I316" s="18">
        <v>2.0</v>
      </c>
      <c r="J316" s="18">
        <v>3.0</v>
      </c>
      <c r="K316" s="15"/>
      <c r="L316" s="15" t="s">
        <v>1007</v>
      </c>
      <c r="M316" s="15" t="s">
        <v>1008</v>
      </c>
      <c r="N316" s="15" t="s">
        <v>22</v>
      </c>
      <c r="O316" s="20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3" t="s">
        <v>14</v>
      </c>
      <c r="B317" s="3" t="s">
        <v>1010</v>
      </c>
      <c r="C317" s="36" t="s">
        <v>3609</v>
      </c>
      <c r="D317" s="3" t="s">
        <v>1011</v>
      </c>
      <c r="E317" s="3" t="s">
        <v>1012</v>
      </c>
      <c r="F317" s="3" t="s">
        <v>1013</v>
      </c>
      <c r="G317" s="17" t="s">
        <v>36</v>
      </c>
      <c r="H317" s="3" t="s">
        <v>49</v>
      </c>
      <c r="I317" s="17" t="s">
        <v>36</v>
      </c>
      <c r="J317" s="4">
        <v>1.0</v>
      </c>
      <c r="K317" s="3"/>
      <c r="L317" s="3" t="s">
        <v>1014</v>
      </c>
      <c r="M317" s="3" t="s">
        <v>1015</v>
      </c>
      <c r="N317" s="3" t="s">
        <v>22</v>
      </c>
      <c r="O317" s="5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" t="s">
        <v>14</v>
      </c>
      <c r="B318" s="3" t="s">
        <v>1010</v>
      </c>
      <c r="C318" s="36" t="s">
        <v>3609</v>
      </c>
      <c r="D318" s="3" t="s">
        <v>1011</v>
      </c>
      <c r="E318" s="3" t="s">
        <v>1012</v>
      </c>
      <c r="F318" s="3" t="s">
        <v>1013</v>
      </c>
      <c r="G318" s="3" t="s">
        <v>1016</v>
      </c>
      <c r="H318" s="3" t="s">
        <v>1017</v>
      </c>
      <c r="I318" s="4">
        <v>1.0</v>
      </c>
      <c r="J318" s="4">
        <v>2.0</v>
      </c>
      <c r="K318" s="3"/>
      <c r="L318" s="3" t="s">
        <v>1014</v>
      </c>
      <c r="M318" s="3" t="s">
        <v>1015</v>
      </c>
      <c r="N318" s="3" t="s">
        <v>22</v>
      </c>
      <c r="O318" s="5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" t="s">
        <v>14</v>
      </c>
      <c r="B319" s="3" t="s">
        <v>1010</v>
      </c>
      <c r="C319" s="36" t="s">
        <v>3609</v>
      </c>
      <c r="D319" s="3" t="s">
        <v>1011</v>
      </c>
      <c r="E319" s="3" t="s">
        <v>1012</v>
      </c>
      <c r="F319" s="3" t="s">
        <v>1013</v>
      </c>
      <c r="G319" s="3" t="s">
        <v>1018</v>
      </c>
      <c r="H319" s="3" t="s">
        <v>387</v>
      </c>
      <c r="I319" s="4">
        <v>2.0</v>
      </c>
      <c r="J319" s="4">
        <v>3.0</v>
      </c>
      <c r="K319" s="3"/>
      <c r="L319" s="3" t="s">
        <v>1014</v>
      </c>
      <c r="M319" s="3" t="s">
        <v>1015</v>
      </c>
      <c r="N319" s="3" t="s">
        <v>22</v>
      </c>
      <c r="O319" s="5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" t="s">
        <v>14</v>
      </c>
      <c r="B320" s="3" t="s">
        <v>1010</v>
      </c>
      <c r="C320" s="36" t="s">
        <v>3609</v>
      </c>
      <c r="D320" s="3" t="s">
        <v>1011</v>
      </c>
      <c r="E320" s="3" t="s">
        <v>1012</v>
      </c>
      <c r="F320" s="3" t="s">
        <v>1013</v>
      </c>
      <c r="G320" s="3" t="s">
        <v>280</v>
      </c>
      <c r="H320" s="3" t="s">
        <v>1009</v>
      </c>
      <c r="I320" s="4">
        <v>3.0</v>
      </c>
      <c r="J320" s="4">
        <v>4.0</v>
      </c>
      <c r="K320" s="3"/>
      <c r="L320" s="3" t="s">
        <v>1014</v>
      </c>
      <c r="M320" s="3" t="s">
        <v>1015</v>
      </c>
      <c r="N320" s="3" t="s">
        <v>22</v>
      </c>
      <c r="O320" s="5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5" t="s">
        <v>14</v>
      </c>
      <c r="B321" s="15" t="s">
        <v>1019</v>
      </c>
      <c r="C321" s="36" t="s">
        <v>3595</v>
      </c>
      <c r="D321" s="15" t="s">
        <v>1020</v>
      </c>
      <c r="E321" s="15" t="s">
        <v>1021</v>
      </c>
      <c r="F321" s="15" t="s">
        <v>1022</v>
      </c>
      <c r="G321" s="15"/>
      <c r="H321" s="15"/>
      <c r="I321" s="18"/>
      <c r="J321" s="18"/>
      <c r="K321" s="15"/>
      <c r="L321" s="15" t="s">
        <v>1023</v>
      </c>
      <c r="M321" s="15" t="s">
        <v>1024</v>
      </c>
      <c r="N321" s="15" t="s">
        <v>22</v>
      </c>
      <c r="O321" s="15" t="s">
        <v>560</v>
      </c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5" t="s">
        <v>14</v>
      </c>
      <c r="B322" s="15" t="s">
        <v>1025</v>
      </c>
      <c r="C322" s="36" t="s">
        <v>3595</v>
      </c>
      <c r="D322" s="15" t="s">
        <v>1026</v>
      </c>
      <c r="E322" s="15" t="s">
        <v>1027</v>
      </c>
      <c r="F322" s="15" t="s">
        <v>1028</v>
      </c>
      <c r="G322" s="15" t="s">
        <v>36</v>
      </c>
      <c r="H322" s="15" t="s">
        <v>49</v>
      </c>
      <c r="I322" s="18" t="s">
        <v>36</v>
      </c>
      <c r="J322" s="18">
        <v>1.0</v>
      </c>
      <c r="K322" s="15"/>
      <c r="L322" s="15" t="s">
        <v>1029</v>
      </c>
      <c r="M322" s="15" t="s">
        <v>1030</v>
      </c>
      <c r="N322" s="15" t="s">
        <v>22</v>
      </c>
      <c r="O322" s="20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5" t="s">
        <v>14</v>
      </c>
      <c r="B323" s="15" t="s">
        <v>1025</v>
      </c>
      <c r="C323" s="36" t="s">
        <v>3595</v>
      </c>
      <c r="D323" s="15" t="s">
        <v>1026</v>
      </c>
      <c r="E323" s="15" t="s">
        <v>1027</v>
      </c>
      <c r="F323" s="15" t="s">
        <v>1028</v>
      </c>
      <c r="G323" s="15" t="s">
        <v>61</v>
      </c>
      <c r="H323" s="15" t="s">
        <v>1031</v>
      </c>
      <c r="I323" s="18">
        <v>1.0</v>
      </c>
      <c r="J323" s="18">
        <v>2.0</v>
      </c>
      <c r="K323" s="15"/>
      <c r="L323" s="15" t="s">
        <v>1029</v>
      </c>
      <c r="M323" s="15" t="s">
        <v>1030</v>
      </c>
      <c r="N323" s="15" t="s">
        <v>22</v>
      </c>
      <c r="O323" s="20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5" t="s">
        <v>14</v>
      </c>
      <c r="B324" s="15" t="s">
        <v>1025</v>
      </c>
      <c r="C324" s="36" t="s">
        <v>3595</v>
      </c>
      <c r="D324" s="15" t="s">
        <v>1026</v>
      </c>
      <c r="E324" s="15" t="s">
        <v>1027</v>
      </c>
      <c r="F324" s="15" t="s">
        <v>1028</v>
      </c>
      <c r="G324" s="15" t="s">
        <v>1032</v>
      </c>
      <c r="H324" s="15" t="s">
        <v>1033</v>
      </c>
      <c r="I324" s="18">
        <v>2.0</v>
      </c>
      <c r="J324" s="18">
        <v>3.0</v>
      </c>
      <c r="K324" s="15"/>
      <c r="L324" s="15" t="s">
        <v>1029</v>
      </c>
      <c r="M324" s="15" t="s">
        <v>1030</v>
      </c>
      <c r="N324" s="15" t="s">
        <v>22</v>
      </c>
      <c r="O324" s="20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3" t="s">
        <v>14</v>
      </c>
      <c r="B325" s="3" t="s">
        <v>1034</v>
      </c>
      <c r="C325" s="36" t="s">
        <v>3595</v>
      </c>
      <c r="D325" s="3" t="s">
        <v>1035</v>
      </c>
      <c r="E325" s="3" t="s">
        <v>1036</v>
      </c>
      <c r="F325" s="3" t="s">
        <v>1037</v>
      </c>
      <c r="G325" s="3" t="s">
        <v>61</v>
      </c>
      <c r="H325" s="3" t="s">
        <v>62</v>
      </c>
      <c r="I325" s="4">
        <v>1.0</v>
      </c>
      <c r="J325" s="4">
        <v>1.0</v>
      </c>
      <c r="K325" s="3"/>
      <c r="L325" s="3" t="s">
        <v>1038</v>
      </c>
      <c r="M325" s="3" t="s">
        <v>1039</v>
      </c>
      <c r="N325" s="3" t="s">
        <v>22</v>
      </c>
      <c r="O325" s="5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" t="s">
        <v>14</v>
      </c>
      <c r="B326" s="3" t="s">
        <v>1034</v>
      </c>
      <c r="C326" s="36" t="s">
        <v>3595</v>
      </c>
      <c r="D326" s="3" t="s">
        <v>1035</v>
      </c>
      <c r="E326" s="3" t="s">
        <v>1036</v>
      </c>
      <c r="F326" s="3" t="s">
        <v>1037</v>
      </c>
      <c r="G326" s="3" t="s">
        <v>1040</v>
      </c>
      <c r="H326" s="3" t="s">
        <v>1041</v>
      </c>
      <c r="I326" s="4">
        <v>2.0</v>
      </c>
      <c r="J326" s="4">
        <v>2.0</v>
      </c>
      <c r="K326" s="3"/>
      <c r="L326" s="3" t="s">
        <v>1038</v>
      </c>
      <c r="M326" s="3" t="s">
        <v>1039</v>
      </c>
      <c r="N326" s="3" t="s">
        <v>22</v>
      </c>
      <c r="O326" s="5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" t="s">
        <v>14</v>
      </c>
      <c r="B327" s="3" t="s">
        <v>797</v>
      </c>
      <c r="C327" s="33" t="s">
        <v>3610</v>
      </c>
      <c r="D327" s="3" t="s">
        <v>798</v>
      </c>
      <c r="E327" s="3" t="s">
        <v>797</v>
      </c>
      <c r="F327" s="3" t="s">
        <v>798</v>
      </c>
      <c r="G327" s="3" t="s">
        <v>797</v>
      </c>
      <c r="H327" s="3" t="s">
        <v>798</v>
      </c>
      <c r="I327" s="4">
        <v>1.0</v>
      </c>
      <c r="J327" s="4">
        <v>1.0</v>
      </c>
      <c r="K327" s="3"/>
      <c r="L327" s="3" t="s">
        <v>1042</v>
      </c>
      <c r="M327" s="3" t="s">
        <v>1043</v>
      </c>
      <c r="N327" s="3" t="s">
        <v>22</v>
      </c>
      <c r="O327" s="5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" t="s">
        <v>14</v>
      </c>
      <c r="B328" s="3" t="s">
        <v>1044</v>
      </c>
      <c r="C328" s="36" t="s">
        <v>3595</v>
      </c>
      <c r="D328" s="3" t="s">
        <v>1045</v>
      </c>
      <c r="E328" s="3" t="s">
        <v>1046</v>
      </c>
      <c r="F328" s="3" t="s">
        <v>1047</v>
      </c>
      <c r="G328" s="3" t="s">
        <v>1048</v>
      </c>
      <c r="H328" s="3" t="s">
        <v>890</v>
      </c>
      <c r="I328" s="4">
        <v>1.0</v>
      </c>
      <c r="J328" s="4">
        <v>1.0</v>
      </c>
      <c r="K328" s="3"/>
      <c r="L328" s="3" t="s">
        <v>1049</v>
      </c>
      <c r="M328" s="3" t="s">
        <v>1050</v>
      </c>
      <c r="N328" s="3" t="s">
        <v>22</v>
      </c>
      <c r="O328" s="5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" t="s">
        <v>14</v>
      </c>
      <c r="B329" s="3" t="s">
        <v>1044</v>
      </c>
      <c r="C329" s="36" t="s">
        <v>3595</v>
      </c>
      <c r="D329" s="3" t="s">
        <v>1045</v>
      </c>
      <c r="E329" s="3" t="s">
        <v>1046</v>
      </c>
      <c r="F329" s="3" t="s">
        <v>1047</v>
      </c>
      <c r="G329" s="3" t="s">
        <v>394</v>
      </c>
      <c r="H329" s="3" t="s">
        <v>1051</v>
      </c>
      <c r="I329" s="4">
        <v>2.0</v>
      </c>
      <c r="J329" s="4">
        <v>2.0</v>
      </c>
      <c r="K329" s="3"/>
      <c r="L329" s="3" t="s">
        <v>1049</v>
      </c>
      <c r="M329" s="3" t="s">
        <v>1050</v>
      </c>
      <c r="N329" s="3" t="s">
        <v>22</v>
      </c>
      <c r="O329" s="5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" t="s">
        <v>14</v>
      </c>
      <c r="B330" s="3" t="s">
        <v>1052</v>
      </c>
      <c r="C330" s="36" t="s">
        <v>3595</v>
      </c>
      <c r="D330" s="3" t="s">
        <v>1053</v>
      </c>
      <c r="E330" s="3" t="s">
        <v>1054</v>
      </c>
      <c r="F330" s="3" t="s">
        <v>1055</v>
      </c>
      <c r="G330" s="3" t="s">
        <v>1056</v>
      </c>
      <c r="H330" s="3" t="s">
        <v>1057</v>
      </c>
      <c r="I330" s="4">
        <v>1.0</v>
      </c>
      <c r="J330" s="4">
        <v>1.0</v>
      </c>
      <c r="K330" s="3"/>
      <c r="L330" s="3" t="s">
        <v>1058</v>
      </c>
      <c r="M330" s="3" t="s">
        <v>1059</v>
      </c>
      <c r="N330" s="3" t="s">
        <v>22</v>
      </c>
      <c r="O330" s="5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" t="s">
        <v>14</v>
      </c>
      <c r="B331" s="3" t="s">
        <v>1052</v>
      </c>
      <c r="C331" s="36" t="s">
        <v>3595</v>
      </c>
      <c r="D331" s="3" t="s">
        <v>1053</v>
      </c>
      <c r="E331" s="3" t="s">
        <v>1054</v>
      </c>
      <c r="F331" s="3" t="s">
        <v>1055</v>
      </c>
      <c r="G331" s="3" t="s">
        <v>1060</v>
      </c>
      <c r="H331" s="3" t="s">
        <v>1061</v>
      </c>
      <c r="I331" s="4">
        <v>2.0</v>
      </c>
      <c r="J331" s="4">
        <v>2.0</v>
      </c>
      <c r="K331" s="3"/>
      <c r="L331" s="3" t="s">
        <v>1058</v>
      </c>
      <c r="M331" s="3" t="s">
        <v>1059</v>
      </c>
      <c r="N331" s="3" t="s">
        <v>22</v>
      </c>
      <c r="O331" s="5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5" t="s">
        <v>14</v>
      </c>
      <c r="B332" s="15" t="s">
        <v>1062</v>
      </c>
      <c r="C332" s="36" t="s">
        <v>3595</v>
      </c>
      <c r="D332" s="15" t="s">
        <v>1063</v>
      </c>
      <c r="E332" s="15" t="s">
        <v>1064</v>
      </c>
      <c r="F332" s="15" t="s">
        <v>1063</v>
      </c>
      <c r="G332" s="15" t="s">
        <v>276</v>
      </c>
      <c r="H332" s="15" t="s">
        <v>1065</v>
      </c>
      <c r="I332" s="18">
        <v>1.0</v>
      </c>
      <c r="J332" s="18">
        <v>1.0</v>
      </c>
      <c r="K332" s="15"/>
      <c r="L332" s="15" t="s">
        <v>1066</v>
      </c>
      <c r="M332" s="15" t="s">
        <v>1067</v>
      </c>
      <c r="N332" s="15" t="s">
        <v>22</v>
      </c>
      <c r="O332" s="20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5" t="s">
        <v>14</v>
      </c>
      <c r="B333" s="15" t="s">
        <v>1062</v>
      </c>
      <c r="C333" s="36" t="s">
        <v>3595</v>
      </c>
      <c r="D333" s="15" t="s">
        <v>1063</v>
      </c>
      <c r="E333" s="15" t="s">
        <v>1064</v>
      </c>
      <c r="F333" s="15" t="s">
        <v>1063</v>
      </c>
      <c r="G333" s="15" t="s">
        <v>131</v>
      </c>
      <c r="H333" s="15" t="s">
        <v>131</v>
      </c>
      <c r="I333" s="18">
        <v>2.0</v>
      </c>
      <c r="J333" s="18">
        <v>2.0</v>
      </c>
      <c r="K333" s="15"/>
      <c r="L333" s="15" t="s">
        <v>1066</v>
      </c>
      <c r="M333" s="15" t="s">
        <v>1067</v>
      </c>
      <c r="N333" s="15" t="s">
        <v>22</v>
      </c>
      <c r="O333" s="20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3" t="s">
        <v>14</v>
      </c>
      <c r="B334" s="3" t="s">
        <v>1068</v>
      </c>
      <c r="C334" s="36" t="s">
        <v>3595</v>
      </c>
      <c r="D334" s="3" t="s">
        <v>1069</v>
      </c>
      <c r="E334" s="3" t="s">
        <v>1070</v>
      </c>
      <c r="F334" s="3" t="s">
        <v>1071</v>
      </c>
      <c r="G334" s="3" t="s">
        <v>744</v>
      </c>
      <c r="H334" s="3" t="s">
        <v>1072</v>
      </c>
      <c r="I334" s="4">
        <v>1.0</v>
      </c>
      <c r="J334" s="4">
        <v>1.0</v>
      </c>
      <c r="K334" s="3"/>
      <c r="L334" s="3" t="s">
        <v>1073</v>
      </c>
      <c r="M334" s="3" t="s">
        <v>1074</v>
      </c>
      <c r="N334" s="3" t="s">
        <v>22</v>
      </c>
      <c r="O334" s="5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" t="s">
        <v>14</v>
      </c>
      <c r="B335" s="3" t="s">
        <v>1068</v>
      </c>
      <c r="C335" s="36" t="s">
        <v>3595</v>
      </c>
      <c r="D335" s="3" t="s">
        <v>1069</v>
      </c>
      <c r="E335" s="3" t="s">
        <v>1070</v>
      </c>
      <c r="F335" s="3" t="s">
        <v>1071</v>
      </c>
      <c r="G335" s="3" t="s">
        <v>1075</v>
      </c>
      <c r="H335" s="3" t="s">
        <v>1076</v>
      </c>
      <c r="I335" s="4">
        <v>2.0</v>
      </c>
      <c r="J335" s="4">
        <v>2.0</v>
      </c>
      <c r="K335" s="3"/>
      <c r="L335" s="3" t="s">
        <v>1073</v>
      </c>
      <c r="M335" s="3" t="s">
        <v>1074</v>
      </c>
      <c r="N335" s="3" t="s">
        <v>22</v>
      </c>
      <c r="O335" s="5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5" t="s">
        <v>14</v>
      </c>
      <c r="B336" s="15" t="s">
        <v>947</v>
      </c>
      <c r="C336" s="33" t="s">
        <v>3610</v>
      </c>
      <c r="D336" s="15" t="s">
        <v>1077</v>
      </c>
      <c r="E336" s="15" t="s">
        <v>947</v>
      </c>
      <c r="F336" s="15" t="s">
        <v>1078</v>
      </c>
      <c r="G336" s="15" t="s">
        <v>36</v>
      </c>
      <c r="H336" s="15" t="s">
        <v>49</v>
      </c>
      <c r="I336" s="18" t="s">
        <v>36</v>
      </c>
      <c r="J336" s="18">
        <v>1.0</v>
      </c>
      <c r="K336" s="15" t="s">
        <v>80</v>
      </c>
      <c r="L336" s="15" t="s">
        <v>1079</v>
      </c>
      <c r="M336" s="15" t="s">
        <v>1080</v>
      </c>
      <c r="N336" s="15" t="s">
        <v>22</v>
      </c>
      <c r="O336" s="20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5" t="s">
        <v>14</v>
      </c>
      <c r="B337" s="15" t="s">
        <v>947</v>
      </c>
      <c r="C337" s="33" t="s">
        <v>3610</v>
      </c>
      <c r="D337" s="15" t="s">
        <v>1077</v>
      </c>
      <c r="E337" s="15" t="s">
        <v>947</v>
      </c>
      <c r="F337" s="15" t="s">
        <v>1078</v>
      </c>
      <c r="G337" s="15" t="s">
        <v>947</v>
      </c>
      <c r="H337" s="15" t="s">
        <v>1081</v>
      </c>
      <c r="I337" s="18">
        <v>1.0</v>
      </c>
      <c r="J337" s="18">
        <v>2.0</v>
      </c>
      <c r="K337" s="15"/>
      <c r="L337" s="15" t="s">
        <v>1079</v>
      </c>
      <c r="M337" s="15" t="s">
        <v>1080</v>
      </c>
      <c r="N337" s="15" t="s">
        <v>22</v>
      </c>
      <c r="O337" s="20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3" t="s">
        <v>14</v>
      </c>
      <c r="B338" s="3" t="s">
        <v>1082</v>
      </c>
      <c r="C338" s="36" t="s">
        <v>3595</v>
      </c>
      <c r="D338" s="3" t="s">
        <v>1083</v>
      </c>
      <c r="E338" s="3" t="s">
        <v>1084</v>
      </c>
      <c r="F338" s="3" t="s">
        <v>1085</v>
      </c>
      <c r="G338" s="3" t="s">
        <v>349</v>
      </c>
      <c r="H338" s="3" t="s">
        <v>1086</v>
      </c>
      <c r="I338" s="4">
        <v>1.0</v>
      </c>
      <c r="J338" s="4">
        <v>1.0</v>
      </c>
      <c r="K338" s="3"/>
      <c r="L338" s="3" t="s">
        <v>1087</v>
      </c>
      <c r="M338" s="3" t="s">
        <v>1088</v>
      </c>
      <c r="N338" s="3" t="s">
        <v>22</v>
      </c>
      <c r="O338" s="5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" t="s">
        <v>14</v>
      </c>
      <c r="B339" s="3" t="s">
        <v>1082</v>
      </c>
      <c r="C339" s="36" t="s">
        <v>3595</v>
      </c>
      <c r="D339" s="3" t="s">
        <v>1083</v>
      </c>
      <c r="E339" s="3" t="s">
        <v>1084</v>
      </c>
      <c r="F339" s="3" t="s">
        <v>1085</v>
      </c>
      <c r="G339" s="3" t="s">
        <v>214</v>
      </c>
      <c r="H339" s="3" t="s">
        <v>1089</v>
      </c>
      <c r="I339" s="4">
        <v>2.0</v>
      </c>
      <c r="J339" s="4">
        <v>2.0</v>
      </c>
      <c r="K339" s="3"/>
      <c r="L339" s="3" t="s">
        <v>1087</v>
      </c>
      <c r="M339" s="3" t="s">
        <v>1088</v>
      </c>
      <c r="N339" s="3" t="s">
        <v>22</v>
      </c>
      <c r="O339" s="5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5" t="s">
        <v>14</v>
      </c>
      <c r="B340" s="15" t="s">
        <v>1090</v>
      </c>
      <c r="C340" s="33" t="s">
        <v>3596</v>
      </c>
      <c r="D340" s="15" t="s">
        <v>1091</v>
      </c>
      <c r="E340" s="15" t="s">
        <v>1090</v>
      </c>
      <c r="F340" s="15" t="s">
        <v>1092</v>
      </c>
      <c r="G340" s="15"/>
      <c r="H340" s="15"/>
      <c r="I340" s="18"/>
      <c r="J340" s="18"/>
      <c r="K340" s="15"/>
      <c r="L340" s="15" t="s">
        <v>1093</v>
      </c>
      <c r="M340" s="15" t="s">
        <v>1094</v>
      </c>
      <c r="N340" s="15" t="s">
        <v>22</v>
      </c>
      <c r="O340" s="15" t="s">
        <v>560</v>
      </c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3" t="s">
        <v>14</v>
      </c>
      <c r="B341" s="3" t="s">
        <v>1095</v>
      </c>
      <c r="C341" s="36" t="s">
        <v>3595</v>
      </c>
      <c r="D341" s="3" t="s">
        <v>1096</v>
      </c>
      <c r="E341" s="3" t="s">
        <v>1097</v>
      </c>
      <c r="F341" s="3" t="s">
        <v>1098</v>
      </c>
      <c r="G341" s="3" t="s">
        <v>599</v>
      </c>
      <c r="H341" s="3" t="s">
        <v>1099</v>
      </c>
      <c r="I341" s="4">
        <v>1.0</v>
      </c>
      <c r="J341" s="4">
        <v>1.0</v>
      </c>
      <c r="K341" s="3"/>
      <c r="L341" s="3" t="s">
        <v>1100</v>
      </c>
      <c r="M341" s="3" t="s">
        <v>1101</v>
      </c>
      <c r="N341" s="3" t="s">
        <v>22</v>
      </c>
      <c r="O341" s="5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" t="s">
        <v>14</v>
      </c>
      <c r="B342" s="3" t="s">
        <v>1095</v>
      </c>
      <c r="C342" s="36" t="s">
        <v>3595</v>
      </c>
      <c r="D342" s="3" t="s">
        <v>1096</v>
      </c>
      <c r="E342" s="3" t="s">
        <v>1097</v>
      </c>
      <c r="F342" s="3" t="s">
        <v>1098</v>
      </c>
      <c r="G342" s="3" t="s">
        <v>995</v>
      </c>
      <c r="H342" s="3" t="s">
        <v>996</v>
      </c>
      <c r="I342" s="4">
        <v>2.0</v>
      </c>
      <c r="J342" s="4">
        <v>2.0</v>
      </c>
      <c r="K342" s="3"/>
      <c r="L342" s="3" t="s">
        <v>1100</v>
      </c>
      <c r="M342" s="3" t="s">
        <v>1101</v>
      </c>
      <c r="N342" s="3" t="s">
        <v>22</v>
      </c>
      <c r="O342" s="5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" t="s">
        <v>14</v>
      </c>
      <c r="B343" s="3" t="s">
        <v>1102</v>
      </c>
      <c r="C343" s="36" t="s">
        <v>3595</v>
      </c>
      <c r="D343" s="3" t="s">
        <v>1103</v>
      </c>
      <c r="E343" s="3" t="s">
        <v>1104</v>
      </c>
      <c r="F343" s="3" t="s">
        <v>1105</v>
      </c>
      <c r="G343" s="3" t="s">
        <v>143</v>
      </c>
      <c r="H343" s="3" t="s">
        <v>1106</v>
      </c>
      <c r="I343" s="4">
        <v>1.0</v>
      </c>
      <c r="J343" s="4">
        <v>1.0</v>
      </c>
      <c r="K343" s="3"/>
      <c r="L343" s="3" t="s">
        <v>1107</v>
      </c>
      <c r="M343" s="3" t="s">
        <v>1108</v>
      </c>
      <c r="N343" s="3" t="s">
        <v>22</v>
      </c>
      <c r="O343" s="5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" t="s">
        <v>14</v>
      </c>
      <c r="B344" s="3" t="s">
        <v>1102</v>
      </c>
      <c r="C344" s="36" t="s">
        <v>3595</v>
      </c>
      <c r="D344" s="3" t="s">
        <v>1103</v>
      </c>
      <c r="E344" s="3" t="s">
        <v>1104</v>
      </c>
      <c r="F344" s="3" t="s">
        <v>1105</v>
      </c>
      <c r="G344" s="3" t="s">
        <v>131</v>
      </c>
      <c r="H344" s="3" t="s">
        <v>132</v>
      </c>
      <c r="I344" s="4">
        <v>2.0</v>
      </c>
      <c r="J344" s="4">
        <v>2.0</v>
      </c>
      <c r="K344" s="3"/>
      <c r="L344" s="3" t="s">
        <v>1107</v>
      </c>
      <c r="M344" s="3" t="s">
        <v>1108</v>
      </c>
      <c r="N344" s="3" t="s">
        <v>22</v>
      </c>
      <c r="O344" s="5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5" t="s">
        <v>14</v>
      </c>
      <c r="B345" s="15" t="s">
        <v>1109</v>
      </c>
      <c r="C345" s="36" t="s">
        <v>3605</v>
      </c>
      <c r="D345" s="15" t="s">
        <v>1110</v>
      </c>
      <c r="E345" s="15" t="s">
        <v>1111</v>
      </c>
      <c r="F345" s="15" t="s">
        <v>1112</v>
      </c>
      <c r="G345" s="15" t="s">
        <v>36</v>
      </c>
      <c r="H345" s="15" t="s">
        <v>1113</v>
      </c>
      <c r="I345" s="18" t="s">
        <v>36</v>
      </c>
      <c r="J345" s="18">
        <v>1.0</v>
      </c>
      <c r="K345" s="15" t="s">
        <v>80</v>
      </c>
      <c r="L345" s="15" t="s">
        <v>1114</v>
      </c>
      <c r="M345" s="15" t="s">
        <v>1115</v>
      </c>
      <c r="N345" s="15" t="s">
        <v>22</v>
      </c>
      <c r="O345" s="20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5" t="s">
        <v>14</v>
      </c>
      <c r="B346" s="15" t="s">
        <v>1109</v>
      </c>
      <c r="C346" s="36" t="s">
        <v>3605</v>
      </c>
      <c r="D346" s="15" t="s">
        <v>1110</v>
      </c>
      <c r="E346" s="15" t="s">
        <v>1111</v>
      </c>
      <c r="F346" s="15" t="s">
        <v>1112</v>
      </c>
      <c r="G346" s="15" t="s">
        <v>143</v>
      </c>
      <c r="H346" s="15" t="s">
        <v>1116</v>
      </c>
      <c r="I346" s="18">
        <v>1.0</v>
      </c>
      <c r="J346" s="18">
        <v>2.0</v>
      </c>
      <c r="K346" s="15"/>
      <c r="L346" s="15" t="s">
        <v>1114</v>
      </c>
      <c r="M346" s="15" t="s">
        <v>1115</v>
      </c>
      <c r="N346" s="15" t="s">
        <v>22</v>
      </c>
      <c r="O346" s="20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5" t="s">
        <v>14</v>
      </c>
      <c r="B347" s="15" t="s">
        <v>1109</v>
      </c>
      <c r="C347" s="36" t="s">
        <v>3605</v>
      </c>
      <c r="D347" s="15" t="s">
        <v>1110</v>
      </c>
      <c r="E347" s="15" t="s">
        <v>1111</v>
      </c>
      <c r="F347" s="15" t="s">
        <v>1112</v>
      </c>
      <c r="G347" s="15" t="s">
        <v>481</v>
      </c>
      <c r="H347" s="15" t="s">
        <v>1117</v>
      </c>
      <c r="I347" s="18">
        <v>2.0</v>
      </c>
      <c r="J347" s="18">
        <v>3.0</v>
      </c>
      <c r="K347" s="15"/>
      <c r="L347" s="15" t="s">
        <v>1114</v>
      </c>
      <c r="M347" s="15" t="s">
        <v>1115</v>
      </c>
      <c r="N347" s="15" t="s">
        <v>22</v>
      </c>
      <c r="O347" s="20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3" t="s">
        <v>14</v>
      </c>
      <c r="B348" s="3" t="s">
        <v>1118</v>
      </c>
      <c r="C348" s="33" t="s">
        <v>3610</v>
      </c>
      <c r="D348" s="3" t="s">
        <v>1119</v>
      </c>
      <c r="E348" s="3" t="s">
        <v>1118</v>
      </c>
      <c r="F348" s="3" t="s">
        <v>1119</v>
      </c>
      <c r="G348" s="3" t="s">
        <v>1118</v>
      </c>
      <c r="H348" s="3" t="s">
        <v>1119</v>
      </c>
      <c r="I348" s="4">
        <v>1.0</v>
      </c>
      <c r="J348" s="4">
        <v>1.0</v>
      </c>
      <c r="K348" s="3"/>
      <c r="L348" s="3" t="s">
        <v>1120</v>
      </c>
      <c r="M348" s="3" t="s">
        <v>1121</v>
      </c>
      <c r="N348" s="3" t="s">
        <v>22</v>
      </c>
      <c r="O348" s="5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" t="s">
        <v>14</v>
      </c>
      <c r="B349" s="3" t="s">
        <v>1122</v>
      </c>
      <c r="C349" s="36" t="s">
        <v>3595</v>
      </c>
      <c r="D349" s="3" t="s">
        <v>1123</v>
      </c>
      <c r="E349" s="3" t="s">
        <v>1124</v>
      </c>
      <c r="F349" s="3" t="s">
        <v>1125</v>
      </c>
      <c r="G349" s="3" t="s">
        <v>1126</v>
      </c>
      <c r="H349" s="3" t="s">
        <v>1126</v>
      </c>
      <c r="I349" s="4">
        <v>1.0</v>
      </c>
      <c r="J349" s="4">
        <v>1.0</v>
      </c>
      <c r="K349" s="3"/>
      <c r="L349" s="3" t="s">
        <v>1127</v>
      </c>
      <c r="M349" s="3" t="s">
        <v>1128</v>
      </c>
      <c r="N349" s="3" t="s">
        <v>22</v>
      </c>
      <c r="O349" s="5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" t="s">
        <v>14</v>
      </c>
      <c r="B350" s="3" t="s">
        <v>1122</v>
      </c>
      <c r="C350" s="36" t="s">
        <v>3595</v>
      </c>
      <c r="D350" s="3" t="s">
        <v>1123</v>
      </c>
      <c r="E350" s="3" t="s">
        <v>1124</v>
      </c>
      <c r="F350" s="3" t="s">
        <v>1125</v>
      </c>
      <c r="G350" s="3" t="s">
        <v>1032</v>
      </c>
      <c r="H350" s="3" t="s">
        <v>1129</v>
      </c>
      <c r="I350" s="4">
        <v>2.0</v>
      </c>
      <c r="J350" s="4">
        <v>2.0</v>
      </c>
      <c r="K350" s="3"/>
      <c r="L350" s="3" t="s">
        <v>1127</v>
      </c>
      <c r="M350" s="3" t="s">
        <v>1128</v>
      </c>
      <c r="N350" s="3" t="s">
        <v>22</v>
      </c>
      <c r="O350" s="5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" t="s">
        <v>14</v>
      </c>
      <c r="B351" s="3" t="s">
        <v>1130</v>
      </c>
      <c r="C351" s="36" t="s">
        <v>3595</v>
      </c>
      <c r="D351" s="3" t="s">
        <v>1131</v>
      </c>
      <c r="E351" s="3" t="s">
        <v>1132</v>
      </c>
      <c r="F351" s="3" t="s">
        <v>1133</v>
      </c>
      <c r="G351" s="3" t="s">
        <v>1134</v>
      </c>
      <c r="H351" s="3" t="s">
        <v>334</v>
      </c>
      <c r="I351" s="4">
        <v>1.0</v>
      </c>
      <c r="J351" s="4">
        <v>1.0</v>
      </c>
      <c r="K351" s="3" t="s">
        <v>80</v>
      </c>
      <c r="L351" s="3" t="s">
        <v>1135</v>
      </c>
      <c r="M351" s="3" t="s">
        <v>1136</v>
      </c>
      <c r="N351" s="3" t="s">
        <v>22</v>
      </c>
      <c r="O351" s="5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" t="s">
        <v>14</v>
      </c>
      <c r="B352" s="3" t="s">
        <v>1130</v>
      </c>
      <c r="C352" s="36" t="s">
        <v>3595</v>
      </c>
      <c r="D352" s="3" t="s">
        <v>1131</v>
      </c>
      <c r="E352" s="3" t="s">
        <v>1132</v>
      </c>
      <c r="F352" s="3" t="s">
        <v>1133</v>
      </c>
      <c r="G352" s="3" t="s">
        <v>36</v>
      </c>
      <c r="H352" s="3" t="s">
        <v>1137</v>
      </c>
      <c r="I352" s="4" t="s">
        <v>36</v>
      </c>
      <c r="J352" s="4">
        <v>2.0</v>
      </c>
      <c r="K352" s="3"/>
      <c r="L352" s="3" t="s">
        <v>1135</v>
      </c>
      <c r="M352" s="3" t="s">
        <v>1136</v>
      </c>
      <c r="N352" s="3" t="s">
        <v>22</v>
      </c>
      <c r="O352" s="5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" t="s">
        <v>14</v>
      </c>
      <c r="B353" s="3" t="s">
        <v>1130</v>
      </c>
      <c r="C353" s="36" t="s">
        <v>3595</v>
      </c>
      <c r="D353" s="3" t="s">
        <v>1131</v>
      </c>
      <c r="E353" s="3" t="s">
        <v>1132</v>
      </c>
      <c r="F353" s="3" t="s">
        <v>1133</v>
      </c>
      <c r="G353" s="3" t="s">
        <v>1040</v>
      </c>
      <c r="H353" s="3" t="s">
        <v>1041</v>
      </c>
      <c r="I353" s="4">
        <v>2.0</v>
      </c>
      <c r="J353" s="4">
        <v>3.0</v>
      </c>
      <c r="K353" s="3"/>
      <c r="L353" s="3" t="s">
        <v>1135</v>
      </c>
      <c r="M353" s="3" t="s">
        <v>1136</v>
      </c>
      <c r="N353" s="3" t="s">
        <v>22</v>
      </c>
      <c r="O353" s="5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" t="s">
        <v>14</v>
      </c>
      <c r="B354" s="3" t="s">
        <v>1138</v>
      </c>
      <c r="C354" s="36" t="s">
        <v>3595</v>
      </c>
      <c r="D354" s="3" t="s">
        <v>1139</v>
      </c>
      <c r="E354" s="3" t="s">
        <v>1140</v>
      </c>
      <c r="F354" s="3" t="s">
        <v>1141</v>
      </c>
      <c r="G354" s="3" t="s">
        <v>172</v>
      </c>
      <c r="H354" s="3" t="s">
        <v>1142</v>
      </c>
      <c r="I354" s="4">
        <v>1.0</v>
      </c>
      <c r="J354" s="4">
        <v>1.0</v>
      </c>
      <c r="K354" s="3"/>
      <c r="L354" s="3" t="s">
        <v>1143</v>
      </c>
      <c r="M354" s="3" t="s">
        <v>1144</v>
      </c>
      <c r="N354" s="3" t="s">
        <v>22</v>
      </c>
      <c r="O354" s="5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" t="s">
        <v>14</v>
      </c>
      <c r="B355" s="3" t="s">
        <v>1138</v>
      </c>
      <c r="C355" s="36" t="s">
        <v>3595</v>
      </c>
      <c r="D355" s="3" t="s">
        <v>1139</v>
      </c>
      <c r="E355" s="3" t="s">
        <v>1140</v>
      </c>
      <c r="F355" s="3" t="s">
        <v>1141</v>
      </c>
      <c r="G355" s="3" t="s">
        <v>918</v>
      </c>
      <c r="H355" s="3" t="s">
        <v>1145</v>
      </c>
      <c r="I355" s="4">
        <v>2.0</v>
      </c>
      <c r="J355" s="4">
        <v>2.0</v>
      </c>
      <c r="K355" s="3"/>
      <c r="L355" s="3" t="s">
        <v>1143</v>
      </c>
      <c r="M355" s="3" t="s">
        <v>1144</v>
      </c>
      <c r="N355" s="3" t="s">
        <v>22</v>
      </c>
      <c r="O355" s="5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" t="s">
        <v>14</v>
      </c>
      <c r="B356" s="3" t="s">
        <v>1146</v>
      </c>
      <c r="C356" s="33" t="s">
        <v>3610</v>
      </c>
      <c r="D356" s="3" t="s">
        <v>1147</v>
      </c>
      <c r="E356" s="3" t="s">
        <v>1148</v>
      </c>
      <c r="F356" s="3" t="s">
        <v>1149</v>
      </c>
      <c r="G356" s="3" t="s">
        <v>1148</v>
      </c>
      <c r="H356" s="3" t="s">
        <v>79</v>
      </c>
      <c r="I356" s="4">
        <v>1.0</v>
      </c>
      <c r="J356" s="4">
        <v>1.0</v>
      </c>
      <c r="K356" s="3" t="s">
        <v>80</v>
      </c>
      <c r="L356" s="3" t="s">
        <v>1150</v>
      </c>
      <c r="M356" s="3" t="s">
        <v>1151</v>
      </c>
      <c r="N356" s="3" t="s">
        <v>22</v>
      </c>
      <c r="O356" s="5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" t="s">
        <v>14</v>
      </c>
      <c r="B357" s="3" t="s">
        <v>1146</v>
      </c>
      <c r="C357" s="33" t="s">
        <v>3610</v>
      </c>
      <c r="D357" s="3" t="s">
        <v>1147</v>
      </c>
      <c r="E357" s="3" t="s">
        <v>1148</v>
      </c>
      <c r="F357" s="3" t="s">
        <v>1149</v>
      </c>
      <c r="G357" s="3" t="s">
        <v>36</v>
      </c>
      <c r="H357" s="3" t="s">
        <v>1152</v>
      </c>
      <c r="I357" s="4" t="s">
        <v>36</v>
      </c>
      <c r="J357" s="4">
        <v>2.0</v>
      </c>
      <c r="K357" s="3"/>
      <c r="L357" s="3" t="s">
        <v>1150</v>
      </c>
      <c r="M357" s="3" t="s">
        <v>1151</v>
      </c>
      <c r="N357" s="3" t="s">
        <v>22</v>
      </c>
      <c r="O357" s="5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5" t="s">
        <v>14</v>
      </c>
      <c r="B358" s="15" t="s">
        <v>1153</v>
      </c>
      <c r="C358" s="33" t="s">
        <v>3601</v>
      </c>
      <c r="D358" s="15" t="s">
        <v>1154</v>
      </c>
      <c r="E358" s="15" t="s">
        <v>1155</v>
      </c>
      <c r="F358" s="15" t="s">
        <v>1156</v>
      </c>
      <c r="G358" s="15"/>
      <c r="H358" s="15"/>
      <c r="I358" s="18"/>
      <c r="J358" s="18"/>
      <c r="K358" s="15"/>
      <c r="L358" s="15" t="s">
        <v>1157</v>
      </c>
      <c r="M358" s="15" t="s">
        <v>1158</v>
      </c>
      <c r="N358" s="15" t="s">
        <v>22</v>
      </c>
      <c r="O358" s="15" t="s">
        <v>560</v>
      </c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3" t="s">
        <v>14</v>
      </c>
      <c r="B359" s="3" t="s">
        <v>1159</v>
      </c>
      <c r="C359" s="36" t="s">
        <v>3595</v>
      </c>
      <c r="D359" s="3" t="s">
        <v>1160</v>
      </c>
      <c r="E359" s="3" t="s">
        <v>1161</v>
      </c>
      <c r="F359" s="3" t="s">
        <v>1162</v>
      </c>
      <c r="G359" s="3" t="s">
        <v>1163</v>
      </c>
      <c r="H359" s="3" t="s">
        <v>1164</v>
      </c>
      <c r="I359" s="4">
        <v>1.0</v>
      </c>
      <c r="J359" s="4">
        <v>1.0</v>
      </c>
      <c r="K359" s="3"/>
      <c r="L359" s="3" t="s">
        <v>1165</v>
      </c>
      <c r="M359" s="3" t="s">
        <v>1166</v>
      </c>
      <c r="N359" s="3" t="s">
        <v>22</v>
      </c>
      <c r="O359" s="5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" t="s">
        <v>14</v>
      </c>
      <c r="B360" s="3" t="s">
        <v>1159</v>
      </c>
      <c r="C360" s="36" t="s">
        <v>3595</v>
      </c>
      <c r="D360" s="3" t="s">
        <v>1160</v>
      </c>
      <c r="E360" s="3" t="s">
        <v>1161</v>
      </c>
      <c r="F360" s="3" t="s">
        <v>1162</v>
      </c>
      <c r="G360" s="3" t="s">
        <v>1075</v>
      </c>
      <c r="H360" s="3" t="s">
        <v>1076</v>
      </c>
      <c r="I360" s="4">
        <v>2.0</v>
      </c>
      <c r="J360" s="4">
        <v>2.0</v>
      </c>
      <c r="K360" s="3"/>
      <c r="L360" s="3" t="s">
        <v>1165</v>
      </c>
      <c r="M360" s="3" t="s">
        <v>1166</v>
      </c>
      <c r="N360" s="3" t="s">
        <v>22</v>
      </c>
      <c r="O360" s="5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5" t="s">
        <v>14</v>
      </c>
      <c r="B361" s="15" t="s">
        <v>1167</v>
      </c>
      <c r="C361" s="36" t="s">
        <v>3595</v>
      </c>
      <c r="D361" s="15" t="s">
        <v>1168</v>
      </c>
      <c r="E361" s="15" t="s">
        <v>1169</v>
      </c>
      <c r="F361" s="15" t="s">
        <v>1170</v>
      </c>
      <c r="G361" s="15" t="s">
        <v>575</v>
      </c>
      <c r="H361" s="15" t="s">
        <v>739</v>
      </c>
      <c r="I361" s="18">
        <v>1.0</v>
      </c>
      <c r="J361" s="18">
        <v>1.0</v>
      </c>
      <c r="K361" s="15" t="s">
        <v>80</v>
      </c>
      <c r="L361" s="15" t="s">
        <v>1171</v>
      </c>
      <c r="M361" s="15" t="s">
        <v>1172</v>
      </c>
      <c r="N361" s="15" t="s">
        <v>22</v>
      </c>
      <c r="O361" s="20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5" t="s">
        <v>14</v>
      </c>
      <c r="B362" s="15" t="s">
        <v>1167</v>
      </c>
      <c r="C362" s="36" t="s">
        <v>3595</v>
      </c>
      <c r="D362" s="15" t="s">
        <v>1168</v>
      </c>
      <c r="E362" s="15" t="s">
        <v>1169</v>
      </c>
      <c r="F362" s="15" t="s">
        <v>1170</v>
      </c>
      <c r="G362" s="15" t="s">
        <v>1060</v>
      </c>
      <c r="H362" s="15" t="s">
        <v>1061</v>
      </c>
      <c r="I362" s="18">
        <v>2.0</v>
      </c>
      <c r="J362" s="18">
        <v>2.0</v>
      </c>
      <c r="K362" s="15"/>
      <c r="L362" s="15" t="s">
        <v>1173</v>
      </c>
      <c r="M362" s="15" t="s">
        <v>1172</v>
      </c>
      <c r="N362" s="15" t="s">
        <v>22</v>
      </c>
      <c r="O362" s="20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3" t="s">
        <v>14</v>
      </c>
      <c r="B363" s="3" t="s">
        <v>1174</v>
      </c>
      <c r="C363" s="36" t="s">
        <v>3595</v>
      </c>
      <c r="D363" s="3" t="s">
        <v>1175</v>
      </c>
      <c r="E363" s="3" t="s">
        <v>1176</v>
      </c>
      <c r="F363" s="3" t="s">
        <v>1177</v>
      </c>
      <c r="G363" s="3" t="s">
        <v>88</v>
      </c>
      <c r="H363" s="3" t="s">
        <v>908</v>
      </c>
      <c r="I363" s="4">
        <v>1.0</v>
      </c>
      <c r="J363" s="4">
        <v>1.0</v>
      </c>
      <c r="K363" s="3"/>
      <c r="L363" s="3" t="s">
        <v>1178</v>
      </c>
      <c r="M363" s="3" t="s">
        <v>1179</v>
      </c>
      <c r="N363" s="3" t="s">
        <v>22</v>
      </c>
      <c r="O363" s="5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" t="s">
        <v>14</v>
      </c>
      <c r="B364" s="3" t="s">
        <v>1174</v>
      </c>
      <c r="C364" s="36" t="s">
        <v>3595</v>
      </c>
      <c r="D364" s="3" t="s">
        <v>1175</v>
      </c>
      <c r="E364" s="3" t="s">
        <v>1176</v>
      </c>
      <c r="F364" s="3" t="s">
        <v>1177</v>
      </c>
      <c r="G364" s="3" t="s">
        <v>1180</v>
      </c>
      <c r="H364" s="3" t="s">
        <v>1181</v>
      </c>
      <c r="I364" s="4">
        <v>2.0</v>
      </c>
      <c r="J364" s="4">
        <v>2.0</v>
      </c>
      <c r="K364" s="3"/>
      <c r="L364" s="3" t="s">
        <v>1178</v>
      </c>
      <c r="M364" s="3" t="s">
        <v>1179</v>
      </c>
      <c r="N364" s="3" t="s">
        <v>22</v>
      </c>
      <c r="O364" s="5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" t="s">
        <v>14</v>
      </c>
      <c r="B365" s="3" t="s">
        <v>1182</v>
      </c>
      <c r="C365" s="36" t="s">
        <v>3595</v>
      </c>
      <c r="D365" s="3" t="s">
        <v>1183</v>
      </c>
      <c r="E365" s="3" t="s">
        <v>1184</v>
      </c>
      <c r="F365" s="3" t="s">
        <v>1185</v>
      </c>
      <c r="G365" s="3" t="s">
        <v>1186</v>
      </c>
      <c r="H365" s="3" t="s">
        <v>1186</v>
      </c>
      <c r="I365" s="4">
        <v>1.0</v>
      </c>
      <c r="J365" s="4">
        <v>1.0</v>
      </c>
      <c r="K365" s="3"/>
      <c r="L365" s="3" t="s">
        <v>1187</v>
      </c>
      <c r="M365" s="3" t="s">
        <v>1188</v>
      </c>
      <c r="N365" s="3" t="s">
        <v>22</v>
      </c>
      <c r="O365" s="5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" t="s">
        <v>14</v>
      </c>
      <c r="B366" s="3" t="s">
        <v>1182</v>
      </c>
      <c r="C366" s="36" t="s">
        <v>3595</v>
      </c>
      <c r="D366" s="3" t="s">
        <v>1183</v>
      </c>
      <c r="E366" s="3" t="s">
        <v>1184</v>
      </c>
      <c r="F366" s="3" t="s">
        <v>1185</v>
      </c>
      <c r="G366" s="3" t="s">
        <v>131</v>
      </c>
      <c r="H366" s="3" t="s">
        <v>132</v>
      </c>
      <c r="I366" s="4">
        <v>2.0</v>
      </c>
      <c r="J366" s="4">
        <v>2.0</v>
      </c>
      <c r="K366" s="3"/>
      <c r="L366" s="3" t="s">
        <v>1187</v>
      </c>
      <c r="M366" s="3" t="s">
        <v>1188</v>
      </c>
      <c r="N366" s="3" t="s">
        <v>22</v>
      </c>
      <c r="O366" s="5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5" t="s">
        <v>14</v>
      </c>
      <c r="B367" s="15" t="s">
        <v>1189</v>
      </c>
      <c r="C367" s="36" t="s">
        <v>3595</v>
      </c>
      <c r="D367" s="15" t="s">
        <v>1190</v>
      </c>
      <c r="E367" s="15" t="s">
        <v>1191</v>
      </c>
      <c r="F367" s="15" t="s">
        <v>1192</v>
      </c>
      <c r="G367" s="15" t="s">
        <v>36</v>
      </c>
      <c r="H367" s="15" t="s">
        <v>301</v>
      </c>
      <c r="I367" s="18" t="s">
        <v>36</v>
      </c>
      <c r="J367" s="18">
        <v>1.0</v>
      </c>
      <c r="K367" s="15" t="s">
        <v>80</v>
      </c>
      <c r="L367" s="15" t="s">
        <v>1193</v>
      </c>
      <c r="M367" s="15" t="s">
        <v>1194</v>
      </c>
      <c r="N367" s="15" t="s">
        <v>22</v>
      </c>
      <c r="O367" s="20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5" t="s">
        <v>14</v>
      </c>
      <c r="B368" s="15" t="s">
        <v>1189</v>
      </c>
      <c r="C368" s="36" t="s">
        <v>3595</v>
      </c>
      <c r="D368" s="15" t="s">
        <v>1190</v>
      </c>
      <c r="E368" s="15" t="s">
        <v>1191</v>
      </c>
      <c r="F368" s="15" t="s">
        <v>1192</v>
      </c>
      <c r="G368" s="15" t="s">
        <v>88</v>
      </c>
      <c r="H368" s="15" t="s">
        <v>1195</v>
      </c>
      <c r="I368" s="18">
        <v>1.0</v>
      </c>
      <c r="J368" s="18">
        <v>2.0</v>
      </c>
      <c r="K368" s="15"/>
      <c r="L368" s="15" t="s">
        <v>1193</v>
      </c>
      <c r="M368" s="15" t="s">
        <v>1194</v>
      </c>
      <c r="N368" s="15" t="s">
        <v>22</v>
      </c>
      <c r="O368" s="20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5" t="s">
        <v>14</v>
      </c>
      <c r="B369" s="15" t="s">
        <v>1189</v>
      </c>
      <c r="C369" s="36" t="s">
        <v>3595</v>
      </c>
      <c r="D369" s="15" t="s">
        <v>1190</v>
      </c>
      <c r="E369" s="15" t="s">
        <v>1191</v>
      </c>
      <c r="F369" s="15" t="s">
        <v>1192</v>
      </c>
      <c r="G369" s="15" t="s">
        <v>629</v>
      </c>
      <c r="H369" s="15" t="s">
        <v>630</v>
      </c>
      <c r="I369" s="18">
        <v>2.0</v>
      </c>
      <c r="J369" s="18">
        <v>3.0</v>
      </c>
      <c r="K369" s="15"/>
      <c r="L369" s="15" t="s">
        <v>1193</v>
      </c>
      <c r="M369" s="15" t="s">
        <v>1194</v>
      </c>
      <c r="N369" s="15" t="s">
        <v>22</v>
      </c>
      <c r="O369" s="20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3" t="s">
        <v>14</v>
      </c>
      <c r="B370" s="3" t="s">
        <v>1196</v>
      </c>
      <c r="C370" s="36" t="s">
        <v>3595</v>
      </c>
      <c r="D370" s="3" t="s">
        <v>1197</v>
      </c>
      <c r="E370" s="3" t="s">
        <v>1198</v>
      </c>
      <c r="F370" s="3" t="s">
        <v>1199</v>
      </c>
      <c r="G370" s="3" t="s">
        <v>1200</v>
      </c>
      <c r="H370" s="3" t="s">
        <v>1201</v>
      </c>
      <c r="I370" s="4">
        <v>1.0</v>
      </c>
      <c r="J370" s="4">
        <v>1.0</v>
      </c>
      <c r="K370" s="3"/>
      <c r="L370" s="3" t="s">
        <v>1202</v>
      </c>
      <c r="M370" s="3" t="s">
        <v>1203</v>
      </c>
      <c r="N370" s="3" t="s">
        <v>22</v>
      </c>
      <c r="O370" s="5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" t="s">
        <v>14</v>
      </c>
      <c r="B371" s="3" t="s">
        <v>1196</v>
      </c>
      <c r="C371" s="36" t="s">
        <v>3595</v>
      </c>
      <c r="D371" s="3" t="s">
        <v>1197</v>
      </c>
      <c r="E371" s="3" t="s">
        <v>1198</v>
      </c>
      <c r="F371" s="3" t="s">
        <v>1199</v>
      </c>
      <c r="G371" s="3" t="s">
        <v>629</v>
      </c>
      <c r="H371" s="3" t="s">
        <v>630</v>
      </c>
      <c r="I371" s="4">
        <v>2.0</v>
      </c>
      <c r="J371" s="4">
        <v>2.0</v>
      </c>
      <c r="K371" s="3"/>
      <c r="L371" s="3" t="s">
        <v>1202</v>
      </c>
      <c r="M371" s="3" t="s">
        <v>1203</v>
      </c>
      <c r="N371" s="3" t="s">
        <v>22</v>
      </c>
      <c r="O371" s="5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5" t="s">
        <v>14</v>
      </c>
      <c r="B372" s="15" t="s">
        <v>1204</v>
      </c>
      <c r="C372" s="36" t="s">
        <v>3595</v>
      </c>
      <c r="D372" s="15" t="s">
        <v>1205</v>
      </c>
      <c r="E372" s="15" t="s">
        <v>1206</v>
      </c>
      <c r="F372" s="15" t="s">
        <v>1207</v>
      </c>
      <c r="G372" s="15" t="s">
        <v>36</v>
      </c>
      <c r="H372" s="15" t="s">
        <v>334</v>
      </c>
      <c r="I372" s="18" t="s">
        <v>36</v>
      </c>
      <c r="J372" s="18">
        <v>1.0</v>
      </c>
      <c r="K372" s="15"/>
      <c r="L372" s="15" t="s">
        <v>1208</v>
      </c>
      <c r="M372" s="15" t="s">
        <v>1209</v>
      </c>
      <c r="N372" s="15" t="s">
        <v>22</v>
      </c>
      <c r="O372" s="20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5" t="s">
        <v>14</v>
      </c>
      <c r="B373" s="15" t="s">
        <v>1204</v>
      </c>
      <c r="C373" s="36" t="s">
        <v>3595</v>
      </c>
      <c r="D373" s="15" t="s">
        <v>1205</v>
      </c>
      <c r="E373" s="15" t="s">
        <v>1206</v>
      </c>
      <c r="F373" s="15" t="s">
        <v>1207</v>
      </c>
      <c r="G373" s="15" t="s">
        <v>1210</v>
      </c>
      <c r="H373" s="15" t="s">
        <v>1210</v>
      </c>
      <c r="I373" s="18">
        <v>1.0</v>
      </c>
      <c r="J373" s="18">
        <v>2.0</v>
      </c>
      <c r="K373" s="15"/>
      <c r="L373" s="15" t="s">
        <v>1208</v>
      </c>
      <c r="M373" s="15" t="s">
        <v>1209</v>
      </c>
      <c r="N373" s="15" t="s">
        <v>22</v>
      </c>
      <c r="O373" s="20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5" t="s">
        <v>14</v>
      </c>
      <c r="B374" s="15" t="s">
        <v>1204</v>
      </c>
      <c r="C374" s="36" t="s">
        <v>3595</v>
      </c>
      <c r="D374" s="15" t="s">
        <v>1205</v>
      </c>
      <c r="E374" s="15" t="s">
        <v>1206</v>
      </c>
      <c r="F374" s="15" t="s">
        <v>1207</v>
      </c>
      <c r="G374" s="15" t="s">
        <v>451</v>
      </c>
      <c r="H374" s="15" t="s">
        <v>1211</v>
      </c>
      <c r="I374" s="18">
        <v>2.0</v>
      </c>
      <c r="J374" s="18">
        <v>3.0</v>
      </c>
      <c r="K374" s="15"/>
      <c r="L374" s="15" t="s">
        <v>1208</v>
      </c>
      <c r="M374" s="15" t="s">
        <v>1209</v>
      </c>
      <c r="N374" s="15" t="s">
        <v>22</v>
      </c>
      <c r="O374" s="20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ht="18.0" customHeight="1">
      <c r="A375" s="15" t="s">
        <v>14</v>
      </c>
      <c r="B375" s="15" t="s">
        <v>1212</v>
      </c>
      <c r="C375" s="36" t="s">
        <v>3595</v>
      </c>
      <c r="D375" s="15" t="s">
        <v>1213</v>
      </c>
      <c r="E375" s="15" t="s">
        <v>1214</v>
      </c>
      <c r="F375" s="15" t="s">
        <v>1215</v>
      </c>
      <c r="G375" s="15" t="s">
        <v>1216</v>
      </c>
      <c r="H375" s="15" t="s">
        <v>1217</v>
      </c>
      <c r="I375" s="18">
        <v>1.0</v>
      </c>
      <c r="J375" s="18">
        <v>1.0</v>
      </c>
      <c r="K375" s="15"/>
      <c r="L375" s="15" t="s">
        <v>1218</v>
      </c>
      <c r="M375" s="15" t="s">
        <v>1219</v>
      </c>
      <c r="N375" s="15" t="s">
        <v>22</v>
      </c>
      <c r="O375" s="20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5" t="s">
        <v>14</v>
      </c>
      <c r="B376" s="15" t="s">
        <v>1212</v>
      </c>
      <c r="C376" s="36" t="s">
        <v>3595</v>
      </c>
      <c r="D376" s="15" t="s">
        <v>1213</v>
      </c>
      <c r="E376" s="15" t="s">
        <v>1214</v>
      </c>
      <c r="F376" s="15" t="s">
        <v>1215</v>
      </c>
      <c r="G376" s="15" t="s">
        <v>1075</v>
      </c>
      <c r="H376" s="15" t="s">
        <v>1076</v>
      </c>
      <c r="I376" s="18">
        <v>2.0</v>
      </c>
      <c r="J376" s="18">
        <v>2.0</v>
      </c>
      <c r="K376" s="15"/>
      <c r="L376" s="15" t="s">
        <v>1218</v>
      </c>
      <c r="M376" s="15" t="s">
        <v>1219</v>
      </c>
      <c r="N376" s="15" t="s">
        <v>22</v>
      </c>
      <c r="O376" s="20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3" t="s">
        <v>14</v>
      </c>
      <c r="B377" s="3" t="s">
        <v>1220</v>
      </c>
      <c r="C377" s="36" t="s">
        <v>3595</v>
      </c>
      <c r="D377" s="3" t="s">
        <v>1221</v>
      </c>
      <c r="E377" s="3" t="s">
        <v>1222</v>
      </c>
      <c r="F377" s="3" t="s">
        <v>1223</v>
      </c>
      <c r="G377" s="3" t="s">
        <v>352</v>
      </c>
      <c r="H377" s="3" t="s">
        <v>1224</v>
      </c>
      <c r="I377" s="4">
        <v>1.0</v>
      </c>
      <c r="J377" s="4">
        <v>1.0</v>
      </c>
      <c r="K377" s="3"/>
      <c r="L377" s="3" t="s">
        <v>1225</v>
      </c>
      <c r="M377" s="3" t="s">
        <v>1226</v>
      </c>
      <c r="N377" s="3" t="s">
        <v>22</v>
      </c>
      <c r="O377" s="3" t="s">
        <v>418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" t="s">
        <v>14</v>
      </c>
      <c r="B378" s="3" t="s">
        <v>1220</v>
      </c>
      <c r="C378" s="36" t="s">
        <v>3595</v>
      </c>
      <c r="D378" s="3" t="s">
        <v>1221</v>
      </c>
      <c r="E378" s="3" t="s">
        <v>1222</v>
      </c>
      <c r="F378" s="3" t="s">
        <v>1223</v>
      </c>
      <c r="G378" s="3" t="s">
        <v>915</v>
      </c>
      <c r="H378" s="3" t="s">
        <v>1076</v>
      </c>
      <c r="I378" s="4">
        <v>2.0</v>
      </c>
      <c r="J378" s="4">
        <v>2.0</v>
      </c>
      <c r="K378" s="3"/>
      <c r="L378" s="3" t="s">
        <v>1225</v>
      </c>
      <c r="M378" s="3" t="s">
        <v>1226</v>
      </c>
      <c r="N378" s="3" t="s">
        <v>22</v>
      </c>
      <c r="O378" s="3" t="s">
        <v>418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" t="s">
        <v>14</v>
      </c>
      <c r="B379" s="3" t="s">
        <v>1227</v>
      </c>
      <c r="C379" s="36" t="s">
        <v>3595</v>
      </c>
      <c r="D379" s="3" t="s">
        <v>1228</v>
      </c>
      <c r="E379" s="3" t="s">
        <v>1229</v>
      </c>
      <c r="F379" s="3" t="s">
        <v>1230</v>
      </c>
      <c r="G379" s="3" t="s">
        <v>1231</v>
      </c>
      <c r="H379" s="3" t="s">
        <v>301</v>
      </c>
      <c r="I379" s="4">
        <v>1.0</v>
      </c>
      <c r="J379" s="4">
        <v>1.0</v>
      </c>
      <c r="K379" s="3" t="s">
        <v>80</v>
      </c>
      <c r="L379" s="3" t="s">
        <v>1232</v>
      </c>
      <c r="M379" s="3" t="s">
        <v>1233</v>
      </c>
      <c r="N379" s="3" t="s">
        <v>22</v>
      </c>
      <c r="O379" s="5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" t="s">
        <v>14</v>
      </c>
      <c r="B380" s="3" t="s">
        <v>1227</v>
      </c>
      <c r="C380" s="36" t="s">
        <v>3595</v>
      </c>
      <c r="D380" s="3" t="s">
        <v>1228</v>
      </c>
      <c r="E380" s="3" t="s">
        <v>1229</v>
      </c>
      <c r="F380" s="3" t="s">
        <v>1230</v>
      </c>
      <c r="G380" s="3" t="s">
        <v>36</v>
      </c>
      <c r="H380" s="3" t="s">
        <v>1234</v>
      </c>
      <c r="I380" s="4" t="s">
        <v>36</v>
      </c>
      <c r="J380" s="4">
        <v>2.0</v>
      </c>
      <c r="K380" s="3"/>
      <c r="L380" s="3" t="s">
        <v>1232</v>
      </c>
      <c r="M380" s="3" t="s">
        <v>1233</v>
      </c>
      <c r="N380" s="3" t="s">
        <v>22</v>
      </c>
      <c r="O380" s="5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" t="s">
        <v>14</v>
      </c>
      <c r="B381" s="3" t="s">
        <v>1227</v>
      </c>
      <c r="C381" s="36" t="s">
        <v>3595</v>
      </c>
      <c r="D381" s="3" t="s">
        <v>1228</v>
      </c>
      <c r="E381" s="3" t="s">
        <v>1229</v>
      </c>
      <c r="F381" s="3" t="s">
        <v>1230</v>
      </c>
      <c r="G381" s="3" t="s">
        <v>1118</v>
      </c>
      <c r="H381" s="3" t="s">
        <v>1235</v>
      </c>
      <c r="I381" s="4">
        <v>2.0</v>
      </c>
      <c r="J381" s="4">
        <v>3.0</v>
      </c>
      <c r="K381" s="3"/>
      <c r="L381" s="3" t="s">
        <v>1232</v>
      </c>
      <c r="M381" s="3" t="s">
        <v>1233</v>
      </c>
      <c r="N381" s="3" t="s">
        <v>22</v>
      </c>
      <c r="O381" s="5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5" t="s">
        <v>14</v>
      </c>
      <c r="B382" s="15" t="s">
        <v>1236</v>
      </c>
      <c r="C382" s="36" t="s">
        <v>3595</v>
      </c>
      <c r="D382" s="15" t="s">
        <v>1237</v>
      </c>
      <c r="E382" s="15" t="s">
        <v>1238</v>
      </c>
      <c r="F382" s="15" t="s">
        <v>1239</v>
      </c>
      <c r="G382" s="15"/>
      <c r="H382" s="15"/>
      <c r="I382" s="18"/>
      <c r="J382" s="18"/>
      <c r="K382" s="15"/>
      <c r="L382" s="15" t="s">
        <v>1240</v>
      </c>
      <c r="M382" s="15" t="s">
        <v>1241</v>
      </c>
      <c r="N382" s="15" t="s">
        <v>22</v>
      </c>
      <c r="O382" s="15" t="s">
        <v>560</v>
      </c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5" t="s">
        <v>14</v>
      </c>
      <c r="B383" s="15" t="s">
        <v>1242</v>
      </c>
      <c r="C383" s="36" t="s">
        <v>3595</v>
      </c>
      <c r="D383" s="15" t="s">
        <v>1243</v>
      </c>
      <c r="E383" s="15" t="s">
        <v>1244</v>
      </c>
      <c r="F383" s="15" t="s">
        <v>1245</v>
      </c>
      <c r="G383" s="15" t="s">
        <v>36</v>
      </c>
      <c r="H383" s="15" t="s">
        <v>49</v>
      </c>
      <c r="I383" s="18" t="s">
        <v>36</v>
      </c>
      <c r="J383" s="18">
        <v>1.0</v>
      </c>
      <c r="K383" s="15" t="s">
        <v>80</v>
      </c>
      <c r="L383" s="15" t="s">
        <v>1246</v>
      </c>
      <c r="M383" s="15" t="s">
        <v>1247</v>
      </c>
      <c r="N383" s="15" t="s">
        <v>22</v>
      </c>
      <c r="O383" s="20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5" t="s">
        <v>14</v>
      </c>
      <c r="B384" s="15" t="s">
        <v>1242</v>
      </c>
      <c r="C384" s="36" t="s">
        <v>3595</v>
      </c>
      <c r="D384" s="15" t="s">
        <v>1243</v>
      </c>
      <c r="E384" s="15" t="s">
        <v>1244</v>
      </c>
      <c r="F384" s="15" t="s">
        <v>1245</v>
      </c>
      <c r="G384" s="15" t="s">
        <v>108</v>
      </c>
      <c r="H384" s="15" t="s">
        <v>175</v>
      </c>
      <c r="I384" s="18">
        <v>1.0</v>
      </c>
      <c r="J384" s="18">
        <v>2.0</v>
      </c>
      <c r="K384" s="15"/>
      <c r="L384" s="15" t="s">
        <v>1246</v>
      </c>
      <c r="M384" s="15" t="s">
        <v>1247</v>
      </c>
      <c r="N384" s="15" t="s">
        <v>22</v>
      </c>
      <c r="O384" s="20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5" t="s">
        <v>14</v>
      </c>
      <c r="B385" s="15" t="s">
        <v>1242</v>
      </c>
      <c r="C385" s="36" t="s">
        <v>3595</v>
      </c>
      <c r="D385" s="15" t="s">
        <v>1243</v>
      </c>
      <c r="E385" s="15" t="s">
        <v>1244</v>
      </c>
      <c r="F385" s="15" t="s">
        <v>1245</v>
      </c>
      <c r="G385" s="15" t="s">
        <v>1248</v>
      </c>
      <c r="H385" s="15" t="s">
        <v>1249</v>
      </c>
      <c r="I385" s="18">
        <v>2.0</v>
      </c>
      <c r="J385" s="18">
        <v>3.0</v>
      </c>
      <c r="K385" s="15"/>
      <c r="L385" s="15" t="s">
        <v>1246</v>
      </c>
      <c r="M385" s="15" t="s">
        <v>1247</v>
      </c>
      <c r="N385" s="15" t="s">
        <v>22</v>
      </c>
      <c r="O385" s="20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3" t="s">
        <v>14</v>
      </c>
      <c r="B386" s="3" t="s">
        <v>1250</v>
      </c>
      <c r="C386" s="36" t="s">
        <v>3595</v>
      </c>
      <c r="D386" s="3" t="s">
        <v>1251</v>
      </c>
      <c r="E386" s="3" t="s">
        <v>1252</v>
      </c>
      <c r="F386" s="3" t="s">
        <v>1253</v>
      </c>
      <c r="G386" s="3" t="s">
        <v>1254</v>
      </c>
      <c r="H386" s="3" t="s">
        <v>1254</v>
      </c>
      <c r="I386" s="4">
        <v>1.0</v>
      </c>
      <c r="J386" s="4">
        <v>1.0</v>
      </c>
      <c r="K386" s="3"/>
      <c r="L386" s="3" t="s">
        <v>1255</v>
      </c>
      <c r="M386" s="3" t="s">
        <v>1256</v>
      </c>
      <c r="N386" s="3" t="s">
        <v>22</v>
      </c>
      <c r="O386" s="5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" t="s">
        <v>14</v>
      </c>
      <c r="B387" s="3" t="s">
        <v>1250</v>
      </c>
      <c r="C387" s="36" t="s">
        <v>3595</v>
      </c>
      <c r="D387" s="3" t="s">
        <v>1251</v>
      </c>
      <c r="E387" s="3" t="s">
        <v>1252</v>
      </c>
      <c r="F387" s="3" t="s">
        <v>1253</v>
      </c>
      <c r="G387" s="3" t="s">
        <v>1075</v>
      </c>
      <c r="H387" s="3" t="s">
        <v>1076</v>
      </c>
      <c r="I387" s="4">
        <v>2.0</v>
      </c>
      <c r="J387" s="4">
        <v>2.0</v>
      </c>
      <c r="K387" s="3"/>
      <c r="L387" s="3" t="s">
        <v>1255</v>
      </c>
      <c r="M387" s="3" t="s">
        <v>1256</v>
      </c>
      <c r="N387" s="3" t="s">
        <v>22</v>
      </c>
      <c r="O387" s="5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" t="s">
        <v>14</v>
      </c>
      <c r="B388" s="3" t="s">
        <v>1257</v>
      </c>
      <c r="C388" s="36" t="s">
        <v>3595</v>
      </c>
      <c r="D388" s="3" t="s">
        <v>1258</v>
      </c>
      <c r="E388" s="3" t="s">
        <v>1259</v>
      </c>
      <c r="F388" s="3" t="s">
        <v>1260</v>
      </c>
      <c r="G388" s="3" t="s">
        <v>108</v>
      </c>
      <c r="H388" s="3" t="s">
        <v>175</v>
      </c>
      <c r="I388" s="4">
        <v>1.0</v>
      </c>
      <c r="J388" s="4">
        <v>1.0</v>
      </c>
      <c r="K388" s="3"/>
      <c r="L388" s="3" t="s">
        <v>1261</v>
      </c>
      <c r="M388" s="3" t="s">
        <v>1262</v>
      </c>
      <c r="N388" s="3" t="s">
        <v>22</v>
      </c>
      <c r="O388" s="5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" t="s">
        <v>14</v>
      </c>
      <c r="B389" s="3" t="s">
        <v>1257</v>
      </c>
      <c r="C389" s="36" t="s">
        <v>3595</v>
      </c>
      <c r="D389" s="3" t="s">
        <v>1258</v>
      </c>
      <c r="E389" s="3" t="s">
        <v>1259</v>
      </c>
      <c r="F389" s="3" t="s">
        <v>1260</v>
      </c>
      <c r="G389" s="3" t="s">
        <v>1060</v>
      </c>
      <c r="H389" s="3" t="s">
        <v>1263</v>
      </c>
      <c r="I389" s="4">
        <v>2.0</v>
      </c>
      <c r="J389" s="4">
        <v>2.0</v>
      </c>
      <c r="K389" s="3"/>
      <c r="L389" s="3" t="s">
        <v>1261</v>
      </c>
      <c r="M389" s="3" t="s">
        <v>1262</v>
      </c>
      <c r="N389" s="3" t="s">
        <v>22</v>
      </c>
      <c r="O389" s="5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" t="s">
        <v>14</v>
      </c>
      <c r="B390" s="3" t="s">
        <v>1264</v>
      </c>
      <c r="C390" s="36" t="s">
        <v>3595</v>
      </c>
      <c r="D390" s="3" t="s">
        <v>1265</v>
      </c>
      <c r="E390" s="3" t="s">
        <v>1266</v>
      </c>
      <c r="F390" s="3" t="s">
        <v>1267</v>
      </c>
      <c r="G390" s="3" t="s">
        <v>1268</v>
      </c>
      <c r="H390" s="3" t="s">
        <v>1269</v>
      </c>
      <c r="I390" s="4">
        <v>1.0</v>
      </c>
      <c r="J390" s="4">
        <v>1.0</v>
      </c>
      <c r="K390" s="3"/>
      <c r="L390" s="3" t="s">
        <v>1270</v>
      </c>
      <c r="M390" s="3" t="s">
        <v>1271</v>
      </c>
      <c r="N390" s="3" t="s">
        <v>22</v>
      </c>
      <c r="O390" s="5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" t="s">
        <v>14</v>
      </c>
      <c r="B391" s="3" t="s">
        <v>1264</v>
      </c>
      <c r="C391" s="36" t="s">
        <v>3595</v>
      </c>
      <c r="D391" s="3" t="s">
        <v>1265</v>
      </c>
      <c r="E391" s="3" t="s">
        <v>1266</v>
      </c>
      <c r="F391" s="3" t="s">
        <v>1267</v>
      </c>
      <c r="G391" s="3" t="s">
        <v>1248</v>
      </c>
      <c r="H391" s="3" t="s">
        <v>1272</v>
      </c>
      <c r="I391" s="4">
        <v>2.0</v>
      </c>
      <c r="J391" s="4">
        <v>2.0</v>
      </c>
      <c r="K391" s="3"/>
      <c r="L391" s="3" t="s">
        <v>1270</v>
      </c>
      <c r="M391" s="3" t="s">
        <v>1271</v>
      </c>
      <c r="N391" s="3" t="s">
        <v>22</v>
      </c>
      <c r="O391" s="5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" t="s">
        <v>14</v>
      </c>
      <c r="B392" s="3" t="s">
        <v>1273</v>
      </c>
      <c r="C392" s="33" t="s">
        <v>3610</v>
      </c>
      <c r="D392" s="3" t="s">
        <v>1274</v>
      </c>
      <c r="E392" s="3" t="s">
        <v>1273</v>
      </c>
      <c r="F392" s="3" t="s">
        <v>1274</v>
      </c>
      <c r="G392" s="3" t="s">
        <v>1273</v>
      </c>
      <c r="H392" s="3" t="s">
        <v>1274</v>
      </c>
      <c r="I392" s="4">
        <v>1.0</v>
      </c>
      <c r="J392" s="4">
        <v>1.0</v>
      </c>
      <c r="K392" s="3"/>
      <c r="L392" s="3" t="s">
        <v>1275</v>
      </c>
      <c r="M392" s="3" t="s">
        <v>1276</v>
      </c>
      <c r="N392" s="3" t="s">
        <v>22</v>
      </c>
      <c r="O392" s="5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" t="s">
        <v>14</v>
      </c>
      <c r="B393" s="3" t="s">
        <v>1277</v>
      </c>
      <c r="C393" s="36" t="s">
        <v>3595</v>
      </c>
      <c r="D393" s="3" t="s">
        <v>1278</v>
      </c>
      <c r="E393" s="3" t="s">
        <v>1279</v>
      </c>
      <c r="F393" s="3" t="s">
        <v>1280</v>
      </c>
      <c r="G393" s="3" t="s">
        <v>1268</v>
      </c>
      <c r="H393" s="3" t="s">
        <v>1281</v>
      </c>
      <c r="I393" s="4">
        <v>1.0</v>
      </c>
      <c r="J393" s="4">
        <v>1.0</v>
      </c>
      <c r="K393" s="3"/>
      <c r="L393" s="3" t="s">
        <v>1282</v>
      </c>
      <c r="M393" s="3" t="s">
        <v>1283</v>
      </c>
      <c r="N393" s="3" t="s">
        <v>22</v>
      </c>
      <c r="O393" s="5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" t="s">
        <v>14</v>
      </c>
      <c r="B394" s="3" t="s">
        <v>1277</v>
      </c>
      <c r="C394" s="36" t="s">
        <v>3595</v>
      </c>
      <c r="D394" s="3" t="s">
        <v>1278</v>
      </c>
      <c r="E394" s="3" t="s">
        <v>1279</v>
      </c>
      <c r="F394" s="3" t="s">
        <v>1280</v>
      </c>
      <c r="G394" s="3" t="s">
        <v>451</v>
      </c>
      <c r="H394" s="3" t="s">
        <v>1211</v>
      </c>
      <c r="I394" s="4">
        <v>2.0</v>
      </c>
      <c r="J394" s="4">
        <v>2.0</v>
      </c>
      <c r="K394" s="3"/>
      <c r="L394" s="3" t="s">
        <v>1282</v>
      </c>
      <c r="M394" s="3" t="s">
        <v>1283</v>
      </c>
      <c r="N394" s="3" t="s">
        <v>22</v>
      </c>
      <c r="O394" s="5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5" t="s">
        <v>14</v>
      </c>
      <c r="B395" s="15" t="s">
        <v>1284</v>
      </c>
      <c r="C395" s="36" t="s">
        <v>3616</v>
      </c>
      <c r="D395" s="15" t="s">
        <v>1285</v>
      </c>
      <c r="E395" s="15" t="s">
        <v>1286</v>
      </c>
      <c r="F395" s="15" t="s">
        <v>1287</v>
      </c>
      <c r="G395" s="15" t="s">
        <v>36</v>
      </c>
      <c r="H395" s="15" t="s">
        <v>301</v>
      </c>
      <c r="I395" s="18" t="s">
        <v>36</v>
      </c>
      <c r="J395" s="18">
        <v>1.0</v>
      </c>
      <c r="K395" s="15"/>
      <c r="L395" s="15" t="s">
        <v>1288</v>
      </c>
      <c r="M395" s="15" t="s">
        <v>1289</v>
      </c>
      <c r="N395" s="15" t="s">
        <v>22</v>
      </c>
      <c r="O395" s="20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5" t="s">
        <v>14</v>
      </c>
      <c r="B396" s="15" t="s">
        <v>1284</v>
      </c>
      <c r="C396" s="36" t="s">
        <v>3616</v>
      </c>
      <c r="D396" s="15" t="s">
        <v>1285</v>
      </c>
      <c r="E396" s="15" t="s">
        <v>1286</v>
      </c>
      <c r="F396" s="15" t="s">
        <v>1287</v>
      </c>
      <c r="G396" s="15" t="s">
        <v>1290</v>
      </c>
      <c r="H396" s="15" t="s">
        <v>1291</v>
      </c>
      <c r="I396" s="18">
        <v>1.0</v>
      </c>
      <c r="J396" s="18">
        <v>2.0</v>
      </c>
      <c r="K396" s="15"/>
      <c r="L396" s="15" t="s">
        <v>1288</v>
      </c>
      <c r="M396" s="15" t="s">
        <v>1289</v>
      </c>
      <c r="N396" s="15" t="s">
        <v>22</v>
      </c>
      <c r="O396" s="20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5" t="s">
        <v>14</v>
      </c>
      <c r="B397" s="15" t="s">
        <v>1284</v>
      </c>
      <c r="C397" s="36" t="s">
        <v>3616</v>
      </c>
      <c r="D397" s="15" t="s">
        <v>1285</v>
      </c>
      <c r="E397" s="15" t="s">
        <v>1286</v>
      </c>
      <c r="F397" s="15" t="s">
        <v>1287</v>
      </c>
      <c r="G397" s="15" t="s">
        <v>1075</v>
      </c>
      <c r="H397" s="15" t="s">
        <v>1076</v>
      </c>
      <c r="I397" s="18">
        <v>2.0</v>
      </c>
      <c r="J397" s="18">
        <v>3.0</v>
      </c>
      <c r="K397" s="15"/>
      <c r="L397" s="15" t="s">
        <v>1288</v>
      </c>
      <c r="M397" s="15" t="s">
        <v>1289</v>
      </c>
      <c r="N397" s="15" t="s">
        <v>22</v>
      </c>
      <c r="O397" s="20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5" t="s">
        <v>14</v>
      </c>
      <c r="B398" s="15" t="s">
        <v>1292</v>
      </c>
      <c r="C398" s="36" t="s">
        <v>3616</v>
      </c>
      <c r="D398" s="15" t="s">
        <v>1293</v>
      </c>
      <c r="E398" s="15" t="s">
        <v>1294</v>
      </c>
      <c r="F398" s="15" t="s">
        <v>1295</v>
      </c>
      <c r="G398" s="15" t="s">
        <v>36</v>
      </c>
      <c r="H398" s="15" t="s">
        <v>301</v>
      </c>
      <c r="I398" s="18" t="s">
        <v>36</v>
      </c>
      <c r="J398" s="18">
        <v>1.0</v>
      </c>
      <c r="K398" s="15"/>
      <c r="L398" s="15" t="s">
        <v>1296</v>
      </c>
      <c r="M398" s="15" t="s">
        <v>1297</v>
      </c>
      <c r="N398" s="15" t="s">
        <v>22</v>
      </c>
      <c r="O398" s="20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5" t="s">
        <v>14</v>
      </c>
      <c r="B399" s="15" t="s">
        <v>1292</v>
      </c>
      <c r="C399" s="36" t="s">
        <v>3616</v>
      </c>
      <c r="D399" s="15" t="s">
        <v>1293</v>
      </c>
      <c r="E399" s="15" t="s">
        <v>1294</v>
      </c>
      <c r="F399" s="15" t="s">
        <v>1295</v>
      </c>
      <c r="G399" s="15" t="s">
        <v>1298</v>
      </c>
      <c r="H399" s="15" t="s">
        <v>1269</v>
      </c>
      <c r="I399" s="18">
        <v>1.0</v>
      </c>
      <c r="J399" s="18">
        <v>2.0</v>
      </c>
      <c r="K399" s="15"/>
      <c r="L399" s="15" t="s">
        <v>1296</v>
      </c>
      <c r="M399" s="15" t="s">
        <v>1297</v>
      </c>
      <c r="N399" s="15" t="s">
        <v>22</v>
      </c>
      <c r="O399" s="20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5" t="s">
        <v>14</v>
      </c>
      <c r="B400" s="15" t="s">
        <v>1292</v>
      </c>
      <c r="C400" s="36" t="s">
        <v>3616</v>
      </c>
      <c r="D400" s="15" t="s">
        <v>1293</v>
      </c>
      <c r="E400" s="15" t="s">
        <v>1294</v>
      </c>
      <c r="F400" s="15" t="s">
        <v>1295</v>
      </c>
      <c r="G400" s="15" t="s">
        <v>615</v>
      </c>
      <c r="H400" s="15" t="s">
        <v>1299</v>
      </c>
      <c r="I400" s="18">
        <v>2.0</v>
      </c>
      <c r="J400" s="18">
        <v>3.0</v>
      </c>
      <c r="K400" s="15"/>
      <c r="L400" s="15" t="s">
        <v>1296</v>
      </c>
      <c r="M400" s="15" t="s">
        <v>1297</v>
      </c>
      <c r="N400" s="15" t="s">
        <v>22</v>
      </c>
      <c r="O400" s="20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3" t="s">
        <v>14</v>
      </c>
      <c r="B401" s="3" t="s">
        <v>1300</v>
      </c>
      <c r="C401" s="33" t="s">
        <v>3596</v>
      </c>
      <c r="D401" s="3" t="s">
        <v>1301</v>
      </c>
      <c r="E401" s="3" t="s">
        <v>1300</v>
      </c>
      <c r="F401" s="3" t="s">
        <v>1302</v>
      </c>
      <c r="G401" s="3" t="s">
        <v>1300</v>
      </c>
      <c r="H401" s="3" t="s">
        <v>175</v>
      </c>
      <c r="I401" s="4">
        <v>1.0</v>
      </c>
      <c r="J401" s="4">
        <v>1.0</v>
      </c>
      <c r="K401" s="3" t="s">
        <v>80</v>
      </c>
      <c r="L401" s="3" t="s">
        <v>1303</v>
      </c>
      <c r="M401" s="3" t="s">
        <v>1304</v>
      </c>
      <c r="N401" s="3" t="s">
        <v>22</v>
      </c>
      <c r="O401" s="5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" t="s">
        <v>14</v>
      </c>
      <c r="B402" s="3" t="s">
        <v>1300</v>
      </c>
      <c r="C402" s="33" t="s">
        <v>3596</v>
      </c>
      <c r="D402" s="3" t="s">
        <v>1301</v>
      </c>
      <c r="E402" s="3" t="s">
        <v>1300</v>
      </c>
      <c r="F402" s="3" t="s">
        <v>1302</v>
      </c>
      <c r="G402" s="3" t="s">
        <v>36</v>
      </c>
      <c r="H402" s="3" t="s">
        <v>1305</v>
      </c>
      <c r="I402" s="4" t="s">
        <v>36</v>
      </c>
      <c r="J402" s="4">
        <v>2.0</v>
      </c>
      <c r="K402" s="3"/>
      <c r="L402" s="3" t="s">
        <v>1303</v>
      </c>
      <c r="M402" s="3" t="s">
        <v>1304</v>
      </c>
      <c r="N402" s="3" t="s">
        <v>22</v>
      </c>
      <c r="O402" s="5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" t="s">
        <v>14</v>
      </c>
      <c r="B403" s="3" t="s">
        <v>1306</v>
      </c>
      <c r="C403" s="36" t="s">
        <v>3595</v>
      </c>
      <c r="D403" s="3" t="s">
        <v>1307</v>
      </c>
      <c r="E403" s="3" t="s">
        <v>1308</v>
      </c>
      <c r="F403" s="3" t="s">
        <v>1309</v>
      </c>
      <c r="G403" s="3" t="s">
        <v>108</v>
      </c>
      <c r="H403" s="3" t="s">
        <v>175</v>
      </c>
      <c r="I403" s="4">
        <v>1.0</v>
      </c>
      <c r="J403" s="4">
        <v>1.0</v>
      </c>
      <c r="K403" s="3" t="s">
        <v>80</v>
      </c>
      <c r="L403" s="3" t="s">
        <v>1310</v>
      </c>
      <c r="M403" s="3" t="s">
        <v>1311</v>
      </c>
      <c r="N403" s="3" t="s">
        <v>22</v>
      </c>
      <c r="O403" s="5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" t="s">
        <v>14</v>
      </c>
      <c r="B404" s="3" t="s">
        <v>1306</v>
      </c>
      <c r="C404" s="36" t="s">
        <v>3595</v>
      </c>
      <c r="D404" s="3" t="s">
        <v>1307</v>
      </c>
      <c r="E404" s="3" t="s">
        <v>1308</v>
      </c>
      <c r="F404" s="3" t="s">
        <v>1309</v>
      </c>
      <c r="G404" s="3" t="s">
        <v>36</v>
      </c>
      <c r="H404" s="3" t="s">
        <v>1137</v>
      </c>
      <c r="I404" s="4" t="s">
        <v>36</v>
      </c>
      <c r="J404" s="4">
        <v>2.0</v>
      </c>
      <c r="K404" s="3"/>
      <c r="L404" s="3" t="s">
        <v>1310</v>
      </c>
      <c r="M404" s="3" t="s">
        <v>1311</v>
      </c>
      <c r="N404" s="3" t="s">
        <v>22</v>
      </c>
      <c r="O404" s="5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" t="s">
        <v>14</v>
      </c>
      <c r="B405" s="3" t="s">
        <v>1306</v>
      </c>
      <c r="C405" s="36" t="s">
        <v>3595</v>
      </c>
      <c r="D405" s="3" t="s">
        <v>1307</v>
      </c>
      <c r="E405" s="3" t="s">
        <v>1308</v>
      </c>
      <c r="F405" s="3" t="s">
        <v>1309</v>
      </c>
      <c r="G405" s="3" t="s">
        <v>629</v>
      </c>
      <c r="H405" s="3" t="s">
        <v>630</v>
      </c>
      <c r="I405" s="4">
        <v>2.0</v>
      </c>
      <c r="J405" s="4">
        <v>3.0</v>
      </c>
      <c r="K405" s="3"/>
      <c r="L405" s="3" t="s">
        <v>1310</v>
      </c>
      <c r="M405" s="3" t="s">
        <v>1311</v>
      </c>
      <c r="N405" s="3" t="s">
        <v>22</v>
      </c>
      <c r="O405" s="5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" t="s">
        <v>14</v>
      </c>
      <c r="B406" s="3" t="s">
        <v>1312</v>
      </c>
      <c r="C406" s="36" t="s">
        <v>3595</v>
      </c>
      <c r="D406" s="3" t="s">
        <v>1313</v>
      </c>
      <c r="E406" s="3" t="s">
        <v>1314</v>
      </c>
      <c r="F406" s="3" t="s">
        <v>1315</v>
      </c>
      <c r="G406" s="3" t="s">
        <v>262</v>
      </c>
      <c r="H406" s="3" t="s">
        <v>1316</v>
      </c>
      <c r="I406" s="4">
        <v>1.0</v>
      </c>
      <c r="J406" s="4">
        <v>1.0</v>
      </c>
      <c r="K406" s="3"/>
      <c r="L406" s="3" t="s">
        <v>1317</v>
      </c>
      <c r="M406" s="3" t="s">
        <v>1318</v>
      </c>
      <c r="N406" s="3" t="s">
        <v>22</v>
      </c>
      <c r="O406" s="5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" t="s">
        <v>14</v>
      </c>
      <c r="B407" s="3" t="s">
        <v>1312</v>
      </c>
      <c r="C407" s="36" t="s">
        <v>3595</v>
      </c>
      <c r="D407" s="3" t="s">
        <v>1313</v>
      </c>
      <c r="E407" s="3" t="s">
        <v>1314</v>
      </c>
      <c r="F407" s="3" t="s">
        <v>1315</v>
      </c>
      <c r="G407" s="3" t="s">
        <v>615</v>
      </c>
      <c r="H407" s="3" t="s">
        <v>1299</v>
      </c>
      <c r="I407" s="4">
        <v>2.0</v>
      </c>
      <c r="J407" s="4">
        <v>2.0</v>
      </c>
      <c r="K407" s="3"/>
      <c r="L407" s="3" t="s">
        <v>1317</v>
      </c>
      <c r="M407" s="3" t="s">
        <v>1318</v>
      </c>
      <c r="N407" s="3" t="s">
        <v>22</v>
      </c>
      <c r="O407" s="5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5" t="s">
        <v>14</v>
      </c>
      <c r="B408" s="15" t="s">
        <v>411</v>
      </c>
      <c r="C408" s="36" t="s">
        <v>3595</v>
      </c>
      <c r="D408" s="15" t="s">
        <v>1319</v>
      </c>
      <c r="E408" s="15" t="s">
        <v>413</v>
      </c>
      <c r="F408" s="15" t="s">
        <v>1320</v>
      </c>
      <c r="G408" s="15"/>
      <c r="H408" s="15"/>
      <c r="I408" s="18"/>
      <c r="J408" s="18"/>
      <c r="K408" s="15"/>
      <c r="L408" s="15" t="s">
        <v>1321</v>
      </c>
      <c r="M408" s="15" t="s">
        <v>1322</v>
      </c>
      <c r="N408" s="15" t="s">
        <v>22</v>
      </c>
      <c r="O408" s="15" t="s">
        <v>560</v>
      </c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5" t="s">
        <v>14</v>
      </c>
      <c r="B409" s="15" t="s">
        <v>1323</v>
      </c>
      <c r="C409" s="36" t="s">
        <v>3595</v>
      </c>
      <c r="D409" s="15" t="s">
        <v>1324</v>
      </c>
      <c r="E409" s="15" t="s">
        <v>1325</v>
      </c>
      <c r="F409" s="15" t="s">
        <v>1326</v>
      </c>
      <c r="G409" s="15" t="s">
        <v>36</v>
      </c>
      <c r="H409" s="15" t="s">
        <v>301</v>
      </c>
      <c r="I409" s="18" t="s">
        <v>36</v>
      </c>
      <c r="J409" s="18">
        <v>1.0</v>
      </c>
      <c r="K409" s="15" t="s">
        <v>80</v>
      </c>
      <c r="L409" s="15" t="s">
        <v>1327</v>
      </c>
      <c r="M409" s="15" t="s">
        <v>1328</v>
      </c>
      <c r="N409" s="15" t="s">
        <v>22</v>
      </c>
      <c r="O409" s="20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5" t="s">
        <v>14</v>
      </c>
      <c r="B410" s="15" t="s">
        <v>1323</v>
      </c>
      <c r="C410" s="36" t="s">
        <v>3595</v>
      </c>
      <c r="D410" s="15" t="s">
        <v>1324</v>
      </c>
      <c r="E410" s="15" t="s">
        <v>1325</v>
      </c>
      <c r="F410" s="15" t="s">
        <v>1326</v>
      </c>
      <c r="G410" s="15" t="s">
        <v>1329</v>
      </c>
      <c r="H410" s="15" t="s">
        <v>1330</v>
      </c>
      <c r="I410" s="18">
        <v>1.0</v>
      </c>
      <c r="J410" s="18">
        <v>2.0</v>
      </c>
      <c r="K410" s="15"/>
      <c r="L410" s="15" t="s">
        <v>1327</v>
      </c>
      <c r="M410" s="15" t="s">
        <v>1328</v>
      </c>
      <c r="N410" s="15" t="s">
        <v>22</v>
      </c>
      <c r="O410" s="20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5" t="s">
        <v>14</v>
      </c>
      <c r="B411" s="15" t="s">
        <v>1323</v>
      </c>
      <c r="C411" s="36" t="s">
        <v>3595</v>
      </c>
      <c r="D411" s="15" t="s">
        <v>1324</v>
      </c>
      <c r="E411" s="15" t="s">
        <v>1325</v>
      </c>
      <c r="F411" s="15" t="s">
        <v>1326</v>
      </c>
      <c r="G411" s="15" t="s">
        <v>1331</v>
      </c>
      <c r="H411" s="15" t="s">
        <v>1181</v>
      </c>
      <c r="I411" s="18">
        <v>2.0</v>
      </c>
      <c r="J411" s="18">
        <v>3.0</v>
      </c>
      <c r="K411" s="15"/>
      <c r="L411" s="15" t="s">
        <v>1327</v>
      </c>
      <c r="M411" s="15" t="s">
        <v>1328</v>
      </c>
      <c r="N411" s="15" t="s">
        <v>22</v>
      </c>
      <c r="O411" s="20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3" t="s">
        <v>14</v>
      </c>
      <c r="B412" s="3" t="s">
        <v>1332</v>
      </c>
      <c r="C412" s="36" t="s">
        <v>3595</v>
      </c>
      <c r="D412" s="3" t="s">
        <v>1333</v>
      </c>
      <c r="E412" s="3" t="s">
        <v>1334</v>
      </c>
      <c r="F412" s="3" t="s">
        <v>1335</v>
      </c>
      <c r="G412" s="3" t="s">
        <v>1336</v>
      </c>
      <c r="H412" s="3" t="s">
        <v>1113</v>
      </c>
      <c r="I412" s="4">
        <v>1.0</v>
      </c>
      <c r="J412" s="4">
        <v>1.0</v>
      </c>
      <c r="K412" s="3" t="s">
        <v>80</v>
      </c>
      <c r="L412" s="3" t="s">
        <v>1337</v>
      </c>
      <c r="M412" s="3" t="s">
        <v>1338</v>
      </c>
      <c r="N412" s="3" t="s">
        <v>22</v>
      </c>
      <c r="O412" s="5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" t="s">
        <v>14</v>
      </c>
      <c r="B413" s="3" t="s">
        <v>1332</v>
      </c>
      <c r="C413" s="36" t="s">
        <v>3595</v>
      </c>
      <c r="D413" s="3" t="s">
        <v>1333</v>
      </c>
      <c r="E413" s="3" t="s">
        <v>1334</v>
      </c>
      <c r="F413" s="3" t="s">
        <v>1335</v>
      </c>
      <c r="G413" s="3" t="s">
        <v>36</v>
      </c>
      <c r="H413" s="3" t="s">
        <v>1330</v>
      </c>
      <c r="I413" s="4" t="s">
        <v>36</v>
      </c>
      <c r="J413" s="4">
        <v>2.0</v>
      </c>
      <c r="K413" s="3"/>
      <c r="L413" s="3" t="s">
        <v>1337</v>
      </c>
      <c r="M413" s="3" t="s">
        <v>1338</v>
      </c>
      <c r="N413" s="3" t="s">
        <v>22</v>
      </c>
      <c r="O413" s="5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" t="s">
        <v>14</v>
      </c>
      <c r="B414" s="3" t="s">
        <v>1332</v>
      </c>
      <c r="C414" s="36" t="s">
        <v>3595</v>
      </c>
      <c r="D414" s="3" t="s">
        <v>1333</v>
      </c>
      <c r="E414" s="3" t="s">
        <v>1334</v>
      </c>
      <c r="F414" s="3" t="s">
        <v>1335</v>
      </c>
      <c r="G414" s="3" t="s">
        <v>1075</v>
      </c>
      <c r="H414" s="3" t="s">
        <v>1339</v>
      </c>
      <c r="I414" s="4">
        <v>2.0</v>
      </c>
      <c r="J414" s="4">
        <v>3.0</v>
      </c>
      <c r="K414" s="3"/>
      <c r="L414" s="3" t="s">
        <v>1337</v>
      </c>
      <c r="M414" s="3" t="s">
        <v>1338</v>
      </c>
      <c r="N414" s="3" t="s">
        <v>22</v>
      </c>
      <c r="O414" s="5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" t="s">
        <v>14</v>
      </c>
      <c r="B415" s="3" t="s">
        <v>1340</v>
      </c>
      <c r="C415" s="36" t="s">
        <v>3595</v>
      </c>
      <c r="D415" s="3" t="s">
        <v>1341</v>
      </c>
      <c r="E415" s="3" t="s">
        <v>1342</v>
      </c>
      <c r="F415" s="3" t="s">
        <v>1343</v>
      </c>
      <c r="G415" s="3" t="s">
        <v>419</v>
      </c>
      <c r="H415" s="3" t="s">
        <v>425</v>
      </c>
      <c r="I415" s="4">
        <v>1.0</v>
      </c>
      <c r="J415" s="4">
        <v>1.0</v>
      </c>
      <c r="K415" s="3"/>
      <c r="L415" s="3" t="s">
        <v>1344</v>
      </c>
      <c r="M415" s="3" t="s">
        <v>1345</v>
      </c>
      <c r="N415" s="3" t="s">
        <v>22</v>
      </c>
      <c r="O415" s="5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" t="s">
        <v>14</v>
      </c>
      <c r="B416" s="3" t="s">
        <v>1340</v>
      </c>
      <c r="C416" s="36" t="s">
        <v>3595</v>
      </c>
      <c r="D416" s="3" t="s">
        <v>1341</v>
      </c>
      <c r="E416" s="3" t="s">
        <v>1342</v>
      </c>
      <c r="F416" s="3" t="s">
        <v>1343</v>
      </c>
      <c r="G416" s="3" t="s">
        <v>1346</v>
      </c>
      <c r="H416" s="8" t="s">
        <v>1347</v>
      </c>
      <c r="I416" s="4">
        <v>2.0</v>
      </c>
      <c r="J416" s="4">
        <v>2.0</v>
      </c>
      <c r="K416" s="3"/>
      <c r="L416" s="3" t="s">
        <v>1344</v>
      </c>
      <c r="M416" s="3" t="s">
        <v>1345</v>
      </c>
      <c r="N416" s="3" t="s">
        <v>22</v>
      </c>
      <c r="O416" s="5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" t="s">
        <v>14</v>
      </c>
      <c r="B417" s="3" t="s">
        <v>1348</v>
      </c>
      <c r="C417" s="36" t="s">
        <v>3595</v>
      </c>
      <c r="D417" s="3" t="s">
        <v>1349</v>
      </c>
      <c r="E417" s="3" t="s">
        <v>1350</v>
      </c>
      <c r="F417" s="3" t="s">
        <v>1351</v>
      </c>
      <c r="G417" s="3" t="s">
        <v>174</v>
      </c>
      <c r="H417" s="3" t="s">
        <v>1352</v>
      </c>
      <c r="I417" s="4">
        <v>1.0</v>
      </c>
      <c r="J417" s="4">
        <v>1.0</v>
      </c>
      <c r="K417" s="3"/>
      <c r="L417" s="3" t="s">
        <v>1353</v>
      </c>
      <c r="M417" s="3" t="s">
        <v>1354</v>
      </c>
      <c r="N417" s="3" t="s">
        <v>22</v>
      </c>
      <c r="O417" s="5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" t="s">
        <v>14</v>
      </c>
      <c r="B418" s="3" t="s">
        <v>1348</v>
      </c>
      <c r="C418" s="36" t="s">
        <v>3595</v>
      </c>
      <c r="D418" s="3" t="s">
        <v>1349</v>
      </c>
      <c r="E418" s="3" t="s">
        <v>1350</v>
      </c>
      <c r="F418" s="3" t="s">
        <v>1351</v>
      </c>
      <c r="G418" s="3" t="s">
        <v>1075</v>
      </c>
      <c r="H418" s="3" t="s">
        <v>1076</v>
      </c>
      <c r="I418" s="4">
        <v>2.0</v>
      </c>
      <c r="J418" s="4">
        <v>2.0</v>
      </c>
      <c r="K418" s="3"/>
      <c r="L418" s="3" t="s">
        <v>1353</v>
      </c>
      <c r="M418" s="3" t="s">
        <v>1354</v>
      </c>
      <c r="N418" s="3" t="s">
        <v>22</v>
      </c>
      <c r="O418" s="5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" t="s">
        <v>14</v>
      </c>
      <c r="B419" s="3" t="s">
        <v>1355</v>
      </c>
      <c r="C419" s="36" t="s">
        <v>3595</v>
      </c>
      <c r="D419" s="3" t="s">
        <v>1356</v>
      </c>
      <c r="E419" s="3" t="s">
        <v>1357</v>
      </c>
      <c r="F419" s="3" t="s">
        <v>1358</v>
      </c>
      <c r="G419" s="3" t="s">
        <v>174</v>
      </c>
      <c r="H419" s="3" t="s">
        <v>425</v>
      </c>
      <c r="I419" s="4">
        <v>1.0</v>
      </c>
      <c r="J419" s="4">
        <v>1.0</v>
      </c>
      <c r="K419" s="3"/>
      <c r="L419" s="3" t="s">
        <v>1359</v>
      </c>
      <c r="M419" s="3" t="s">
        <v>1360</v>
      </c>
      <c r="N419" s="3" t="s">
        <v>22</v>
      </c>
      <c r="O419" s="5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" t="s">
        <v>14</v>
      </c>
      <c r="B420" s="3" t="s">
        <v>1355</v>
      </c>
      <c r="C420" s="36" t="s">
        <v>3595</v>
      </c>
      <c r="D420" s="3" t="s">
        <v>1356</v>
      </c>
      <c r="E420" s="3" t="s">
        <v>1357</v>
      </c>
      <c r="F420" s="3" t="s">
        <v>1358</v>
      </c>
      <c r="G420" s="3" t="s">
        <v>1032</v>
      </c>
      <c r="H420" s="3" t="s">
        <v>1129</v>
      </c>
      <c r="I420" s="4">
        <v>2.0</v>
      </c>
      <c r="J420" s="4">
        <v>2.0</v>
      </c>
      <c r="K420" s="3"/>
      <c r="L420" s="3" t="s">
        <v>1359</v>
      </c>
      <c r="M420" s="3" t="s">
        <v>1360</v>
      </c>
      <c r="N420" s="3" t="s">
        <v>22</v>
      </c>
      <c r="O420" s="5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" t="s">
        <v>14</v>
      </c>
      <c r="B421" s="3" t="s">
        <v>1361</v>
      </c>
      <c r="C421" s="36" t="s">
        <v>3595</v>
      </c>
      <c r="D421" s="3" t="s">
        <v>1362</v>
      </c>
      <c r="E421" s="3" t="s">
        <v>1363</v>
      </c>
      <c r="F421" s="3" t="s">
        <v>1364</v>
      </c>
      <c r="G421" s="3" t="s">
        <v>419</v>
      </c>
      <c r="H421" s="3" t="s">
        <v>425</v>
      </c>
      <c r="I421" s="4">
        <v>1.0</v>
      </c>
      <c r="J421" s="4">
        <v>1.0</v>
      </c>
      <c r="K421" s="3"/>
      <c r="L421" s="3" t="s">
        <v>1365</v>
      </c>
      <c r="M421" s="3" t="s">
        <v>1366</v>
      </c>
      <c r="N421" s="3" t="s">
        <v>22</v>
      </c>
      <c r="O421" s="5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" t="s">
        <v>14</v>
      </c>
      <c r="B422" s="3" t="s">
        <v>1361</v>
      </c>
      <c r="C422" s="36" t="s">
        <v>3595</v>
      </c>
      <c r="D422" s="3" t="s">
        <v>1362</v>
      </c>
      <c r="E422" s="3" t="s">
        <v>1363</v>
      </c>
      <c r="F422" s="3" t="s">
        <v>1364</v>
      </c>
      <c r="G422" s="3" t="s">
        <v>290</v>
      </c>
      <c r="H422" s="3" t="s">
        <v>1367</v>
      </c>
      <c r="I422" s="4">
        <v>2.0</v>
      </c>
      <c r="J422" s="4">
        <v>2.0</v>
      </c>
      <c r="K422" s="3"/>
      <c r="L422" s="3" t="s">
        <v>1365</v>
      </c>
      <c r="M422" s="3" t="s">
        <v>1366</v>
      </c>
      <c r="N422" s="3" t="s">
        <v>22</v>
      </c>
      <c r="O422" s="5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" t="s">
        <v>14</v>
      </c>
      <c r="B423" s="3" t="s">
        <v>1368</v>
      </c>
      <c r="C423" s="36" t="s">
        <v>3595</v>
      </c>
      <c r="D423" s="3" t="s">
        <v>1369</v>
      </c>
      <c r="E423" s="3" t="s">
        <v>1370</v>
      </c>
      <c r="F423" s="3" t="s">
        <v>1371</v>
      </c>
      <c r="G423" s="3" t="s">
        <v>425</v>
      </c>
      <c r="H423" s="3" t="s">
        <v>425</v>
      </c>
      <c r="I423" s="4">
        <v>1.0</v>
      </c>
      <c r="J423" s="4">
        <v>1.0</v>
      </c>
      <c r="K423" s="3"/>
      <c r="L423" s="3" t="s">
        <v>1372</v>
      </c>
      <c r="M423" s="3" t="s">
        <v>1373</v>
      </c>
      <c r="N423" s="3" t="s">
        <v>22</v>
      </c>
      <c r="O423" s="5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" t="s">
        <v>14</v>
      </c>
      <c r="B424" s="3" t="s">
        <v>1368</v>
      </c>
      <c r="C424" s="36" t="s">
        <v>3595</v>
      </c>
      <c r="D424" s="3" t="s">
        <v>1369</v>
      </c>
      <c r="E424" s="3" t="s">
        <v>1370</v>
      </c>
      <c r="F424" s="3" t="s">
        <v>1371</v>
      </c>
      <c r="G424" s="3" t="s">
        <v>466</v>
      </c>
      <c r="H424" s="3" t="s">
        <v>1081</v>
      </c>
      <c r="I424" s="4">
        <v>2.0</v>
      </c>
      <c r="J424" s="4">
        <v>2.0</v>
      </c>
      <c r="K424" s="3"/>
      <c r="L424" s="3" t="s">
        <v>1372</v>
      </c>
      <c r="M424" s="3" t="s">
        <v>1373</v>
      </c>
      <c r="N424" s="3" t="s">
        <v>22</v>
      </c>
      <c r="O424" s="5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" t="s">
        <v>14</v>
      </c>
      <c r="B425" s="3" t="s">
        <v>1374</v>
      </c>
      <c r="C425" s="36" t="s">
        <v>3595</v>
      </c>
      <c r="D425" s="3" t="s">
        <v>1375</v>
      </c>
      <c r="E425" s="3" t="s">
        <v>1376</v>
      </c>
      <c r="F425" s="3" t="s">
        <v>1377</v>
      </c>
      <c r="G425" s="3" t="s">
        <v>425</v>
      </c>
      <c r="H425" s="3" t="s">
        <v>1378</v>
      </c>
      <c r="I425" s="4">
        <v>1.0</v>
      </c>
      <c r="J425" s="4">
        <v>1.0</v>
      </c>
      <c r="K425" s="3"/>
      <c r="L425" s="3" t="s">
        <v>1379</v>
      </c>
      <c r="M425" s="3" t="s">
        <v>1380</v>
      </c>
      <c r="N425" s="3" t="s">
        <v>22</v>
      </c>
      <c r="O425" s="5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" t="s">
        <v>14</v>
      </c>
      <c r="B426" s="3" t="s">
        <v>1374</v>
      </c>
      <c r="C426" s="36" t="s">
        <v>3595</v>
      </c>
      <c r="D426" s="3" t="s">
        <v>1375</v>
      </c>
      <c r="E426" s="3" t="s">
        <v>1376</v>
      </c>
      <c r="F426" s="3" t="s">
        <v>1377</v>
      </c>
      <c r="G426" s="3" t="s">
        <v>1118</v>
      </c>
      <c r="H426" s="3" t="s">
        <v>1119</v>
      </c>
      <c r="I426" s="4">
        <v>2.0</v>
      </c>
      <c r="J426" s="4">
        <v>2.0</v>
      </c>
      <c r="K426" s="3"/>
      <c r="L426" s="3" t="s">
        <v>1379</v>
      </c>
      <c r="M426" s="3" t="s">
        <v>1380</v>
      </c>
      <c r="N426" s="3" t="s">
        <v>22</v>
      </c>
      <c r="O426" s="5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5" t="s">
        <v>14</v>
      </c>
      <c r="B427" s="15" t="s">
        <v>1381</v>
      </c>
      <c r="C427" s="36" t="s">
        <v>3595</v>
      </c>
      <c r="D427" s="15" t="s">
        <v>1382</v>
      </c>
      <c r="E427" s="15" t="s">
        <v>1383</v>
      </c>
      <c r="F427" s="15" t="s">
        <v>1384</v>
      </c>
      <c r="G427" s="15" t="s">
        <v>36</v>
      </c>
      <c r="H427" s="15" t="s">
        <v>49</v>
      </c>
      <c r="I427" s="18" t="s">
        <v>36</v>
      </c>
      <c r="J427" s="18">
        <v>1.0</v>
      </c>
      <c r="K427" s="15" t="s">
        <v>80</v>
      </c>
      <c r="L427" s="15" t="s">
        <v>1385</v>
      </c>
      <c r="M427" s="15" t="s">
        <v>1386</v>
      </c>
      <c r="N427" s="15" t="s">
        <v>22</v>
      </c>
      <c r="O427" s="20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5" t="s">
        <v>14</v>
      </c>
      <c r="B428" s="15" t="s">
        <v>1381</v>
      </c>
      <c r="C428" s="36" t="s">
        <v>3595</v>
      </c>
      <c r="D428" s="15" t="s">
        <v>1382</v>
      </c>
      <c r="E428" s="15" t="s">
        <v>1383</v>
      </c>
      <c r="F428" s="15" t="s">
        <v>1384</v>
      </c>
      <c r="G428" s="15" t="s">
        <v>425</v>
      </c>
      <c r="H428" s="15" t="s">
        <v>425</v>
      </c>
      <c r="I428" s="18">
        <v>1.0</v>
      </c>
      <c r="J428" s="18">
        <v>2.0</v>
      </c>
      <c r="K428" s="15"/>
      <c r="L428" s="15" t="s">
        <v>1385</v>
      </c>
      <c r="M428" s="15" t="s">
        <v>1386</v>
      </c>
      <c r="N428" s="15" t="s">
        <v>22</v>
      </c>
      <c r="O428" s="20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5" t="s">
        <v>14</v>
      </c>
      <c r="B429" s="15" t="s">
        <v>1381</v>
      </c>
      <c r="C429" s="36" t="s">
        <v>3595</v>
      </c>
      <c r="D429" s="15" t="s">
        <v>1382</v>
      </c>
      <c r="E429" s="15" t="s">
        <v>1383</v>
      </c>
      <c r="F429" s="15" t="s">
        <v>1384</v>
      </c>
      <c r="G429" s="15" t="s">
        <v>1387</v>
      </c>
      <c r="H429" s="15" t="s">
        <v>1388</v>
      </c>
      <c r="I429" s="18">
        <v>2.0</v>
      </c>
      <c r="J429" s="18">
        <v>3.0</v>
      </c>
      <c r="K429" s="15"/>
      <c r="L429" s="15" t="s">
        <v>1385</v>
      </c>
      <c r="M429" s="15" t="s">
        <v>1386</v>
      </c>
      <c r="N429" s="15" t="s">
        <v>22</v>
      </c>
      <c r="O429" s="20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3" t="s">
        <v>14</v>
      </c>
      <c r="B430" s="3" t="s">
        <v>1389</v>
      </c>
      <c r="C430" s="36" t="s">
        <v>3595</v>
      </c>
      <c r="D430" s="3" t="s">
        <v>1390</v>
      </c>
      <c r="E430" s="3" t="s">
        <v>1391</v>
      </c>
      <c r="F430" s="3" t="s">
        <v>1392</v>
      </c>
      <c r="G430" s="3" t="s">
        <v>425</v>
      </c>
      <c r="H430" s="3" t="s">
        <v>1393</v>
      </c>
      <c r="I430" s="4">
        <v>1.0</v>
      </c>
      <c r="J430" s="4">
        <v>1.0</v>
      </c>
      <c r="K430" s="3"/>
      <c r="L430" s="3" t="s">
        <v>1394</v>
      </c>
      <c r="M430" s="3" t="s">
        <v>1395</v>
      </c>
      <c r="N430" s="3" t="s">
        <v>22</v>
      </c>
      <c r="O430" s="5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" t="s">
        <v>14</v>
      </c>
      <c r="B431" s="3" t="s">
        <v>1389</v>
      </c>
      <c r="C431" s="36" t="s">
        <v>3595</v>
      </c>
      <c r="D431" s="3" t="s">
        <v>1390</v>
      </c>
      <c r="E431" s="3" t="s">
        <v>1391</v>
      </c>
      <c r="F431" s="3" t="s">
        <v>1392</v>
      </c>
      <c r="G431" s="3" t="s">
        <v>1396</v>
      </c>
      <c r="H431" s="3" t="s">
        <v>1397</v>
      </c>
      <c r="I431" s="4">
        <v>2.0</v>
      </c>
      <c r="J431" s="4">
        <v>2.0</v>
      </c>
      <c r="K431" s="3"/>
      <c r="L431" s="3" t="s">
        <v>1394</v>
      </c>
      <c r="M431" s="3" t="s">
        <v>1395</v>
      </c>
      <c r="N431" s="3" t="s">
        <v>22</v>
      </c>
      <c r="O431" s="5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" t="s">
        <v>14</v>
      </c>
      <c r="B432" s="3" t="s">
        <v>1398</v>
      </c>
      <c r="C432" s="36" t="s">
        <v>3595</v>
      </c>
      <c r="D432" s="3" t="s">
        <v>1399</v>
      </c>
      <c r="E432" s="3" t="s">
        <v>1400</v>
      </c>
      <c r="F432" s="3" t="s">
        <v>1401</v>
      </c>
      <c r="G432" s="3" t="s">
        <v>425</v>
      </c>
      <c r="H432" s="3" t="s">
        <v>425</v>
      </c>
      <c r="I432" s="4">
        <v>1.0</v>
      </c>
      <c r="J432" s="4">
        <v>1.0</v>
      </c>
      <c r="K432" s="3"/>
      <c r="L432" s="3" t="s">
        <v>1402</v>
      </c>
      <c r="M432" s="3" t="s">
        <v>1403</v>
      </c>
      <c r="N432" s="3" t="s">
        <v>22</v>
      </c>
      <c r="O432" s="5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" t="s">
        <v>14</v>
      </c>
      <c r="B433" s="3" t="s">
        <v>1398</v>
      </c>
      <c r="C433" s="36" t="s">
        <v>3595</v>
      </c>
      <c r="D433" s="3" t="s">
        <v>1399</v>
      </c>
      <c r="E433" s="3" t="s">
        <v>1400</v>
      </c>
      <c r="F433" s="3" t="s">
        <v>1401</v>
      </c>
      <c r="G433" s="3" t="s">
        <v>194</v>
      </c>
      <c r="H433" s="3" t="s">
        <v>1404</v>
      </c>
      <c r="I433" s="4">
        <v>2.0</v>
      </c>
      <c r="J433" s="4">
        <v>2.0</v>
      </c>
      <c r="K433" s="3"/>
      <c r="L433" s="3" t="s">
        <v>1402</v>
      </c>
      <c r="M433" s="3" t="s">
        <v>1403</v>
      </c>
      <c r="N433" s="3" t="s">
        <v>22</v>
      </c>
      <c r="O433" s="5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" t="s">
        <v>14</v>
      </c>
      <c r="B434" s="3" t="s">
        <v>429</v>
      </c>
      <c r="C434" s="36" t="s">
        <v>3595</v>
      </c>
      <c r="D434" s="3" t="s">
        <v>1405</v>
      </c>
      <c r="E434" s="3" t="s">
        <v>431</v>
      </c>
      <c r="F434" s="3" t="s">
        <v>1406</v>
      </c>
      <c r="G434" s="3" t="s">
        <v>425</v>
      </c>
      <c r="H434" s="3" t="s">
        <v>1407</v>
      </c>
      <c r="I434" s="4">
        <v>1.0</v>
      </c>
      <c r="J434" s="4">
        <v>1.0</v>
      </c>
      <c r="K434" s="3"/>
      <c r="L434" s="3" t="s">
        <v>1408</v>
      </c>
      <c r="M434" s="3" t="s">
        <v>1409</v>
      </c>
      <c r="N434" s="3" t="s">
        <v>22</v>
      </c>
      <c r="O434" s="5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" t="s">
        <v>14</v>
      </c>
      <c r="B435" s="3" t="s">
        <v>429</v>
      </c>
      <c r="C435" s="36" t="s">
        <v>3595</v>
      </c>
      <c r="D435" s="3" t="s">
        <v>1405</v>
      </c>
      <c r="E435" s="3" t="s">
        <v>431</v>
      </c>
      <c r="F435" s="3" t="s">
        <v>1406</v>
      </c>
      <c r="G435" s="3" t="s">
        <v>436</v>
      </c>
      <c r="H435" s="3" t="s">
        <v>1410</v>
      </c>
      <c r="I435" s="4">
        <v>2.0</v>
      </c>
      <c r="J435" s="4">
        <v>2.0</v>
      </c>
      <c r="K435" s="3"/>
      <c r="L435" s="3" t="s">
        <v>1408</v>
      </c>
      <c r="M435" s="3" t="s">
        <v>1409</v>
      </c>
      <c r="N435" s="3" t="s">
        <v>22</v>
      </c>
      <c r="O435" s="5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" t="s">
        <v>14</v>
      </c>
      <c r="B436" s="3" t="s">
        <v>1411</v>
      </c>
      <c r="C436" s="36" t="s">
        <v>3595</v>
      </c>
      <c r="D436" s="3" t="s">
        <v>1412</v>
      </c>
      <c r="E436" s="3" t="s">
        <v>1413</v>
      </c>
      <c r="F436" s="3" t="s">
        <v>1414</v>
      </c>
      <c r="G436" s="3" t="s">
        <v>425</v>
      </c>
      <c r="H436" s="3" t="s">
        <v>425</v>
      </c>
      <c r="I436" s="4">
        <v>1.0</v>
      </c>
      <c r="J436" s="4">
        <v>1.0</v>
      </c>
      <c r="K436" s="3"/>
      <c r="L436" s="3" t="s">
        <v>1415</v>
      </c>
      <c r="M436" s="3" t="s">
        <v>1416</v>
      </c>
      <c r="N436" s="3" t="s">
        <v>22</v>
      </c>
      <c r="O436" s="5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" t="s">
        <v>14</v>
      </c>
      <c r="B437" s="3" t="s">
        <v>1411</v>
      </c>
      <c r="C437" s="36" t="s">
        <v>3595</v>
      </c>
      <c r="D437" s="3" t="s">
        <v>1412</v>
      </c>
      <c r="E437" s="3" t="s">
        <v>1413</v>
      </c>
      <c r="F437" s="3" t="s">
        <v>1414</v>
      </c>
      <c r="G437" s="3" t="s">
        <v>326</v>
      </c>
      <c r="H437" s="3" t="s">
        <v>1235</v>
      </c>
      <c r="I437" s="4">
        <v>2.0</v>
      </c>
      <c r="J437" s="4">
        <v>2.0</v>
      </c>
      <c r="K437" s="3"/>
      <c r="L437" s="3" t="s">
        <v>1415</v>
      </c>
      <c r="M437" s="3" t="s">
        <v>1416</v>
      </c>
      <c r="N437" s="3" t="s">
        <v>22</v>
      </c>
      <c r="O437" s="5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" t="s">
        <v>14</v>
      </c>
      <c r="B438" s="3" t="s">
        <v>1417</v>
      </c>
      <c r="C438" s="36" t="s">
        <v>3595</v>
      </c>
      <c r="D438" s="3" t="s">
        <v>1362</v>
      </c>
      <c r="E438" s="3" t="s">
        <v>1418</v>
      </c>
      <c r="F438" s="3" t="s">
        <v>1364</v>
      </c>
      <c r="G438" s="3" t="s">
        <v>425</v>
      </c>
      <c r="H438" s="3" t="s">
        <v>425</v>
      </c>
      <c r="I438" s="4">
        <v>1.0</v>
      </c>
      <c r="J438" s="4">
        <v>1.0</v>
      </c>
      <c r="K438" s="3"/>
      <c r="L438" s="3" t="s">
        <v>1419</v>
      </c>
      <c r="M438" s="3" t="s">
        <v>1094</v>
      </c>
      <c r="N438" s="3" t="s">
        <v>22</v>
      </c>
      <c r="O438" s="5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" t="s">
        <v>14</v>
      </c>
      <c r="B439" s="3" t="s">
        <v>1417</v>
      </c>
      <c r="C439" s="36" t="s">
        <v>3595</v>
      </c>
      <c r="D439" s="3" t="s">
        <v>1362</v>
      </c>
      <c r="E439" s="3" t="s">
        <v>1418</v>
      </c>
      <c r="F439" s="3" t="s">
        <v>1364</v>
      </c>
      <c r="G439" s="3" t="s">
        <v>1420</v>
      </c>
      <c r="H439" s="3" t="s">
        <v>1367</v>
      </c>
      <c r="I439" s="4">
        <v>2.0</v>
      </c>
      <c r="J439" s="4">
        <v>2.0</v>
      </c>
      <c r="K439" s="3"/>
      <c r="L439" s="3" t="s">
        <v>1419</v>
      </c>
      <c r="M439" s="3" t="s">
        <v>1094</v>
      </c>
      <c r="N439" s="3" t="s">
        <v>22</v>
      </c>
      <c r="O439" s="5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" t="s">
        <v>14</v>
      </c>
      <c r="B440" s="3" t="s">
        <v>1421</v>
      </c>
      <c r="C440" s="36" t="s">
        <v>3595</v>
      </c>
      <c r="D440" s="3" t="s">
        <v>1422</v>
      </c>
      <c r="E440" s="3" t="s">
        <v>1423</v>
      </c>
      <c r="F440" s="3" t="s">
        <v>1424</v>
      </c>
      <c r="G440" s="3" t="s">
        <v>1425</v>
      </c>
      <c r="H440" s="3" t="s">
        <v>1426</v>
      </c>
      <c r="I440" s="4">
        <v>1.0</v>
      </c>
      <c r="J440" s="4">
        <v>1.0</v>
      </c>
      <c r="K440" s="3"/>
      <c r="L440" s="3" t="s">
        <v>1427</v>
      </c>
      <c r="M440" s="3" t="s">
        <v>1428</v>
      </c>
      <c r="N440" s="3" t="s">
        <v>22</v>
      </c>
      <c r="O440" s="5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" t="s">
        <v>14</v>
      </c>
      <c r="B441" s="3" t="s">
        <v>1421</v>
      </c>
      <c r="C441" s="36" t="s">
        <v>3595</v>
      </c>
      <c r="D441" s="3" t="s">
        <v>1422</v>
      </c>
      <c r="E441" s="3" t="s">
        <v>1423</v>
      </c>
      <c r="F441" s="3" t="s">
        <v>1424</v>
      </c>
      <c r="G441" s="3" t="s">
        <v>1429</v>
      </c>
      <c r="H441" s="3" t="s">
        <v>1430</v>
      </c>
      <c r="I441" s="4">
        <v>2.0</v>
      </c>
      <c r="J441" s="4">
        <v>2.0</v>
      </c>
      <c r="K441" s="3"/>
      <c r="L441" s="3" t="s">
        <v>1427</v>
      </c>
      <c r="M441" s="3" t="s">
        <v>1428</v>
      </c>
      <c r="N441" s="3" t="s">
        <v>22</v>
      </c>
      <c r="O441" s="5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" t="s">
        <v>14</v>
      </c>
      <c r="B442" s="3" t="s">
        <v>1431</v>
      </c>
      <c r="C442" s="36" t="s">
        <v>3595</v>
      </c>
      <c r="D442" s="3" t="s">
        <v>1432</v>
      </c>
      <c r="E442" s="3" t="s">
        <v>1433</v>
      </c>
      <c r="F442" s="3" t="s">
        <v>1434</v>
      </c>
      <c r="G442" s="3" t="s">
        <v>1435</v>
      </c>
      <c r="H442" s="3" t="s">
        <v>65</v>
      </c>
      <c r="I442" s="4">
        <v>1.0</v>
      </c>
      <c r="J442" s="4">
        <v>1.0</v>
      </c>
      <c r="K442" s="3"/>
      <c r="L442" s="3" t="s">
        <v>1436</v>
      </c>
      <c r="M442" s="3" t="s">
        <v>1437</v>
      </c>
      <c r="N442" s="3" t="s">
        <v>22</v>
      </c>
      <c r="O442" s="5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" t="s">
        <v>14</v>
      </c>
      <c r="B443" s="3" t="s">
        <v>1431</v>
      </c>
      <c r="C443" s="36" t="s">
        <v>3595</v>
      </c>
      <c r="D443" s="3" t="s">
        <v>1432</v>
      </c>
      <c r="E443" s="3" t="s">
        <v>1433</v>
      </c>
      <c r="F443" s="3" t="s">
        <v>1434</v>
      </c>
      <c r="G443" s="3" t="s">
        <v>1118</v>
      </c>
      <c r="H443" s="3" t="s">
        <v>1119</v>
      </c>
      <c r="I443" s="4">
        <v>2.0</v>
      </c>
      <c r="J443" s="4">
        <v>2.0</v>
      </c>
      <c r="K443" s="3"/>
      <c r="L443" s="3" t="s">
        <v>1436</v>
      </c>
      <c r="M443" s="3" t="s">
        <v>1437</v>
      </c>
      <c r="N443" s="3" t="s">
        <v>22</v>
      </c>
      <c r="O443" s="5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" t="s">
        <v>14</v>
      </c>
      <c r="B444" s="3" t="s">
        <v>1438</v>
      </c>
      <c r="C444" s="36" t="s">
        <v>3595</v>
      </c>
      <c r="D444" s="3" t="s">
        <v>1439</v>
      </c>
      <c r="E444" s="3" t="s">
        <v>1440</v>
      </c>
      <c r="F444" s="3" t="s">
        <v>1441</v>
      </c>
      <c r="G444" s="3" t="s">
        <v>1435</v>
      </c>
      <c r="H444" s="3" t="s">
        <v>1435</v>
      </c>
      <c r="I444" s="4">
        <v>1.0</v>
      </c>
      <c r="J444" s="4">
        <v>1.0</v>
      </c>
      <c r="K444" s="3"/>
      <c r="L444" s="3" t="s">
        <v>1442</v>
      </c>
      <c r="M444" s="3" t="s">
        <v>1443</v>
      </c>
      <c r="N444" s="3" t="s">
        <v>22</v>
      </c>
      <c r="O444" s="5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" t="s">
        <v>14</v>
      </c>
      <c r="B445" s="3" t="s">
        <v>1438</v>
      </c>
      <c r="C445" s="36" t="s">
        <v>3595</v>
      </c>
      <c r="D445" s="3" t="s">
        <v>1439</v>
      </c>
      <c r="E445" s="3" t="s">
        <v>1440</v>
      </c>
      <c r="F445" s="3" t="s">
        <v>1441</v>
      </c>
      <c r="G445" s="3" t="s">
        <v>1032</v>
      </c>
      <c r="H445" s="3" t="s">
        <v>1129</v>
      </c>
      <c r="I445" s="4">
        <v>2.0</v>
      </c>
      <c r="J445" s="4">
        <v>2.0</v>
      </c>
      <c r="K445" s="3"/>
      <c r="L445" s="3" t="s">
        <v>1442</v>
      </c>
      <c r="M445" s="3" t="s">
        <v>1443</v>
      </c>
      <c r="N445" s="3" t="s">
        <v>22</v>
      </c>
      <c r="O445" s="5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" t="s">
        <v>14</v>
      </c>
      <c r="B446" s="3" t="s">
        <v>1444</v>
      </c>
      <c r="C446" s="36" t="s">
        <v>3595</v>
      </c>
      <c r="D446" s="3" t="s">
        <v>1445</v>
      </c>
      <c r="E446" s="3" t="s">
        <v>1446</v>
      </c>
      <c r="F446" s="3" t="s">
        <v>1447</v>
      </c>
      <c r="G446" s="3" t="s">
        <v>1425</v>
      </c>
      <c r="H446" s="3" t="s">
        <v>503</v>
      </c>
      <c r="I446" s="4">
        <v>1.0</v>
      </c>
      <c r="J446" s="4">
        <v>1.0</v>
      </c>
      <c r="K446" s="3" t="s">
        <v>80</v>
      </c>
      <c r="L446" s="3" t="s">
        <v>1448</v>
      </c>
      <c r="M446" s="3" t="s">
        <v>1449</v>
      </c>
      <c r="N446" s="3" t="s">
        <v>22</v>
      </c>
      <c r="O446" s="5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" t="s">
        <v>14</v>
      </c>
      <c r="B447" s="3" t="s">
        <v>1444</v>
      </c>
      <c r="C447" s="36" t="s">
        <v>3595</v>
      </c>
      <c r="D447" s="3" t="s">
        <v>1445</v>
      </c>
      <c r="E447" s="3" t="s">
        <v>1446</v>
      </c>
      <c r="F447" s="3" t="s">
        <v>1447</v>
      </c>
      <c r="G447" s="3" t="s">
        <v>36</v>
      </c>
      <c r="H447" s="3" t="s">
        <v>1450</v>
      </c>
      <c r="I447" s="4" t="s">
        <v>36</v>
      </c>
      <c r="J447" s="4">
        <v>2.0</v>
      </c>
      <c r="K447" s="3"/>
      <c r="L447" s="3" t="s">
        <v>1448</v>
      </c>
      <c r="M447" s="3" t="s">
        <v>1449</v>
      </c>
      <c r="N447" s="3" t="s">
        <v>22</v>
      </c>
      <c r="O447" s="5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" t="s">
        <v>14</v>
      </c>
      <c r="B448" s="3" t="s">
        <v>1444</v>
      </c>
      <c r="C448" s="36" t="s">
        <v>3595</v>
      </c>
      <c r="D448" s="3" t="s">
        <v>1445</v>
      </c>
      <c r="E448" s="3" t="s">
        <v>1446</v>
      </c>
      <c r="F448" s="3" t="s">
        <v>1447</v>
      </c>
      <c r="G448" s="3" t="s">
        <v>1075</v>
      </c>
      <c r="H448" s="3" t="s">
        <v>1076</v>
      </c>
      <c r="I448" s="4">
        <v>2.0</v>
      </c>
      <c r="J448" s="4">
        <v>3.0</v>
      </c>
      <c r="K448" s="3"/>
      <c r="L448" s="3" t="s">
        <v>1448</v>
      </c>
      <c r="M448" s="3" t="s">
        <v>1449</v>
      </c>
      <c r="N448" s="3" t="s">
        <v>22</v>
      </c>
      <c r="O448" s="5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5" t="s">
        <v>14</v>
      </c>
      <c r="B449" s="15" t="s">
        <v>1451</v>
      </c>
      <c r="C449" s="36" t="s">
        <v>3595</v>
      </c>
      <c r="D449" s="15" t="s">
        <v>1452</v>
      </c>
      <c r="E449" s="15" t="s">
        <v>1453</v>
      </c>
      <c r="F449" s="15" t="s">
        <v>1454</v>
      </c>
      <c r="G449" s="15"/>
      <c r="H449" s="15"/>
      <c r="I449" s="18"/>
      <c r="J449" s="18"/>
      <c r="K449" s="15"/>
      <c r="L449" s="15" t="s">
        <v>1455</v>
      </c>
      <c r="M449" s="15" t="s">
        <v>1456</v>
      </c>
      <c r="N449" s="15" t="s">
        <v>22</v>
      </c>
      <c r="O449" s="15" t="s">
        <v>560</v>
      </c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3" t="s">
        <v>14</v>
      </c>
      <c r="B450" s="3" t="s">
        <v>1457</v>
      </c>
      <c r="C450" s="36" t="s">
        <v>3595</v>
      </c>
      <c r="D450" s="3" t="s">
        <v>1458</v>
      </c>
      <c r="E450" s="3" t="s">
        <v>1459</v>
      </c>
      <c r="F450" s="3" t="s">
        <v>1460</v>
      </c>
      <c r="G450" s="3" t="s">
        <v>245</v>
      </c>
      <c r="H450" s="3" t="s">
        <v>245</v>
      </c>
      <c r="I450" s="4">
        <v>1.0</v>
      </c>
      <c r="J450" s="4">
        <v>1.0</v>
      </c>
      <c r="K450" s="3"/>
      <c r="L450" s="3" t="s">
        <v>1461</v>
      </c>
      <c r="M450" s="3" t="s">
        <v>1462</v>
      </c>
      <c r="N450" s="3" t="s">
        <v>22</v>
      </c>
      <c r="O450" s="5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" t="s">
        <v>14</v>
      </c>
      <c r="B451" s="3" t="s">
        <v>1457</v>
      </c>
      <c r="C451" s="36" t="s">
        <v>3595</v>
      </c>
      <c r="D451" s="3" t="s">
        <v>1458</v>
      </c>
      <c r="E451" s="3" t="s">
        <v>1459</v>
      </c>
      <c r="F451" s="3" t="s">
        <v>1460</v>
      </c>
      <c r="G451" s="3" t="s">
        <v>1420</v>
      </c>
      <c r="H451" s="3" t="s">
        <v>1463</v>
      </c>
      <c r="I451" s="4">
        <v>2.0</v>
      </c>
      <c r="J451" s="4">
        <v>2.0</v>
      </c>
      <c r="K451" s="3"/>
      <c r="L451" s="3" t="s">
        <v>1461</v>
      </c>
      <c r="M451" s="3" t="s">
        <v>1462</v>
      </c>
      <c r="N451" s="3" t="s">
        <v>22</v>
      </c>
      <c r="O451" s="5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5" t="s">
        <v>14</v>
      </c>
      <c r="B452" s="15" t="s">
        <v>1464</v>
      </c>
      <c r="C452" s="36" t="s">
        <v>3595</v>
      </c>
      <c r="D452" s="15" t="s">
        <v>1465</v>
      </c>
      <c r="E452" s="15" t="s">
        <v>1466</v>
      </c>
      <c r="F452" s="15" t="s">
        <v>1467</v>
      </c>
      <c r="G452" s="15" t="s">
        <v>36</v>
      </c>
      <c r="H452" s="15" t="s">
        <v>49</v>
      </c>
      <c r="I452" s="18" t="s">
        <v>36</v>
      </c>
      <c r="J452" s="18">
        <v>1.0</v>
      </c>
      <c r="K452" s="15" t="s">
        <v>80</v>
      </c>
      <c r="L452" s="15" t="s">
        <v>1468</v>
      </c>
      <c r="M452" s="15" t="s">
        <v>1469</v>
      </c>
      <c r="N452" s="15" t="s">
        <v>22</v>
      </c>
      <c r="O452" s="20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5" t="s">
        <v>14</v>
      </c>
      <c r="B453" s="15" t="s">
        <v>1464</v>
      </c>
      <c r="C453" s="36" t="s">
        <v>3595</v>
      </c>
      <c r="D453" s="15" t="s">
        <v>1465</v>
      </c>
      <c r="E453" s="15" t="s">
        <v>1466</v>
      </c>
      <c r="F453" s="15" t="s">
        <v>1467</v>
      </c>
      <c r="G453" s="15" t="s">
        <v>157</v>
      </c>
      <c r="H453" s="15" t="s">
        <v>157</v>
      </c>
      <c r="I453" s="18">
        <v>1.0</v>
      </c>
      <c r="J453" s="18">
        <v>2.0</v>
      </c>
      <c r="K453" s="15"/>
      <c r="L453" s="15" t="s">
        <v>1468</v>
      </c>
      <c r="M453" s="15" t="s">
        <v>1469</v>
      </c>
      <c r="N453" s="15" t="s">
        <v>22</v>
      </c>
      <c r="O453" s="20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5" t="s">
        <v>14</v>
      </c>
      <c r="B454" s="15" t="s">
        <v>1464</v>
      </c>
      <c r="C454" s="36" t="s">
        <v>3595</v>
      </c>
      <c r="D454" s="15" t="s">
        <v>1465</v>
      </c>
      <c r="E454" s="15" t="s">
        <v>1466</v>
      </c>
      <c r="F454" s="15" t="s">
        <v>1467</v>
      </c>
      <c r="G454" s="15" t="s">
        <v>326</v>
      </c>
      <c r="H454" s="15" t="s">
        <v>1470</v>
      </c>
      <c r="I454" s="18">
        <v>2.0</v>
      </c>
      <c r="J454" s="18">
        <v>3.0</v>
      </c>
      <c r="K454" s="15"/>
      <c r="L454" s="15" t="s">
        <v>1468</v>
      </c>
      <c r="M454" s="15" t="s">
        <v>1469</v>
      </c>
      <c r="N454" s="15" t="s">
        <v>22</v>
      </c>
      <c r="O454" s="20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5" t="s">
        <v>14</v>
      </c>
      <c r="B455" s="15" t="s">
        <v>1471</v>
      </c>
      <c r="C455" s="33" t="s">
        <v>3600</v>
      </c>
      <c r="D455" s="15" t="s">
        <v>1472</v>
      </c>
      <c r="E455" s="15" t="s">
        <v>1473</v>
      </c>
      <c r="F455" s="15" t="s">
        <v>1474</v>
      </c>
      <c r="G455" s="15" t="s">
        <v>236</v>
      </c>
      <c r="H455" s="15" t="s">
        <v>1475</v>
      </c>
      <c r="I455" s="18" t="s">
        <v>36</v>
      </c>
      <c r="J455" s="18">
        <v>1.0</v>
      </c>
      <c r="K455" s="15" t="s">
        <v>80</v>
      </c>
      <c r="L455" s="15" t="s">
        <v>1476</v>
      </c>
      <c r="M455" s="15" t="s">
        <v>1477</v>
      </c>
      <c r="N455" s="15" t="s">
        <v>22</v>
      </c>
      <c r="O455" s="20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5" t="s">
        <v>14</v>
      </c>
      <c r="B456" s="15" t="s">
        <v>1471</v>
      </c>
      <c r="C456" s="33" t="s">
        <v>3600</v>
      </c>
      <c r="D456" s="15" t="s">
        <v>1472</v>
      </c>
      <c r="E456" s="15" t="s">
        <v>1473</v>
      </c>
      <c r="F456" s="15" t="s">
        <v>1474</v>
      </c>
      <c r="G456" s="15" t="s">
        <v>236</v>
      </c>
      <c r="H456" s="15" t="s">
        <v>1478</v>
      </c>
      <c r="I456" s="18">
        <v>1.0</v>
      </c>
      <c r="J456" s="18">
        <v>2.0</v>
      </c>
      <c r="K456" s="15"/>
      <c r="L456" s="15" t="s">
        <v>1476</v>
      </c>
      <c r="M456" s="15" t="s">
        <v>1477</v>
      </c>
      <c r="N456" s="15" t="s">
        <v>22</v>
      </c>
      <c r="O456" s="20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5" t="s">
        <v>14</v>
      </c>
      <c r="B457" s="15" t="s">
        <v>1471</v>
      </c>
      <c r="C457" s="33" t="s">
        <v>3600</v>
      </c>
      <c r="D457" s="15" t="s">
        <v>1472</v>
      </c>
      <c r="E457" s="15" t="s">
        <v>1473</v>
      </c>
      <c r="F457" s="15" t="s">
        <v>1474</v>
      </c>
      <c r="G457" s="15" t="s">
        <v>387</v>
      </c>
      <c r="H457" s="15" t="s">
        <v>387</v>
      </c>
      <c r="I457" s="18">
        <v>2.0</v>
      </c>
      <c r="J457" s="18">
        <v>3.0</v>
      </c>
      <c r="K457" s="15"/>
      <c r="L457" s="15" t="s">
        <v>1476</v>
      </c>
      <c r="M457" s="15" t="s">
        <v>1477</v>
      </c>
      <c r="N457" s="15" t="s">
        <v>22</v>
      </c>
      <c r="O457" s="20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3" t="s">
        <v>14</v>
      </c>
      <c r="B458" s="3" t="s">
        <v>1479</v>
      </c>
      <c r="C458" s="36" t="s">
        <v>3595</v>
      </c>
      <c r="D458" s="3" t="s">
        <v>1480</v>
      </c>
      <c r="E458" s="3" t="s">
        <v>1481</v>
      </c>
      <c r="F458" s="3" t="s">
        <v>1482</v>
      </c>
      <c r="G458" s="3" t="s">
        <v>1483</v>
      </c>
      <c r="H458" s="3" t="s">
        <v>739</v>
      </c>
      <c r="I458" s="4">
        <v>1.0</v>
      </c>
      <c r="J458" s="4">
        <v>1.0</v>
      </c>
      <c r="K458" s="3" t="s">
        <v>80</v>
      </c>
      <c r="L458" s="3" t="s">
        <v>1484</v>
      </c>
      <c r="M458" s="3" t="s">
        <v>1485</v>
      </c>
      <c r="N458" s="3" t="s">
        <v>22</v>
      </c>
      <c r="O458" s="5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" t="s">
        <v>14</v>
      </c>
      <c r="B459" s="3" t="s">
        <v>1479</v>
      </c>
      <c r="C459" s="36" t="s">
        <v>3595</v>
      </c>
      <c r="D459" s="3" t="s">
        <v>1480</v>
      </c>
      <c r="E459" s="3" t="s">
        <v>1481</v>
      </c>
      <c r="F459" s="3" t="s">
        <v>1482</v>
      </c>
      <c r="G459" s="3" t="s">
        <v>36</v>
      </c>
      <c r="H459" s="3" t="s">
        <v>1486</v>
      </c>
      <c r="I459" s="4" t="s">
        <v>36</v>
      </c>
      <c r="J459" s="4">
        <v>2.0</v>
      </c>
      <c r="K459" s="3"/>
      <c r="L459" s="3" t="s">
        <v>1484</v>
      </c>
      <c r="M459" s="3" t="s">
        <v>1485</v>
      </c>
      <c r="N459" s="3" t="s">
        <v>22</v>
      </c>
      <c r="O459" s="5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" t="s">
        <v>14</v>
      </c>
      <c r="B460" s="3" t="s">
        <v>1479</v>
      </c>
      <c r="C460" s="36" t="s">
        <v>3595</v>
      </c>
      <c r="D460" s="3" t="s">
        <v>1480</v>
      </c>
      <c r="E460" s="3" t="s">
        <v>1481</v>
      </c>
      <c r="F460" s="3" t="s">
        <v>1482</v>
      </c>
      <c r="G460" s="3" t="s">
        <v>615</v>
      </c>
      <c r="H460" s="3" t="s">
        <v>1299</v>
      </c>
      <c r="I460" s="4">
        <v>2.0</v>
      </c>
      <c r="J460" s="4">
        <v>3.0</v>
      </c>
      <c r="K460" s="3"/>
      <c r="L460" s="3" t="s">
        <v>1484</v>
      </c>
      <c r="M460" s="3" t="s">
        <v>1485</v>
      </c>
      <c r="N460" s="3" t="s">
        <v>22</v>
      </c>
      <c r="O460" s="5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" t="s">
        <v>14</v>
      </c>
      <c r="B461" s="3" t="s">
        <v>1487</v>
      </c>
      <c r="C461" s="36" t="s">
        <v>3605</v>
      </c>
      <c r="D461" s="3" t="s">
        <v>1488</v>
      </c>
      <c r="E461" s="3" t="s">
        <v>1489</v>
      </c>
      <c r="F461" s="3" t="s">
        <v>1490</v>
      </c>
      <c r="G461" s="3" t="s">
        <v>1491</v>
      </c>
      <c r="H461" s="3" t="s">
        <v>1491</v>
      </c>
      <c r="I461" s="4">
        <v>1.0</v>
      </c>
      <c r="J461" s="4">
        <v>1.0</v>
      </c>
      <c r="K461" s="3"/>
      <c r="L461" s="3" t="s">
        <v>1492</v>
      </c>
      <c r="M461" s="3" t="s">
        <v>1493</v>
      </c>
      <c r="N461" s="3" t="s">
        <v>22</v>
      </c>
      <c r="O461" s="5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" t="s">
        <v>14</v>
      </c>
      <c r="B462" s="3" t="s">
        <v>1487</v>
      </c>
      <c r="C462" s="36" t="s">
        <v>3605</v>
      </c>
      <c r="D462" s="3" t="s">
        <v>1488</v>
      </c>
      <c r="E462" s="3" t="s">
        <v>1489</v>
      </c>
      <c r="F462" s="3" t="s">
        <v>1490</v>
      </c>
      <c r="G462" s="3" t="s">
        <v>1494</v>
      </c>
      <c r="H462" s="3" t="s">
        <v>1495</v>
      </c>
      <c r="I462" s="4">
        <v>2.0</v>
      </c>
      <c r="J462" s="4">
        <v>2.0</v>
      </c>
      <c r="K462" s="3"/>
      <c r="L462" s="3" t="s">
        <v>1492</v>
      </c>
      <c r="M462" s="3" t="s">
        <v>1493</v>
      </c>
      <c r="N462" s="3" t="s">
        <v>22</v>
      </c>
      <c r="O462" s="5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" t="s">
        <v>14</v>
      </c>
      <c r="B463" s="3" t="s">
        <v>1496</v>
      </c>
      <c r="C463" s="36" t="s">
        <v>3595</v>
      </c>
      <c r="D463" s="3" t="s">
        <v>1497</v>
      </c>
      <c r="E463" s="3" t="s">
        <v>1498</v>
      </c>
      <c r="F463" s="3" t="s">
        <v>1499</v>
      </c>
      <c r="G463" s="3" t="s">
        <v>1500</v>
      </c>
      <c r="H463" s="3" t="s">
        <v>611</v>
      </c>
      <c r="I463" s="4">
        <v>1.0</v>
      </c>
      <c r="J463" s="4">
        <v>1.0</v>
      </c>
      <c r="K463" s="3"/>
      <c r="L463" s="3" t="s">
        <v>1501</v>
      </c>
      <c r="M463" s="3" t="s">
        <v>1502</v>
      </c>
      <c r="N463" s="3" t="s">
        <v>22</v>
      </c>
      <c r="O463" s="5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" t="s">
        <v>14</v>
      </c>
      <c r="B464" s="3" t="s">
        <v>1496</v>
      </c>
      <c r="C464" s="36" t="s">
        <v>3595</v>
      </c>
      <c r="D464" s="3" t="s">
        <v>1497</v>
      </c>
      <c r="E464" s="3" t="s">
        <v>1498</v>
      </c>
      <c r="F464" s="3" t="s">
        <v>1499</v>
      </c>
      <c r="G464" s="3" t="s">
        <v>1331</v>
      </c>
      <c r="H464" s="3" t="s">
        <v>1181</v>
      </c>
      <c r="I464" s="4">
        <v>2.0</v>
      </c>
      <c r="J464" s="4">
        <v>2.0</v>
      </c>
      <c r="K464" s="3"/>
      <c r="L464" s="3" t="s">
        <v>1501</v>
      </c>
      <c r="M464" s="3" t="s">
        <v>1502</v>
      </c>
      <c r="N464" s="3" t="s">
        <v>22</v>
      </c>
      <c r="O464" s="5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" t="s">
        <v>14</v>
      </c>
      <c r="B465" s="3" t="s">
        <v>1503</v>
      </c>
      <c r="C465" s="33" t="s">
        <v>3610</v>
      </c>
      <c r="D465" s="3" t="s">
        <v>1504</v>
      </c>
      <c r="E465" s="3" t="s">
        <v>1503</v>
      </c>
      <c r="F465" s="3" t="s">
        <v>1505</v>
      </c>
      <c r="G465" s="3" t="s">
        <v>1503</v>
      </c>
      <c r="H465" s="3" t="s">
        <v>190</v>
      </c>
      <c r="I465" s="4">
        <v>1.0</v>
      </c>
      <c r="J465" s="4">
        <v>1.0</v>
      </c>
      <c r="K465" s="3" t="s">
        <v>80</v>
      </c>
      <c r="L465" s="3" t="s">
        <v>1506</v>
      </c>
      <c r="M465" s="3" t="s">
        <v>1507</v>
      </c>
      <c r="N465" s="3" t="s">
        <v>22</v>
      </c>
      <c r="O465" s="5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" t="s">
        <v>14</v>
      </c>
      <c r="B466" s="3" t="s">
        <v>1503</v>
      </c>
      <c r="C466" s="33" t="s">
        <v>3610</v>
      </c>
      <c r="D466" s="3" t="s">
        <v>1504</v>
      </c>
      <c r="E466" s="3" t="s">
        <v>1503</v>
      </c>
      <c r="F466" s="3" t="s">
        <v>1505</v>
      </c>
      <c r="G466" s="3" t="s">
        <v>36</v>
      </c>
      <c r="H466" s="3" t="s">
        <v>1508</v>
      </c>
      <c r="I466" s="4" t="s">
        <v>36</v>
      </c>
      <c r="J466" s="4">
        <v>2.0</v>
      </c>
      <c r="K466" s="3" t="s">
        <v>80</v>
      </c>
      <c r="L466" s="3" t="s">
        <v>1506</v>
      </c>
      <c r="M466" s="3" t="s">
        <v>1507</v>
      </c>
      <c r="N466" s="3" t="s">
        <v>22</v>
      </c>
      <c r="O466" s="5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" t="s">
        <v>14</v>
      </c>
      <c r="B467" s="3" t="s">
        <v>1509</v>
      </c>
      <c r="C467" s="36" t="s">
        <v>3616</v>
      </c>
      <c r="D467" s="3" t="s">
        <v>1510</v>
      </c>
      <c r="E467" s="3" t="s">
        <v>1511</v>
      </c>
      <c r="F467" s="3" t="s">
        <v>1512</v>
      </c>
      <c r="G467" s="17" t="s">
        <v>36</v>
      </c>
      <c r="H467" s="3" t="s">
        <v>1113</v>
      </c>
      <c r="I467" s="4" t="s">
        <v>36</v>
      </c>
      <c r="J467" s="4">
        <v>1.0</v>
      </c>
      <c r="K467" s="3"/>
      <c r="L467" s="3" t="s">
        <v>1513</v>
      </c>
      <c r="M467" s="3" t="s">
        <v>1514</v>
      </c>
      <c r="N467" s="3" t="s">
        <v>22</v>
      </c>
      <c r="O467" s="5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" t="s">
        <v>14</v>
      </c>
      <c r="B468" s="3" t="s">
        <v>1509</v>
      </c>
      <c r="C468" s="36" t="s">
        <v>3616</v>
      </c>
      <c r="D468" s="3" t="s">
        <v>1510</v>
      </c>
      <c r="E468" s="3" t="s">
        <v>1511</v>
      </c>
      <c r="F468" s="3" t="s">
        <v>1512</v>
      </c>
      <c r="G468" s="3" t="s">
        <v>1515</v>
      </c>
      <c r="H468" s="3" t="s">
        <v>98</v>
      </c>
      <c r="I468" s="4">
        <v>1.0</v>
      </c>
      <c r="J468" s="4">
        <v>2.0</v>
      </c>
      <c r="K468" s="3" t="s">
        <v>80</v>
      </c>
      <c r="L468" s="3" t="s">
        <v>1513</v>
      </c>
      <c r="M468" s="3" t="s">
        <v>1514</v>
      </c>
      <c r="N468" s="3" t="s">
        <v>22</v>
      </c>
      <c r="O468" s="5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" t="s">
        <v>14</v>
      </c>
      <c r="B469" s="3" t="s">
        <v>1509</v>
      </c>
      <c r="C469" s="36" t="s">
        <v>3616</v>
      </c>
      <c r="D469" s="3" t="s">
        <v>1510</v>
      </c>
      <c r="E469" s="3" t="s">
        <v>1511</v>
      </c>
      <c r="F469" s="3" t="s">
        <v>1512</v>
      </c>
      <c r="G469" s="3" t="s">
        <v>451</v>
      </c>
      <c r="H469" s="3" t="s">
        <v>1211</v>
      </c>
      <c r="I469" s="4">
        <v>2.0</v>
      </c>
      <c r="J469" s="4">
        <v>3.0</v>
      </c>
      <c r="K469" s="3"/>
      <c r="L469" s="3" t="s">
        <v>1513</v>
      </c>
      <c r="M469" s="3" t="s">
        <v>1514</v>
      </c>
      <c r="N469" s="3" t="s">
        <v>22</v>
      </c>
      <c r="O469" s="5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" t="s">
        <v>14</v>
      </c>
      <c r="B470" s="3" t="s">
        <v>1516</v>
      </c>
      <c r="C470" s="36" t="s">
        <v>3609</v>
      </c>
      <c r="D470" s="3" t="s">
        <v>1517</v>
      </c>
      <c r="E470" s="3" t="s">
        <v>1518</v>
      </c>
      <c r="F470" s="3" t="s">
        <v>1519</v>
      </c>
      <c r="G470" s="3" t="s">
        <v>98</v>
      </c>
      <c r="H470" s="3" t="s">
        <v>222</v>
      </c>
      <c r="I470" s="4">
        <v>1.0</v>
      </c>
      <c r="J470" s="4">
        <v>1.0</v>
      </c>
      <c r="K470" s="3"/>
      <c r="L470" s="3" t="s">
        <v>1520</v>
      </c>
      <c r="M470" s="3" t="s">
        <v>1443</v>
      </c>
      <c r="N470" s="3" t="s">
        <v>22</v>
      </c>
      <c r="O470" s="5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" t="s">
        <v>14</v>
      </c>
      <c r="B471" s="3" t="s">
        <v>1516</v>
      </c>
      <c r="C471" s="36" t="s">
        <v>3609</v>
      </c>
      <c r="D471" s="3" t="s">
        <v>1517</v>
      </c>
      <c r="E471" s="3" t="s">
        <v>1518</v>
      </c>
      <c r="F471" s="3" t="s">
        <v>1519</v>
      </c>
      <c r="G471" s="3" t="s">
        <v>575</v>
      </c>
      <c r="H471" s="3" t="s">
        <v>575</v>
      </c>
      <c r="I471" s="4">
        <v>2.0</v>
      </c>
      <c r="J471" s="4">
        <v>2.0</v>
      </c>
      <c r="K471" s="3"/>
      <c r="L471" s="3" t="s">
        <v>1520</v>
      </c>
      <c r="M471" s="3" t="s">
        <v>1443</v>
      </c>
      <c r="N471" s="3" t="s">
        <v>22</v>
      </c>
      <c r="O471" s="5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" t="s">
        <v>14</v>
      </c>
      <c r="B472" s="3" t="s">
        <v>1516</v>
      </c>
      <c r="C472" s="36" t="s">
        <v>3609</v>
      </c>
      <c r="D472" s="3" t="s">
        <v>1517</v>
      </c>
      <c r="E472" s="3" t="s">
        <v>1518</v>
      </c>
      <c r="F472" s="3" t="s">
        <v>1519</v>
      </c>
      <c r="G472" s="3" t="s">
        <v>1075</v>
      </c>
      <c r="H472" s="3" t="s">
        <v>1076</v>
      </c>
      <c r="I472" s="4">
        <v>3.0</v>
      </c>
      <c r="J472" s="4">
        <v>3.0</v>
      </c>
      <c r="K472" s="3"/>
      <c r="L472" s="3" t="s">
        <v>1520</v>
      </c>
      <c r="M472" s="3" t="s">
        <v>1443</v>
      </c>
      <c r="N472" s="3" t="s">
        <v>22</v>
      </c>
      <c r="O472" s="5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" t="s">
        <v>14</v>
      </c>
      <c r="B473" s="3" t="s">
        <v>1521</v>
      </c>
      <c r="C473" s="36" t="s">
        <v>3616</v>
      </c>
      <c r="D473" s="3" t="s">
        <v>1522</v>
      </c>
      <c r="E473" s="3" t="s">
        <v>1523</v>
      </c>
      <c r="F473" s="3" t="s">
        <v>1524</v>
      </c>
      <c r="G473" s="3" t="s">
        <v>1525</v>
      </c>
      <c r="H473" s="3" t="s">
        <v>1113</v>
      </c>
      <c r="I473" s="4">
        <v>1.0</v>
      </c>
      <c r="J473" s="4">
        <v>1.0</v>
      </c>
      <c r="K473" s="3" t="s">
        <v>80</v>
      </c>
      <c r="L473" s="3" t="s">
        <v>1526</v>
      </c>
      <c r="M473" s="3" t="s">
        <v>1527</v>
      </c>
      <c r="N473" s="3" t="s">
        <v>22</v>
      </c>
      <c r="O473" s="5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" t="s">
        <v>14</v>
      </c>
      <c r="B474" s="3" t="s">
        <v>1521</v>
      </c>
      <c r="C474" s="36" t="s">
        <v>3616</v>
      </c>
      <c r="D474" s="3" t="s">
        <v>1522</v>
      </c>
      <c r="E474" s="3" t="s">
        <v>1523</v>
      </c>
      <c r="F474" s="3" t="s">
        <v>1524</v>
      </c>
      <c r="G474" s="3" t="s">
        <v>36</v>
      </c>
      <c r="H474" s="3" t="s">
        <v>56</v>
      </c>
      <c r="I474" s="4" t="s">
        <v>36</v>
      </c>
      <c r="J474" s="4">
        <v>2.0</v>
      </c>
      <c r="K474" s="3"/>
      <c r="L474" s="3" t="s">
        <v>1526</v>
      </c>
      <c r="M474" s="3" t="s">
        <v>1527</v>
      </c>
      <c r="N474" s="3" t="s">
        <v>22</v>
      </c>
      <c r="O474" s="5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" t="s">
        <v>14</v>
      </c>
      <c r="B475" s="3" t="s">
        <v>1521</v>
      </c>
      <c r="C475" s="36" t="s">
        <v>3616</v>
      </c>
      <c r="D475" s="3" t="s">
        <v>1522</v>
      </c>
      <c r="E475" s="3" t="s">
        <v>1523</v>
      </c>
      <c r="F475" s="3" t="s">
        <v>1524</v>
      </c>
      <c r="G475" s="3" t="s">
        <v>326</v>
      </c>
      <c r="H475" s="3" t="s">
        <v>1470</v>
      </c>
      <c r="I475" s="4">
        <v>2.0</v>
      </c>
      <c r="J475" s="4">
        <v>3.0</v>
      </c>
      <c r="K475" s="3"/>
      <c r="L475" s="3" t="s">
        <v>1526</v>
      </c>
      <c r="M475" s="3" t="s">
        <v>1527</v>
      </c>
      <c r="N475" s="3" t="s">
        <v>22</v>
      </c>
      <c r="O475" s="5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" t="s">
        <v>14</v>
      </c>
      <c r="B476" s="3" t="s">
        <v>1528</v>
      </c>
      <c r="C476" s="36" t="s">
        <v>3611</v>
      </c>
      <c r="D476" s="3" t="s">
        <v>1529</v>
      </c>
      <c r="E476" s="3" t="s">
        <v>1530</v>
      </c>
      <c r="F476" s="3" t="s">
        <v>1531</v>
      </c>
      <c r="G476" s="3" t="s">
        <v>29</v>
      </c>
      <c r="H476" s="3" t="s">
        <v>29</v>
      </c>
      <c r="I476" s="4">
        <v>1.0</v>
      </c>
      <c r="J476" s="4">
        <v>1.0</v>
      </c>
      <c r="K476" s="3" t="s">
        <v>80</v>
      </c>
      <c r="L476" s="3" t="s">
        <v>1532</v>
      </c>
      <c r="M476" s="3" t="s">
        <v>1533</v>
      </c>
      <c r="N476" s="3" t="s">
        <v>22</v>
      </c>
      <c r="O476" s="5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" t="s">
        <v>14</v>
      </c>
      <c r="B477" s="3" t="s">
        <v>1528</v>
      </c>
      <c r="C477" s="36" t="s">
        <v>3611</v>
      </c>
      <c r="D477" s="3" t="s">
        <v>1529</v>
      </c>
      <c r="E477" s="3" t="s">
        <v>1530</v>
      </c>
      <c r="F477" s="3" t="s">
        <v>1531</v>
      </c>
      <c r="G477" s="3" t="s">
        <v>349</v>
      </c>
      <c r="H477" s="3" t="s">
        <v>1534</v>
      </c>
      <c r="I477" s="4">
        <v>2.0</v>
      </c>
      <c r="J477" s="4">
        <v>2.0</v>
      </c>
      <c r="K477" s="3"/>
      <c r="L477" s="3" t="s">
        <v>1532</v>
      </c>
      <c r="M477" s="3" t="s">
        <v>1533</v>
      </c>
      <c r="N477" s="3" t="s">
        <v>22</v>
      </c>
      <c r="O477" s="5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" t="s">
        <v>14</v>
      </c>
      <c r="B478" s="3" t="s">
        <v>1528</v>
      </c>
      <c r="C478" s="36" t="s">
        <v>3611</v>
      </c>
      <c r="D478" s="3" t="s">
        <v>1529</v>
      </c>
      <c r="E478" s="3" t="s">
        <v>1530</v>
      </c>
      <c r="F478" s="3" t="s">
        <v>1531</v>
      </c>
      <c r="G478" s="3" t="s">
        <v>629</v>
      </c>
      <c r="H478" s="3" t="s">
        <v>630</v>
      </c>
      <c r="I478" s="4">
        <v>3.0</v>
      </c>
      <c r="J478" s="4">
        <v>3.0</v>
      </c>
      <c r="K478" s="3"/>
      <c r="L478" s="3" t="s">
        <v>1532</v>
      </c>
      <c r="M478" s="3" t="s">
        <v>1533</v>
      </c>
      <c r="N478" s="3" t="s">
        <v>22</v>
      </c>
      <c r="O478" s="5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5" t="s">
        <v>14</v>
      </c>
      <c r="B479" s="15" t="s">
        <v>1535</v>
      </c>
      <c r="C479" s="36" t="s">
        <v>3595</v>
      </c>
      <c r="D479" s="15" t="s">
        <v>1536</v>
      </c>
      <c r="E479" s="15" t="s">
        <v>1537</v>
      </c>
      <c r="F479" s="15" t="s">
        <v>1538</v>
      </c>
      <c r="G479" s="15" t="s">
        <v>36</v>
      </c>
      <c r="H479" s="15" t="s">
        <v>49</v>
      </c>
      <c r="I479" s="18" t="s">
        <v>36</v>
      </c>
      <c r="J479" s="18">
        <v>1.0</v>
      </c>
      <c r="K479" s="15" t="s">
        <v>80</v>
      </c>
      <c r="L479" s="15" t="s">
        <v>1539</v>
      </c>
      <c r="M479" s="15" t="s">
        <v>1540</v>
      </c>
      <c r="N479" s="15" t="s">
        <v>22</v>
      </c>
      <c r="O479" s="20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5" t="s">
        <v>14</v>
      </c>
      <c r="B480" s="15" t="s">
        <v>1535</v>
      </c>
      <c r="C480" s="36" t="s">
        <v>3595</v>
      </c>
      <c r="D480" s="15" t="s">
        <v>1536</v>
      </c>
      <c r="E480" s="15" t="s">
        <v>1537</v>
      </c>
      <c r="F480" s="15" t="s">
        <v>1538</v>
      </c>
      <c r="G480" s="15" t="s">
        <v>1541</v>
      </c>
      <c r="H480" s="15" t="s">
        <v>254</v>
      </c>
      <c r="I480" s="18">
        <v>1.0</v>
      </c>
      <c r="J480" s="18">
        <v>2.0</v>
      </c>
      <c r="K480" s="15"/>
      <c r="L480" s="15" t="s">
        <v>1539</v>
      </c>
      <c r="M480" s="15" t="s">
        <v>1540</v>
      </c>
      <c r="N480" s="15" t="s">
        <v>22</v>
      </c>
      <c r="O480" s="20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5" t="s">
        <v>14</v>
      </c>
      <c r="B481" s="15" t="s">
        <v>1535</v>
      </c>
      <c r="C481" s="36" t="s">
        <v>3595</v>
      </c>
      <c r="D481" s="15" t="s">
        <v>1536</v>
      </c>
      <c r="E481" s="15" t="s">
        <v>1537</v>
      </c>
      <c r="F481" s="15" t="s">
        <v>1538</v>
      </c>
      <c r="G481" s="15" t="s">
        <v>629</v>
      </c>
      <c r="H481" s="15" t="s">
        <v>630</v>
      </c>
      <c r="I481" s="18">
        <v>2.0</v>
      </c>
      <c r="J481" s="18">
        <v>3.0</v>
      </c>
      <c r="K481" s="15"/>
      <c r="L481" s="15" t="s">
        <v>1539</v>
      </c>
      <c r="M481" s="15" t="s">
        <v>1540</v>
      </c>
      <c r="N481" s="15" t="s">
        <v>22</v>
      </c>
      <c r="O481" s="20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3" t="s">
        <v>14</v>
      </c>
      <c r="B482" s="3" t="s">
        <v>1542</v>
      </c>
      <c r="C482" s="36" t="s">
        <v>3595</v>
      </c>
      <c r="D482" s="3" t="s">
        <v>1543</v>
      </c>
      <c r="E482" s="3" t="s">
        <v>1544</v>
      </c>
      <c r="F482" s="3" t="s">
        <v>1545</v>
      </c>
      <c r="G482" s="3" t="s">
        <v>1541</v>
      </c>
      <c r="H482" s="3" t="s">
        <v>254</v>
      </c>
      <c r="I482" s="4">
        <v>1.0</v>
      </c>
      <c r="J482" s="4">
        <v>1.0</v>
      </c>
      <c r="K482" s="3"/>
      <c r="L482" s="3" t="s">
        <v>1546</v>
      </c>
      <c r="M482" s="3" t="s">
        <v>1547</v>
      </c>
      <c r="N482" s="3" t="s">
        <v>22</v>
      </c>
      <c r="O482" s="5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" t="s">
        <v>14</v>
      </c>
      <c r="B483" s="3" t="s">
        <v>1542</v>
      </c>
      <c r="C483" s="36" t="s">
        <v>3595</v>
      </c>
      <c r="D483" s="3" t="s">
        <v>1543</v>
      </c>
      <c r="E483" s="3" t="s">
        <v>1544</v>
      </c>
      <c r="F483" s="3" t="s">
        <v>1545</v>
      </c>
      <c r="G483" s="3" t="s">
        <v>1396</v>
      </c>
      <c r="H483" s="3" t="s">
        <v>1397</v>
      </c>
      <c r="I483" s="4">
        <v>2.0</v>
      </c>
      <c r="J483" s="4">
        <v>2.0</v>
      </c>
      <c r="K483" s="3"/>
      <c r="L483" s="3" t="s">
        <v>1546</v>
      </c>
      <c r="M483" s="3" t="s">
        <v>1547</v>
      </c>
      <c r="N483" s="3" t="s">
        <v>22</v>
      </c>
      <c r="O483" s="5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5" t="s">
        <v>14</v>
      </c>
      <c r="B484" s="15" t="s">
        <v>1548</v>
      </c>
      <c r="C484" s="36" t="s">
        <v>3609</v>
      </c>
      <c r="D484" s="15" t="s">
        <v>1549</v>
      </c>
      <c r="E484" s="15" t="s">
        <v>1550</v>
      </c>
      <c r="F484" s="15" t="s">
        <v>1551</v>
      </c>
      <c r="G484" s="15" t="s">
        <v>36</v>
      </c>
      <c r="H484" s="15" t="s">
        <v>49</v>
      </c>
      <c r="I484" s="18" t="s">
        <v>36</v>
      </c>
      <c r="J484" s="18">
        <v>1.0</v>
      </c>
      <c r="K484" s="15" t="s">
        <v>80</v>
      </c>
      <c r="L484" s="15" t="s">
        <v>1552</v>
      </c>
      <c r="M484" s="15" t="s">
        <v>1553</v>
      </c>
      <c r="N484" s="15" t="s">
        <v>22</v>
      </c>
      <c r="O484" s="20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5" t="s">
        <v>14</v>
      </c>
      <c r="B485" s="15" t="s">
        <v>1548</v>
      </c>
      <c r="C485" s="36" t="s">
        <v>3609</v>
      </c>
      <c r="D485" s="15" t="s">
        <v>1549</v>
      </c>
      <c r="E485" s="15" t="s">
        <v>1550</v>
      </c>
      <c r="F485" s="15" t="s">
        <v>1551</v>
      </c>
      <c r="G485" s="15" t="s">
        <v>1541</v>
      </c>
      <c r="H485" s="15" t="s">
        <v>254</v>
      </c>
      <c r="I485" s="18">
        <v>1.0</v>
      </c>
      <c r="J485" s="18">
        <v>2.0</v>
      </c>
      <c r="K485" s="15"/>
      <c r="L485" s="15" t="s">
        <v>1552</v>
      </c>
      <c r="M485" s="15" t="s">
        <v>1553</v>
      </c>
      <c r="N485" s="15" t="s">
        <v>22</v>
      </c>
      <c r="O485" s="20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5" t="s">
        <v>14</v>
      </c>
      <c r="B486" s="15" t="s">
        <v>1548</v>
      </c>
      <c r="C486" s="36" t="s">
        <v>3609</v>
      </c>
      <c r="D486" s="15" t="s">
        <v>1549</v>
      </c>
      <c r="E486" s="15" t="s">
        <v>1550</v>
      </c>
      <c r="F486" s="15" t="s">
        <v>1551</v>
      </c>
      <c r="G486" s="15" t="s">
        <v>1554</v>
      </c>
      <c r="H486" s="15" t="s">
        <v>1486</v>
      </c>
      <c r="I486" s="18">
        <v>2.0</v>
      </c>
      <c r="J486" s="18">
        <v>3.0</v>
      </c>
      <c r="K486" s="15"/>
      <c r="L486" s="15" t="s">
        <v>1552</v>
      </c>
      <c r="M486" s="15" t="s">
        <v>1553</v>
      </c>
      <c r="N486" s="15" t="s">
        <v>22</v>
      </c>
      <c r="O486" s="20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5" t="s">
        <v>14</v>
      </c>
      <c r="B487" s="15" t="s">
        <v>1548</v>
      </c>
      <c r="C487" s="36" t="s">
        <v>3609</v>
      </c>
      <c r="D487" s="15" t="s">
        <v>1549</v>
      </c>
      <c r="E487" s="15" t="s">
        <v>1550</v>
      </c>
      <c r="F487" s="15" t="s">
        <v>1551</v>
      </c>
      <c r="G487" s="15" t="s">
        <v>615</v>
      </c>
      <c r="H487" s="15" t="s">
        <v>1299</v>
      </c>
      <c r="I487" s="18">
        <v>3.0</v>
      </c>
      <c r="J487" s="18">
        <v>4.0</v>
      </c>
      <c r="K487" s="15"/>
      <c r="L487" s="15" t="s">
        <v>1552</v>
      </c>
      <c r="M487" s="15" t="s">
        <v>1553</v>
      </c>
      <c r="N487" s="15" t="s">
        <v>22</v>
      </c>
      <c r="O487" s="20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3" t="s">
        <v>14</v>
      </c>
      <c r="B488" s="3" t="s">
        <v>1555</v>
      </c>
      <c r="C488" s="36" t="s">
        <v>3595</v>
      </c>
      <c r="D488" s="3" t="s">
        <v>1556</v>
      </c>
      <c r="E488" s="3" t="s">
        <v>1557</v>
      </c>
      <c r="F488" s="3" t="s">
        <v>1558</v>
      </c>
      <c r="G488" s="3" t="s">
        <v>233</v>
      </c>
      <c r="H488" s="3" t="s">
        <v>1234</v>
      </c>
      <c r="I488" s="4">
        <v>1.0</v>
      </c>
      <c r="J488" s="4">
        <v>1.0</v>
      </c>
      <c r="K488" s="3"/>
      <c r="L488" s="3" t="s">
        <v>1559</v>
      </c>
      <c r="M488" s="3" t="s">
        <v>1560</v>
      </c>
      <c r="N488" s="3" t="s">
        <v>22</v>
      </c>
      <c r="O488" s="5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" t="s">
        <v>14</v>
      </c>
      <c r="B489" s="3" t="s">
        <v>1555</v>
      </c>
      <c r="C489" s="36" t="s">
        <v>3595</v>
      </c>
      <c r="D489" s="3" t="s">
        <v>1556</v>
      </c>
      <c r="E489" s="3" t="s">
        <v>1557</v>
      </c>
      <c r="F489" s="3" t="s">
        <v>1558</v>
      </c>
      <c r="G489" s="3" t="s">
        <v>1387</v>
      </c>
      <c r="H489" s="3" t="s">
        <v>1388</v>
      </c>
      <c r="I489" s="4">
        <v>2.0</v>
      </c>
      <c r="J489" s="4">
        <v>2.0</v>
      </c>
      <c r="K489" s="3"/>
      <c r="L489" s="3" t="s">
        <v>1559</v>
      </c>
      <c r="M489" s="3" t="s">
        <v>1560</v>
      </c>
      <c r="N489" s="3" t="s">
        <v>22</v>
      </c>
      <c r="O489" s="5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" t="s">
        <v>14</v>
      </c>
      <c r="B490" s="3" t="s">
        <v>1561</v>
      </c>
      <c r="C490" s="36" t="s">
        <v>3595</v>
      </c>
      <c r="D490" s="3" t="s">
        <v>1562</v>
      </c>
      <c r="E490" s="3" t="s">
        <v>1563</v>
      </c>
      <c r="F490" s="3" t="s">
        <v>1564</v>
      </c>
      <c r="G490" s="3" t="s">
        <v>233</v>
      </c>
      <c r="H490" s="3" t="s">
        <v>233</v>
      </c>
      <c r="I490" s="4">
        <v>1.0</v>
      </c>
      <c r="J490" s="4">
        <v>1.0</v>
      </c>
      <c r="K490" s="3"/>
      <c r="L490" s="3" t="s">
        <v>1565</v>
      </c>
      <c r="M490" s="3" t="s">
        <v>1566</v>
      </c>
      <c r="N490" s="3" t="s">
        <v>22</v>
      </c>
      <c r="O490" s="5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" t="s">
        <v>14</v>
      </c>
      <c r="B491" s="3" t="s">
        <v>1561</v>
      </c>
      <c r="C491" s="36" t="s">
        <v>3595</v>
      </c>
      <c r="D491" s="3" t="s">
        <v>1562</v>
      </c>
      <c r="E491" s="3" t="s">
        <v>1563</v>
      </c>
      <c r="F491" s="3" t="s">
        <v>1564</v>
      </c>
      <c r="G491" s="3" t="s">
        <v>131</v>
      </c>
      <c r="H491" s="3" t="s">
        <v>132</v>
      </c>
      <c r="I491" s="4">
        <v>2.0</v>
      </c>
      <c r="J491" s="4">
        <v>2.0</v>
      </c>
      <c r="K491" s="3"/>
      <c r="L491" s="3" t="s">
        <v>1565</v>
      </c>
      <c r="M491" s="3" t="s">
        <v>1566</v>
      </c>
      <c r="N491" s="3" t="s">
        <v>22</v>
      </c>
      <c r="O491" s="5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5" t="s">
        <v>14</v>
      </c>
      <c r="B492" s="15" t="s">
        <v>1567</v>
      </c>
      <c r="C492" s="36" t="s">
        <v>3595</v>
      </c>
      <c r="D492" s="15" t="s">
        <v>1568</v>
      </c>
      <c r="E492" s="15" t="s">
        <v>1569</v>
      </c>
      <c r="F492" s="15" t="s">
        <v>1570</v>
      </c>
      <c r="G492" s="15" t="s">
        <v>36</v>
      </c>
      <c r="H492" s="15" t="s">
        <v>1113</v>
      </c>
      <c r="I492" s="18" t="s">
        <v>36</v>
      </c>
      <c r="J492" s="18">
        <v>1.0</v>
      </c>
      <c r="K492" s="15" t="s">
        <v>80</v>
      </c>
      <c r="L492" s="15" t="s">
        <v>1571</v>
      </c>
      <c r="M492" s="15" t="s">
        <v>1572</v>
      </c>
      <c r="N492" s="15" t="s">
        <v>22</v>
      </c>
      <c r="O492" s="20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5" t="s">
        <v>14</v>
      </c>
      <c r="B493" s="15" t="s">
        <v>1567</v>
      </c>
      <c r="C493" s="36" t="s">
        <v>3595</v>
      </c>
      <c r="D493" s="15" t="s">
        <v>1568</v>
      </c>
      <c r="E493" s="15" t="s">
        <v>1569</v>
      </c>
      <c r="F493" s="15" t="s">
        <v>1570</v>
      </c>
      <c r="G493" s="15" t="s">
        <v>1573</v>
      </c>
      <c r="H493" s="15" t="s">
        <v>437</v>
      </c>
      <c r="I493" s="18">
        <v>1.0</v>
      </c>
      <c r="J493" s="18">
        <v>2.0</v>
      </c>
      <c r="K493" s="15"/>
      <c r="L493" s="15" t="s">
        <v>1571</v>
      </c>
      <c r="M493" s="15" t="s">
        <v>1572</v>
      </c>
      <c r="N493" s="15" t="s">
        <v>22</v>
      </c>
      <c r="O493" s="20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5" t="s">
        <v>14</v>
      </c>
      <c r="B494" s="15" t="s">
        <v>1567</v>
      </c>
      <c r="C494" s="36" t="s">
        <v>3595</v>
      </c>
      <c r="D494" s="15" t="s">
        <v>1568</v>
      </c>
      <c r="E494" s="15" t="s">
        <v>1569</v>
      </c>
      <c r="F494" s="15" t="s">
        <v>1570</v>
      </c>
      <c r="G494" s="15" t="s">
        <v>1032</v>
      </c>
      <c r="H494" s="15" t="s">
        <v>1470</v>
      </c>
      <c r="I494" s="18">
        <v>2.0</v>
      </c>
      <c r="J494" s="18">
        <v>3.0</v>
      </c>
      <c r="K494" s="15"/>
      <c r="L494" s="15" t="s">
        <v>1571</v>
      </c>
      <c r="M494" s="15" t="s">
        <v>1572</v>
      </c>
      <c r="N494" s="15" t="s">
        <v>22</v>
      </c>
      <c r="O494" s="20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3" t="s">
        <v>14</v>
      </c>
      <c r="B495" s="3" t="s">
        <v>1574</v>
      </c>
      <c r="C495" s="36" t="s">
        <v>3595</v>
      </c>
      <c r="D495" s="3" t="s">
        <v>1575</v>
      </c>
      <c r="E495" s="3" t="s">
        <v>1576</v>
      </c>
      <c r="F495" s="3" t="s">
        <v>1577</v>
      </c>
      <c r="G495" s="3" t="s">
        <v>702</v>
      </c>
      <c r="H495" s="3" t="s">
        <v>712</v>
      </c>
      <c r="I495" s="4">
        <v>1.0</v>
      </c>
      <c r="J495" s="4">
        <v>1.0</v>
      </c>
      <c r="K495" s="3"/>
      <c r="L495" s="3" t="s">
        <v>1578</v>
      </c>
      <c r="M495" s="3" t="s">
        <v>1579</v>
      </c>
      <c r="N495" s="3" t="s">
        <v>22</v>
      </c>
      <c r="O495" s="5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" t="s">
        <v>14</v>
      </c>
      <c r="B496" s="3" t="s">
        <v>1574</v>
      </c>
      <c r="C496" s="36" t="s">
        <v>3595</v>
      </c>
      <c r="D496" s="3" t="s">
        <v>1575</v>
      </c>
      <c r="E496" s="3" t="s">
        <v>1576</v>
      </c>
      <c r="F496" s="3" t="s">
        <v>1577</v>
      </c>
      <c r="G496" s="3" t="s">
        <v>629</v>
      </c>
      <c r="H496" s="3" t="s">
        <v>630</v>
      </c>
      <c r="I496" s="4">
        <v>2.0</v>
      </c>
      <c r="J496" s="4">
        <v>2.0</v>
      </c>
      <c r="K496" s="3"/>
      <c r="L496" s="3" t="s">
        <v>1578</v>
      </c>
      <c r="M496" s="3" t="s">
        <v>1579</v>
      </c>
      <c r="N496" s="3" t="s">
        <v>22</v>
      </c>
      <c r="O496" s="5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" t="s">
        <v>14</v>
      </c>
      <c r="B497" s="3" t="s">
        <v>1580</v>
      </c>
      <c r="C497" s="36" t="s">
        <v>3595</v>
      </c>
      <c r="D497" s="3" t="s">
        <v>1581</v>
      </c>
      <c r="E497" s="3" t="s">
        <v>1582</v>
      </c>
      <c r="F497" s="3" t="s">
        <v>1583</v>
      </c>
      <c r="G497" s="3" t="s">
        <v>1584</v>
      </c>
      <c r="H497" s="3" t="s">
        <v>703</v>
      </c>
      <c r="I497" s="4">
        <v>1.0</v>
      </c>
      <c r="J497" s="4">
        <v>1.0</v>
      </c>
      <c r="K497" s="3"/>
      <c r="L497" s="3" t="s">
        <v>1585</v>
      </c>
      <c r="M497" s="3" t="s">
        <v>1586</v>
      </c>
      <c r="N497" s="3" t="s">
        <v>22</v>
      </c>
      <c r="O497" s="5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" t="s">
        <v>14</v>
      </c>
      <c r="B498" s="3" t="s">
        <v>1580</v>
      </c>
      <c r="C498" s="36" t="s">
        <v>3595</v>
      </c>
      <c r="D498" s="3" t="s">
        <v>1581</v>
      </c>
      <c r="E498" s="3" t="s">
        <v>1582</v>
      </c>
      <c r="F498" s="3" t="s">
        <v>1583</v>
      </c>
      <c r="G498" s="3" t="s">
        <v>1331</v>
      </c>
      <c r="H498" s="3" t="s">
        <v>1181</v>
      </c>
      <c r="I498" s="4">
        <v>2.0</v>
      </c>
      <c r="J498" s="4">
        <v>2.0</v>
      </c>
      <c r="K498" s="3"/>
      <c r="L498" s="3" t="s">
        <v>1585</v>
      </c>
      <c r="M498" s="3" t="s">
        <v>1586</v>
      </c>
      <c r="N498" s="3" t="s">
        <v>22</v>
      </c>
      <c r="O498" s="5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5" t="s">
        <v>14</v>
      </c>
      <c r="B499" s="15" t="s">
        <v>1587</v>
      </c>
      <c r="C499" s="36" t="s">
        <v>3595</v>
      </c>
      <c r="D499" s="15" t="s">
        <v>1588</v>
      </c>
      <c r="E499" s="15" t="s">
        <v>1589</v>
      </c>
      <c r="F499" s="15" t="s">
        <v>1590</v>
      </c>
      <c r="G499" s="15" t="s">
        <v>36</v>
      </c>
      <c r="H499" s="15" t="s">
        <v>1113</v>
      </c>
      <c r="I499" s="18" t="s">
        <v>36</v>
      </c>
      <c r="J499" s="18">
        <v>1.0</v>
      </c>
      <c r="K499" s="15" t="s">
        <v>80</v>
      </c>
      <c r="L499" s="15" t="s">
        <v>1591</v>
      </c>
      <c r="M499" s="15" t="s">
        <v>1592</v>
      </c>
      <c r="N499" s="15" t="s">
        <v>22</v>
      </c>
      <c r="O499" s="20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5" t="s">
        <v>14</v>
      </c>
      <c r="B500" s="15" t="s">
        <v>1587</v>
      </c>
      <c r="C500" s="36" t="s">
        <v>3595</v>
      </c>
      <c r="D500" s="15" t="s">
        <v>1588</v>
      </c>
      <c r="E500" s="15" t="s">
        <v>1589</v>
      </c>
      <c r="F500" s="15" t="s">
        <v>1590</v>
      </c>
      <c r="G500" s="15" t="s">
        <v>702</v>
      </c>
      <c r="H500" s="15" t="s">
        <v>1593</v>
      </c>
      <c r="I500" s="18">
        <v>1.0</v>
      </c>
      <c r="J500" s="18">
        <v>2.0</v>
      </c>
      <c r="K500" s="15"/>
      <c r="L500" s="15" t="s">
        <v>1591</v>
      </c>
      <c r="M500" s="15" t="s">
        <v>1592</v>
      </c>
      <c r="N500" s="15" t="s">
        <v>22</v>
      </c>
      <c r="O500" s="20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5" t="s">
        <v>14</v>
      </c>
      <c r="B501" s="15" t="s">
        <v>1587</v>
      </c>
      <c r="C501" s="36" t="s">
        <v>3595</v>
      </c>
      <c r="D501" s="15" t="s">
        <v>1588</v>
      </c>
      <c r="E501" s="15" t="s">
        <v>1589</v>
      </c>
      <c r="F501" s="15" t="s">
        <v>1590</v>
      </c>
      <c r="G501" s="15" t="s">
        <v>1032</v>
      </c>
      <c r="H501" s="15" t="s">
        <v>1076</v>
      </c>
      <c r="I501" s="18">
        <v>2.0</v>
      </c>
      <c r="J501" s="18">
        <v>3.0</v>
      </c>
      <c r="K501" s="15"/>
      <c r="L501" s="15" t="s">
        <v>1591</v>
      </c>
      <c r="M501" s="15" t="s">
        <v>1592</v>
      </c>
      <c r="N501" s="15" t="s">
        <v>22</v>
      </c>
      <c r="O501" s="20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3" t="s">
        <v>14</v>
      </c>
      <c r="B502" s="3" t="s">
        <v>1594</v>
      </c>
      <c r="C502" s="36" t="s">
        <v>3595</v>
      </c>
      <c r="D502" s="3" t="s">
        <v>1595</v>
      </c>
      <c r="E502" s="3" t="s">
        <v>1596</v>
      </c>
      <c r="F502" s="3" t="s">
        <v>1597</v>
      </c>
      <c r="G502" s="3" t="s">
        <v>1598</v>
      </c>
      <c r="H502" s="3" t="s">
        <v>1599</v>
      </c>
      <c r="I502" s="4">
        <v>1.0</v>
      </c>
      <c r="J502" s="4">
        <v>1.0</v>
      </c>
      <c r="K502" s="3"/>
      <c r="L502" s="3" t="s">
        <v>1600</v>
      </c>
      <c r="M502" s="3" t="s">
        <v>1601</v>
      </c>
      <c r="N502" s="3" t="s">
        <v>22</v>
      </c>
      <c r="O502" s="5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" t="s">
        <v>14</v>
      </c>
      <c r="B503" s="3" t="s">
        <v>1594</v>
      </c>
      <c r="C503" s="36" t="s">
        <v>3595</v>
      </c>
      <c r="D503" s="3" t="s">
        <v>1595</v>
      </c>
      <c r="E503" s="3" t="s">
        <v>1596</v>
      </c>
      <c r="F503" s="3" t="s">
        <v>1597</v>
      </c>
      <c r="G503" s="3" t="s">
        <v>629</v>
      </c>
      <c r="H503" s="3" t="s">
        <v>630</v>
      </c>
      <c r="I503" s="4">
        <v>2.0</v>
      </c>
      <c r="J503" s="4">
        <v>2.0</v>
      </c>
      <c r="K503" s="3"/>
      <c r="L503" s="3" t="s">
        <v>1600</v>
      </c>
      <c r="M503" s="3" t="s">
        <v>1601</v>
      </c>
      <c r="N503" s="3" t="s">
        <v>22</v>
      </c>
      <c r="O503" s="5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" t="s">
        <v>14</v>
      </c>
      <c r="B504" s="3" t="s">
        <v>1602</v>
      </c>
      <c r="C504" s="36" t="s">
        <v>3595</v>
      </c>
      <c r="D504" s="3" t="s">
        <v>1603</v>
      </c>
      <c r="E504" s="3" t="s">
        <v>1604</v>
      </c>
      <c r="F504" s="3" t="s">
        <v>1605</v>
      </c>
      <c r="G504" s="3" t="s">
        <v>114</v>
      </c>
      <c r="H504" s="3" t="s">
        <v>668</v>
      </c>
      <c r="I504" s="4">
        <v>1.0</v>
      </c>
      <c r="J504" s="4">
        <v>1.0</v>
      </c>
      <c r="K504" s="3"/>
      <c r="L504" s="3" t="s">
        <v>1606</v>
      </c>
      <c r="M504" s="3" t="s">
        <v>1607</v>
      </c>
      <c r="N504" s="3" t="s">
        <v>22</v>
      </c>
      <c r="O504" s="5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" t="s">
        <v>14</v>
      </c>
      <c r="B505" s="3" t="s">
        <v>1602</v>
      </c>
      <c r="C505" s="36" t="s">
        <v>3595</v>
      </c>
      <c r="D505" s="3" t="s">
        <v>1603</v>
      </c>
      <c r="E505" s="3" t="s">
        <v>1604</v>
      </c>
      <c r="F505" s="3" t="s">
        <v>1605</v>
      </c>
      <c r="G505" s="3" t="s">
        <v>1608</v>
      </c>
      <c r="H505" s="3" t="s">
        <v>1152</v>
      </c>
      <c r="I505" s="4">
        <v>2.0</v>
      </c>
      <c r="J505" s="4">
        <v>2.0</v>
      </c>
      <c r="K505" s="3"/>
      <c r="L505" s="3" t="s">
        <v>1606</v>
      </c>
      <c r="M505" s="3" t="s">
        <v>1607</v>
      </c>
      <c r="N505" s="3" t="s">
        <v>22</v>
      </c>
      <c r="O505" s="5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5" t="s">
        <v>14</v>
      </c>
      <c r="B506" s="15" t="s">
        <v>1609</v>
      </c>
      <c r="C506" s="36" t="s">
        <v>3595</v>
      </c>
      <c r="D506" s="15" t="s">
        <v>1610</v>
      </c>
      <c r="E506" s="15" t="s">
        <v>1611</v>
      </c>
      <c r="F506" s="15" t="s">
        <v>1612</v>
      </c>
      <c r="G506" s="15" t="s">
        <v>36</v>
      </c>
      <c r="H506" s="15" t="s">
        <v>30</v>
      </c>
      <c r="I506" s="18" t="s">
        <v>36</v>
      </c>
      <c r="J506" s="18">
        <v>1.0</v>
      </c>
      <c r="K506" s="15" t="s">
        <v>80</v>
      </c>
      <c r="L506" s="15" t="s">
        <v>1613</v>
      </c>
      <c r="M506" s="15" t="s">
        <v>1614</v>
      </c>
      <c r="N506" s="15" t="s">
        <v>22</v>
      </c>
      <c r="O506" s="20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5" t="s">
        <v>14</v>
      </c>
      <c r="B507" s="15" t="s">
        <v>1609</v>
      </c>
      <c r="C507" s="36" t="s">
        <v>3595</v>
      </c>
      <c r="D507" s="15" t="s">
        <v>1610</v>
      </c>
      <c r="E507" s="15" t="s">
        <v>1611</v>
      </c>
      <c r="F507" s="15" t="s">
        <v>1612</v>
      </c>
      <c r="G507" s="15" t="s">
        <v>1615</v>
      </c>
      <c r="H507" s="15" t="s">
        <v>1616</v>
      </c>
      <c r="I507" s="18">
        <v>1.0</v>
      </c>
      <c r="J507" s="18">
        <v>2.0</v>
      </c>
      <c r="K507" s="15"/>
      <c r="L507" s="15" t="s">
        <v>1613</v>
      </c>
      <c r="M507" s="15" t="s">
        <v>1614</v>
      </c>
      <c r="N507" s="15" t="s">
        <v>22</v>
      </c>
      <c r="O507" s="20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5" t="s">
        <v>14</v>
      </c>
      <c r="B508" s="15" t="s">
        <v>1609</v>
      </c>
      <c r="C508" s="36" t="s">
        <v>3595</v>
      </c>
      <c r="D508" s="15" t="s">
        <v>1610</v>
      </c>
      <c r="E508" s="15" t="s">
        <v>1611</v>
      </c>
      <c r="F508" s="15" t="s">
        <v>1612</v>
      </c>
      <c r="G508" s="15" t="s">
        <v>131</v>
      </c>
      <c r="H508" s="15" t="s">
        <v>132</v>
      </c>
      <c r="I508" s="18">
        <v>2.0</v>
      </c>
      <c r="J508" s="18">
        <v>3.0</v>
      </c>
      <c r="K508" s="15"/>
      <c r="L508" s="15" t="s">
        <v>1613</v>
      </c>
      <c r="M508" s="15" t="s">
        <v>1614</v>
      </c>
      <c r="N508" s="15" t="s">
        <v>22</v>
      </c>
      <c r="O508" s="20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3" t="s">
        <v>14</v>
      </c>
      <c r="B509" s="3" t="s">
        <v>1617</v>
      </c>
      <c r="C509" s="36" t="s">
        <v>3595</v>
      </c>
      <c r="D509" s="3" t="s">
        <v>1618</v>
      </c>
      <c r="E509" s="3" t="s">
        <v>1619</v>
      </c>
      <c r="F509" s="3" t="s">
        <v>1620</v>
      </c>
      <c r="G509" s="3" t="s">
        <v>1621</v>
      </c>
      <c r="H509" s="3" t="s">
        <v>1137</v>
      </c>
      <c r="I509" s="4">
        <v>1.0</v>
      </c>
      <c r="J509" s="4">
        <v>1.0</v>
      </c>
      <c r="K509" s="3"/>
      <c r="L509" s="3" t="s">
        <v>1622</v>
      </c>
      <c r="M509" s="3" t="s">
        <v>1623</v>
      </c>
      <c r="N509" s="3" t="s">
        <v>22</v>
      </c>
      <c r="O509" s="5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" t="s">
        <v>14</v>
      </c>
      <c r="B510" s="3" t="s">
        <v>1617</v>
      </c>
      <c r="C510" s="36" t="s">
        <v>3595</v>
      </c>
      <c r="D510" s="3" t="s">
        <v>1618</v>
      </c>
      <c r="E510" s="3" t="s">
        <v>1619</v>
      </c>
      <c r="F510" s="3" t="s">
        <v>1620</v>
      </c>
      <c r="G510" s="3" t="s">
        <v>451</v>
      </c>
      <c r="H510" s="3" t="s">
        <v>1211</v>
      </c>
      <c r="I510" s="4">
        <v>2.0</v>
      </c>
      <c r="J510" s="4">
        <v>2.0</v>
      </c>
      <c r="K510" s="3"/>
      <c r="L510" s="3" t="s">
        <v>1622</v>
      </c>
      <c r="M510" s="3" t="s">
        <v>1623</v>
      </c>
      <c r="N510" s="3" t="s">
        <v>22</v>
      </c>
      <c r="O510" s="5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" t="s">
        <v>14</v>
      </c>
      <c r="B511" s="3" t="s">
        <v>1624</v>
      </c>
      <c r="C511" s="36" t="s">
        <v>3595</v>
      </c>
      <c r="D511" s="3" t="s">
        <v>1625</v>
      </c>
      <c r="E511" s="3" t="s">
        <v>1626</v>
      </c>
      <c r="F511" s="3" t="s">
        <v>1627</v>
      </c>
      <c r="G511" s="3" t="s">
        <v>1554</v>
      </c>
      <c r="H511" s="3" t="s">
        <v>1628</v>
      </c>
      <c r="I511" s="4">
        <v>1.0</v>
      </c>
      <c r="J511" s="4">
        <v>1.0</v>
      </c>
      <c r="K511" s="3"/>
      <c r="L511" s="3" t="s">
        <v>1629</v>
      </c>
      <c r="M511" s="3" t="s">
        <v>1630</v>
      </c>
      <c r="N511" s="3" t="s">
        <v>22</v>
      </c>
      <c r="O511" s="5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" t="s">
        <v>14</v>
      </c>
      <c r="B512" s="3" t="s">
        <v>1624</v>
      </c>
      <c r="C512" s="36" t="s">
        <v>3595</v>
      </c>
      <c r="D512" s="3" t="s">
        <v>1625</v>
      </c>
      <c r="E512" s="3" t="s">
        <v>1626</v>
      </c>
      <c r="F512" s="3" t="s">
        <v>1627</v>
      </c>
      <c r="G512" s="3" t="s">
        <v>1631</v>
      </c>
      <c r="H512" s="3" t="s">
        <v>1632</v>
      </c>
      <c r="I512" s="4">
        <v>2.0</v>
      </c>
      <c r="J512" s="4">
        <v>2.0</v>
      </c>
      <c r="K512" s="3"/>
      <c r="L512" s="3" t="s">
        <v>1629</v>
      </c>
      <c r="M512" s="3" t="s">
        <v>1630</v>
      </c>
      <c r="N512" s="3" t="s">
        <v>22</v>
      </c>
      <c r="O512" s="5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" t="s">
        <v>14</v>
      </c>
      <c r="B513" s="3" t="s">
        <v>1633</v>
      </c>
      <c r="C513" s="36" t="s">
        <v>3595</v>
      </c>
      <c r="D513" s="3" t="s">
        <v>1634</v>
      </c>
      <c r="E513" s="3" t="s">
        <v>1635</v>
      </c>
      <c r="F513" s="3" t="s">
        <v>1636</v>
      </c>
      <c r="G513" s="3" t="s">
        <v>1637</v>
      </c>
      <c r="H513" s="3" t="s">
        <v>1638</v>
      </c>
      <c r="I513" s="4">
        <v>1.0</v>
      </c>
      <c r="J513" s="4">
        <v>1.0</v>
      </c>
      <c r="K513" s="3" t="s">
        <v>72</v>
      </c>
      <c r="L513" s="3" t="s">
        <v>1639</v>
      </c>
      <c r="M513" s="3" t="s">
        <v>1640</v>
      </c>
      <c r="N513" s="3" t="s">
        <v>22</v>
      </c>
      <c r="O513" s="5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" t="s">
        <v>14</v>
      </c>
      <c r="B514" s="3" t="s">
        <v>1633</v>
      </c>
      <c r="C514" s="36" t="s">
        <v>3595</v>
      </c>
      <c r="D514" s="3" t="s">
        <v>1634</v>
      </c>
      <c r="E514" s="3" t="s">
        <v>1635</v>
      </c>
      <c r="F514" s="3" t="s">
        <v>1636</v>
      </c>
      <c r="G514" s="3" t="s">
        <v>131</v>
      </c>
      <c r="H514" s="3" t="s">
        <v>132</v>
      </c>
      <c r="I514" s="4">
        <v>2.0</v>
      </c>
      <c r="J514" s="4">
        <v>2.0</v>
      </c>
      <c r="K514" s="3"/>
      <c r="L514" s="3" t="s">
        <v>1639</v>
      </c>
      <c r="M514" s="3" t="s">
        <v>1640</v>
      </c>
      <c r="N514" s="3" t="s">
        <v>22</v>
      </c>
      <c r="O514" s="5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5" t="s">
        <v>14</v>
      </c>
      <c r="B515" s="15" t="s">
        <v>1641</v>
      </c>
      <c r="C515" s="36" t="s">
        <v>3595</v>
      </c>
      <c r="D515" s="15" t="s">
        <v>1642</v>
      </c>
      <c r="E515" s="15" t="s">
        <v>1643</v>
      </c>
      <c r="F515" s="15" t="s">
        <v>1644</v>
      </c>
      <c r="G515" s="15" t="s">
        <v>36</v>
      </c>
      <c r="H515" s="15" t="s">
        <v>30</v>
      </c>
      <c r="I515" s="18" t="s">
        <v>36</v>
      </c>
      <c r="J515" s="18">
        <v>1.0</v>
      </c>
      <c r="K515" s="15" t="s">
        <v>80</v>
      </c>
      <c r="L515" s="15" t="s">
        <v>1645</v>
      </c>
      <c r="M515" s="15" t="s">
        <v>1646</v>
      </c>
      <c r="N515" s="15" t="s">
        <v>22</v>
      </c>
      <c r="O515" s="20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5" t="s">
        <v>14</v>
      </c>
      <c r="B516" s="15" t="s">
        <v>1641</v>
      </c>
      <c r="C516" s="36" t="s">
        <v>3595</v>
      </c>
      <c r="D516" s="15" t="s">
        <v>1642</v>
      </c>
      <c r="E516" s="15" t="s">
        <v>1643</v>
      </c>
      <c r="F516" s="15" t="s">
        <v>1644</v>
      </c>
      <c r="G516" s="15" t="s">
        <v>1647</v>
      </c>
      <c r="H516" s="15" t="s">
        <v>591</v>
      </c>
      <c r="I516" s="18">
        <v>1.0</v>
      </c>
      <c r="J516" s="18">
        <v>2.0</v>
      </c>
      <c r="K516" s="15"/>
      <c r="L516" s="15" t="s">
        <v>1645</v>
      </c>
      <c r="M516" s="15" t="s">
        <v>1646</v>
      </c>
      <c r="N516" s="15" t="s">
        <v>22</v>
      </c>
      <c r="O516" s="20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5" t="s">
        <v>14</v>
      </c>
      <c r="B517" s="15" t="s">
        <v>1641</v>
      </c>
      <c r="C517" s="36" t="s">
        <v>3595</v>
      </c>
      <c r="D517" s="15" t="s">
        <v>1642</v>
      </c>
      <c r="E517" s="15" t="s">
        <v>1643</v>
      </c>
      <c r="F517" s="15" t="s">
        <v>1644</v>
      </c>
      <c r="G517" s="15" t="s">
        <v>451</v>
      </c>
      <c r="H517" s="15" t="s">
        <v>1211</v>
      </c>
      <c r="I517" s="18">
        <v>2.0</v>
      </c>
      <c r="J517" s="18">
        <v>3.0</v>
      </c>
      <c r="K517" s="15"/>
      <c r="L517" s="15" t="s">
        <v>1645</v>
      </c>
      <c r="M517" s="15" t="s">
        <v>1646</v>
      </c>
      <c r="N517" s="15" t="s">
        <v>22</v>
      </c>
      <c r="O517" s="20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21" t="s">
        <v>14</v>
      </c>
      <c r="B518" s="21" t="s">
        <v>1648</v>
      </c>
      <c r="C518" s="36" t="s">
        <v>3605</v>
      </c>
      <c r="D518" s="21" t="s">
        <v>1649</v>
      </c>
      <c r="E518" s="21" t="s">
        <v>1650</v>
      </c>
      <c r="F518" s="21" t="s">
        <v>1651</v>
      </c>
      <c r="G518" s="21" t="s">
        <v>36</v>
      </c>
      <c r="H518" s="21" t="s">
        <v>1113</v>
      </c>
      <c r="I518" s="22" t="s">
        <v>36</v>
      </c>
      <c r="J518" s="22">
        <v>1.0</v>
      </c>
      <c r="K518" s="21" t="s">
        <v>80</v>
      </c>
      <c r="L518" s="21" t="s">
        <v>1652</v>
      </c>
      <c r="M518" s="21" t="s">
        <v>1653</v>
      </c>
      <c r="N518" s="21" t="s">
        <v>22</v>
      </c>
      <c r="O518" s="23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A519" s="21" t="s">
        <v>14</v>
      </c>
      <c r="B519" s="21" t="s">
        <v>1648</v>
      </c>
      <c r="C519" s="36" t="s">
        <v>3605</v>
      </c>
      <c r="D519" s="21" t="s">
        <v>1649</v>
      </c>
      <c r="E519" s="21" t="s">
        <v>1650</v>
      </c>
      <c r="F519" s="21" t="s">
        <v>1651</v>
      </c>
      <c r="G519" s="21" t="s">
        <v>244</v>
      </c>
      <c r="H519" s="21" t="s">
        <v>1654</v>
      </c>
      <c r="I519" s="22">
        <v>1.0</v>
      </c>
      <c r="J519" s="22">
        <v>2.0</v>
      </c>
      <c r="K519" s="21"/>
      <c r="L519" s="21" t="s">
        <v>1652</v>
      </c>
      <c r="M519" s="21" t="s">
        <v>1653</v>
      </c>
      <c r="N519" s="21" t="s">
        <v>22</v>
      </c>
      <c r="O519" s="23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A520" s="21" t="s">
        <v>14</v>
      </c>
      <c r="B520" s="21" t="s">
        <v>1648</v>
      </c>
      <c r="C520" s="36" t="s">
        <v>3605</v>
      </c>
      <c r="D520" s="21" t="s">
        <v>1649</v>
      </c>
      <c r="E520" s="21" t="s">
        <v>1650</v>
      </c>
      <c r="F520" s="21" t="s">
        <v>1651</v>
      </c>
      <c r="G520" s="21" t="s">
        <v>1494</v>
      </c>
      <c r="H520" s="21" t="s">
        <v>1495</v>
      </c>
      <c r="I520" s="22">
        <v>2.0</v>
      </c>
      <c r="J520" s="22">
        <v>3.0</v>
      </c>
      <c r="K520" s="21"/>
      <c r="L520" s="21" t="s">
        <v>1652</v>
      </c>
      <c r="M520" s="21" t="s">
        <v>1653</v>
      </c>
      <c r="N520" s="21" t="s">
        <v>22</v>
      </c>
      <c r="O520" s="23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A521" s="21" t="s">
        <v>14</v>
      </c>
      <c r="B521" s="21" t="s">
        <v>1655</v>
      </c>
      <c r="C521" s="33" t="s">
        <v>3610</v>
      </c>
      <c r="D521" s="21" t="s">
        <v>1656</v>
      </c>
      <c r="E521" s="21" t="s">
        <v>1655</v>
      </c>
      <c r="F521" s="21" t="s">
        <v>1657</v>
      </c>
      <c r="G521" s="21" t="s">
        <v>36</v>
      </c>
      <c r="H521" s="21" t="s">
        <v>437</v>
      </c>
      <c r="I521" s="22" t="s">
        <v>36</v>
      </c>
      <c r="J521" s="22">
        <v>1.0</v>
      </c>
      <c r="K521" s="21" t="s">
        <v>80</v>
      </c>
      <c r="L521" s="21" t="s">
        <v>1658</v>
      </c>
      <c r="M521" s="21" t="s">
        <v>1659</v>
      </c>
      <c r="N521" s="21" t="s">
        <v>22</v>
      </c>
      <c r="O521" s="23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A522" s="21" t="s">
        <v>14</v>
      </c>
      <c r="B522" s="21" t="s">
        <v>1655</v>
      </c>
      <c r="C522" s="33" t="s">
        <v>3610</v>
      </c>
      <c r="D522" s="21" t="s">
        <v>1656</v>
      </c>
      <c r="E522" s="21" t="s">
        <v>1655</v>
      </c>
      <c r="F522" s="21" t="s">
        <v>1657</v>
      </c>
      <c r="G522" s="21" t="s">
        <v>1655</v>
      </c>
      <c r="H522" s="21" t="s">
        <v>1033</v>
      </c>
      <c r="I522" s="22">
        <v>1.0</v>
      </c>
      <c r="J522" s="22">
        <v>2.0</v>
      </c>
      <c r="K522" s="21"/>
      <c r="L522" s="21" t="s">
        <v>1658</v>
      </c>
      <c r="M522" s="21" t="s">
        <v>1659</v>
      </c>
      <c r="N522" s="21" t="s">
        <v>22</v>
      </c>
      <c r="O522" s="23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A523" s="15" t="s">
        <v>14</v>
      </c>
      <c r="B523" s="15" t="s">
        <v>1660</v>
      </c>
      <c r="C523" s="36" t="s">
        <v>3609</v>
      </c>
      <c r="D523" s="15" t="s">
        <v>1661</v>
      </c>
      <c r="E523" s="15" t="s">
        <v>1662</v>
      </c>
      <c r="F523" s="15" t="s">
        <v>1663</v>
      </c>
      <c r="G523" s="15" t="s">
        <v>244</v>
      </c>
      <c r="H523" s="15" t="s">
        <v>402</v>
      </c>
      <c r="I523" s="18">
        <v>1.0</v>
      </c>
      <c r="J523" s="18">
        <v>1.0</v>
      </c>
      <c r="K523" s="15"/>
      <c r="L523" s="15" t="s">
        <v>1664</v>
      </c>
      <c r="M523" s="15" t="s">
        <v>1008</v>
      </c>
      <c r="N523" s="15" t="s">
        <v>22</v>
      </c>
      <c r="O523" s="20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5" t="s">
        <v>14</v>
      </c>
      <c r="B524" s="15" t="s">
        <v>1660</v>
      </c>
      <c r="C524" s="36" t="s">
        <v>3609</v>
      </c>
      <c r="D524" s="15" t="s">
        <v>1661</v>
      </c>
      <c r="E524" s="15" t="s">
        <v>1662</v>
      </c>
      <c r="F524" s="15" t="s">
        <v>1663</v>
      </c>
      <c r="G524" s="15" t="s">
        <v>425</v>
      </c>
      <c r="H524" s="15" t="s">
        <v>425</v>
      </c>
      <c r="I524" s="18">
        <v>2.0</v>
      </c>
      <c r="J524" s="18">
        <v>2.0</v>
      </c>
      <c r="K524" s="15"/>
      <c r="L524" s="15" t="s">
        <v>1664</v>
      </c>
      <c r="M524" s="15" t="s">
        <v>1008</v>
      </c>
      <c r="N524" s="15" t="s">
        <v>22</v>
      </c>
      <c r="O524" s="20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5" t="s">
        <v>14</v>
      </c>
      <c r="B525" s="15" t="s">
        <v>1660</v>
      </c>
      <c r="C525" s="36" t="s">
        <v>3609</v>
      </c>
      <c r="D525" s="15" t="s">
        <v>1661</v>
      </c>
      <c r="E525" s="15" t="s">
        <v>1662</v>
      </c>
      <c r="F525" s="15" t="s">
        <v>1663</v>
      </c>
      <c r="G525" s="15" t="s">
        <v>1387</v>
      </c>
      <c r="H525" s="15" t="s">
        <v>1388</v>
      </c>
      <c r="I525" s="18">
        <v>3.0</v>
      </c>
      <c r="J525" s="18">
        <v>3.0</v>
      </c>
      <c r="K525" s="15"/>
      <c r="L525" s="15" t="s">
        <v>1664</v>
      </c>
      <c r="M525" s="15" t="s">
        <v>1008</v>
      </c>
      <c r="N525" s="15" t="s">
        <v>22</v>
      </c>
      <c r="O525" s="20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3" t="s">
        <v>14</v>
      </c>
      <c r="B526" s="3" t="s">
        <v>1665</v>
      </c>
      <c r="C526" s="36" t="s">
        <v>3595</v>
      </c>
      <c r="D526" s="3" t="s">
        <v>1666</v>
      </c>
      <c r="E526" s="3" t="s">
        <v>1667</v>
      </c>
      <c r="F526" s="3" t="s">
        <v>1668</v>
      </c>
      <c r="G526" s="3" t="s">
        <v>244</v>
      </c>
      <c r="H526" s="3" t="s">
        <v>242</v>
      </c>
      <c r="I526" s="4">
        <v>1.0</v>
      </c>
      <c r="J526" s="4">
        <v>1.0</v>
      </c>
      <c r="K526" s="3"/>
      <c r="L526" s="3" t="s">
        <v>1669</v>
      </c>
      <c r="M526" s="3" t="s">
        <v>243</v>
      </c>
      <c r="N526" s="3" t="s">
        <v>22</v>
      </c>
      <c r="O526" s="5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" t="s">
        <v>14</v>
      </c>
      <c r="B527" s="3" t="s">
        <v>1665</v>
      </c>
      <c r="C527" s="36" t="s">
        <v>3595</v>
      </c>
      <c r="D527" s="3" t="s">
        <v>1666</v>
      </c>
      <c r="E527" s="3" t="s">
        <v>1667</v>
      </c>
      <c r="F527" s="3" t="s">
        <v>1668</v>
      </c>
      <c r="G527" s="3" t="s">
        <v>629</v>
      </c>
      <c r="H527" s="3" t="s">
        <v>630</v>
      </c>
      <c r="I527" s="4">
        <v>2.0</v>
      </c>
      <c r="J527" s="4">
        <v>2.0</v>
      </c>
      <c r="K527" s="3"/>
      <c r="L527" s="3" t="s">
        <v>1669</v>
      </c>
      <c r="M527" s="3" t="s">
        <v>243</v>
      </c>
      <c r="N527" s="3" t="s">
        <v>22</v>
      </c>
      <c r="O527" s="5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" t="s">
        <v>14</v>
      </c>
      <c r="B528" s="3" t="s">
        <v>1670</v>
      </c>
      <c r="C528" s="36" t="s">
        <v>3595</v>
      </c>
      <c r="D528" s="3" t="s">
        <v>1671</v>
      </c>
      <c r="E528" s="3" t="s">
        <v>1672</v>
      </c>
      <c r="F528" s="3" t="s">
        <v>1673</v>
      </c>
      <c r="G528" s="3" t="s">
        <v>244</v>
      </c>
      <c r="H528" s="3" t="s">
        <v>242</v>
      </c>
      <c r="I528" s="4">
        <v>1.0</v>
      </c>
      <c r="J528" s="4">
        <v>1.0</v>
      </c>
      <c r="K528" s="3"/>
      <c r="L528" s="3" t="s">
        <v>1674</v>
      </c>
      <c r="M528" s="3" t="s">
        <v>1675</v>
      </c>
      <c r="N528" s="3" t="s">
        <v>22</v>
      </c>
      <c r="O528" s="5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" t="s">
        <v>14</v>
      </c>
      <c r="B529" s="3" t="s">
        <v>1670</v>
      </c>
      <c r="C529" s="36" t="s">
        <v>3595</v>
      </c>
      <c r="D529" s="3" t="s">
        <v>1671</v>
      </c>
      <c r="E529" s="3" t="s">
        <v>1672</v>
      </c>
      <c r="F529" s="3" t="s">
        <v>1673</v>
      </c>
      <c r="G529" s="3" t="s">
        <v>1075</v>
      </c>
      <c r="H529" s="3" t="s">
        <v>1076</v>
      </c>
      <c r="I529" s="4">
        <v>2.0</v>
      </c>
      <c r="J529" s="4">
        <v>2.0</v>
      </c>
      <c r="K529" s="3"/>
      <c r="L529" s="3" t="s">
        <v>1674</v>
      </c>
      <c r="M529" s="3" t="s">
        <v>1675</v>
      </c>
      <c r="N529" s="3" t="s">
        <v>22</v>
      </c>
      <c r="O529" s="5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" t="s">
        <v>14</v>
      </c>
      <c r="B530" s="3" t="s">
        <v>1676</v>
      </c>
      <c r="C530" s="36" t="s">
        <v>3595</v>
      </c>
      <c r="D530" s="3" t="s">
        <v>1677</v>
      </c>
      <c r="E530" s="3" t="s">
        <v>1678</v>
      </c>
      <c r="F530" s="3" t="s">
        <v>1679</v>
      </c>
      <c r="G530" s="3" t="s">
        <v>244</v>
      </c>
      <c r="H530" s="3" t="s">
        <v>242</v>
      </c>
      <c r="I530" s="4">
        <v>1.0</v>
      </c>
      <c r="J530" s="4">
        <v>1.0</v>
      </c>
      <c r="K530" s="3"/>
      <c r="L530" s="3" t="s">
        <v>1680</v>
      </c>
      <c r="M530" s="3" t="s">
        <v>1681</v>
      </c>
      <c r="N530" s="3" t="s">
        <v>22</v>
      </c>
      <c r="O530" s="5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" t="s">
        <v>14</v>
      </c>
      <c r="B531" s="3" t="s">
        <v>1676</v>
      </c>
      <c r="C531" s="36" t="s">
        <v>3595</v>
      </c>
      <c r="D531" s="3" t="s">
        <v>1677</v>
      </c>
      <c r="E531" s="3" t="s">
        <v>1678</v>
      </c>
      <c r="F531" s="3" t="s">
        <v>1679</v>
      </c>
      <c r="G531" s="3" t="s">
        <v>1429</v>
      </c>
      <c r="H531" s="3" t="s">
        <v>1430</v>
      </c>
      <c r="I531" s="4">
        <v>2.0</v>
      </c>
      <c r="J531" s="4">
        <v>2.0</v>
      </c>
      <c r="K531" s="3"/>
      <c r="L531" s="3" t="s">
        <v>1680</v>
      </c>
      <c r="M531" s="3" t="s">
        <v>1681</v>
      </c>
      <c r="N531" s="3" t="s">
        <v>22</v>
      </c>
      <c r="O531" s="5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" t="s">
        <v>14</v>
      </c>
      <c r="B532" s="3" t="s">
        <v>1682</v>
      </c>
      <c r="C532" s="36" t="s">
        <v>3595</v>
      </c>
      <c r="D532" s="3" t="s">
        <v>1683</v>
      </c>
      <c r="E532" s="3" t="s">
        <v>1684</v>
      </c>
      <c r="F532" s="3" t="s">
        <v>1685</v>
      </c>
      <c r="G532" s="3" t="s">
        <v>244</v>
      </c>
      <c r="H532" s="3" t="s">
        <v>1686</v>
      </c>
      <c r="I532" s="4">
        <v>1.0</v>
      </c>
      <c r="J532" s="4">
        <v>1.0</v>
      </c>
      <c r="K532" s="3"/>
      <c r="L532" s="3" t="s">
        <v>1687</v>
      </c>
      <c r="M532" s="3" t="s">
        <v>1688</v>
      </c>
      <c r="N532" s="3" t="s">
        <v>22</v>
      </c>
      <c r="O532" s="5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" t="s">
        <v>14</v>
      </c>
      <c r="B533" s="3" t="s">
        <v>1682</v>
      </c>
      <c r="C533" s="36" t="s">
        <v>3595</v>
      </c>
      <c r="D533" s="3" t="s">
        <v>1683</v>
      </c>
      <c r="E533" s="3" t="s">
        <v>1684</v>
      </c>
      <c r="F533" s="3" t="s">
        <v>1685</v>
      </c>
      <c r="G533" s="3" t="s">
        <v>451</v>
      </c>
      <c r="H533" s="3" t="s">
        <v>1211</v>
      </c>
      <c r="I533" s="4">
        <v>2.0</v>
      </c>
      <c r="J533" s="4">
        <v>2.0</v>
      </c>
      <c r="K533" s="3"/>
      <c r="L533" s="3" t="s">
        <v>1687</v>
      </c>
      <c r="M533" s="3" t="s">
        <v>1688</v>
      </c>
      <c r="N533" s="3" t="s">
        <v>22</v>
      </c>
      <c r="O533" s="5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" t="s">
        <v>14</v>
      </c>
      <c r="B534" s="3" t="s">
        <v>1689</v>
      </c>
      <c r="C534" s="36" t="s">
        <v>3605</v>
      </c>
      <c r="D534" s="3" t="s">
        <v>1690</v>
      </c>
      <c r="E534" s="3" t="s">
        <v>1691</v>
      </c>
      <c r="F534" s="3" t="s">
        <v>1692</v>
      </c>
      <c r="G534" s="3" t="s">
        <v>1693</v>
      </c>
      <c r="H534" s="3" t="s">
        <v>987</v>
      </c>
      <c r="I534" s="4">
        <v>1.0</v>
      </c>
      <c r="J534" s="4">
        <v>1.0</v>
      </c>
      <c r="K534" s="3" t="s">
        <v>80</v>
      </c>
      <c r="L534" s="3" t="s">
        <v>1694</v>
      </c>
      <c r="M534" s="3" t="s">
        <v>1695</v>
      </c>
      <c r="N534" s="3" t="s">
        <v>22</v>
      </c>
      <c r="O534" s="5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" t="s">
        <v>14</v>
      </c>
      <c r="B535" s="3" t="s">
        <v>1689</v>
      </c>
      <c r="C535" s="36" t="s">
        <v>3605</v>
      </c>
      <c r="D535" s="3" t="s">
        <v>1690</v>
      </c>
      <c r="E535" s="3" t="s">
        <v>1691</v>
      </c>
      <c r="F535" s="3" t="s">
        <v>1692</v>
      </c>
      <c r="G535" s="3" t="s">
        <v>1494</v>
      </c>
      <c r="H535" s="3" t="s">
        <v>1696</v>
      </c>
      <c r="I535" s="4">
        <v>2.0</v>
      </c>
      <c r="J535" s="4">
        <v>2.0</v>
      </c>
      <c r="K535" s="3"/>
      <c r="L535" s="3" t="s">
        <v>1694</v>
      </c>
      <c r="M535" s="3" t="s">
        <v>1695</v>
      </c>
      <c r="N535" s="3" t="s">
        <v>22</v>
      </c>
      <c r="O535" s="5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" t="s">
        <v>14</v>
      </c>
      <c r="B536" s="3" t="s">
        <v>1689</v>
      </c>
      <c r="C536" s="36" t="s">
        <v>3605</v>
      </c>
      <c r="D536" s="3" t="s">
        <v>1690</v>
      </c>
      <c r="E536" s="3" t="s">
        <v>1691</v>
      </c>
      <c r="F536" s="3" t="s">
        <v>1692</v>
      </c>
      <c r="G536" s="17" t="s">
        <v>36</v>
      </c>
      <c r="H536" s="3" t="s">
        <v>1235</v>
      </c>
      <c r="I536" s="4" t="s">
        <v>36</v>
      </c>
      <c r="J536" s="4">
        <v>3.0</v>
      </c>
      <c r="K536" s="3"/>
      <c r="L536" s="3" t="s">
        <v>1694</v>
      </c>
      <c r="M536" s="3" t="s">
        <v>1695</v>
      </c>
      <c r="N536" s="3" t="s">
        <v>22</v>
      </c>
      <c r="O536" s="5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5" t="s">
        <v>14</v>
      </c>
      <c r="B537" s="15" t="s">
        <v>1697</v>
      </c>
      <c r="C537" s="36" t="s">
        <v>3595</v>
      </c>
      <c r="D537" s="15" t="s">
        <v>1698</v>
      </c>
      <c r="E537" s="15" t="s">
        <v>1699</v>
      </c>
      <c r="F537" s="15" t="s">
        <v>1700</v>
      </c>
      <c r="G537" s="15" t="s">
        <v>36</v>
      </c>
      <c r="H537" s="15" t="s">
        <v>49</v>
      </c>
      <c r="I537" s="18" t="s">
        <v>36</v>
      </c>
      <c r="J537" s="18">
        <v>1.0</v>
      </c>
      <c r="K537" s="15" t="s">
        <v>80</v>
      </c>
      <c r="L537" s="15" t="s">
        <v>1701</v>
      </c>
      <c r="M537" s="15" t="s">
        <v>1702</v>
      </c>
      <c r="N537" s="15" t="s">
        <v>22</v>
      </c>
      <c r="O537" s="20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5" t="s">
        <v>14</v>
      </c>
      <c r="B538" s="15" t="s">
        <v>1697</v>
      </c>
      <c r="C538" s="36" t="s">
        <v>3595</v>
      </c>
      <c r="D538" s="15" t="s">
        <v>1698</v>
      </c>
      <c r="E538" s="15" t="s">
        <v>1699</v>
      </c>
      <c r="F538" s="15" t="s">
        <v>1700</v>
      </c>
      <c r="G538" s="15" t="s">
        <v>1703</v>
      </c>
      <c r="H538" s="15" t="s">
        <v>1703</v>
      </c>
      <c r="I538" s="18">
        <v>1.0</v>
      </c>
      <c r="J538" s="18">
        <v>2.0</v>
      </c>
      <c r="K538" s="15"/>
      <c r="L538" s="15" t="s">
        <v>1701</v>
      </c>
      <c r="M538" s="15" t="s">
        <v>1702</v>
      </c>
      <c r="N538" s="15" t="s">
        <v>22</v>
      </c>
      <c r="O538" s="20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5" t="s">
        <v>14</v>
      </c>
      <c r="B539" s="15" t="s">
        <v>1697</v>
      </c>
      <c r="C539" s="36" t="s">
        <v>3595</v>
      </c>
      <c r="D539" s="15" t="s">
        <v>1698</v>
      </c>
      <c r="E539" s="15" t="s">
        <v>1699</v>
      </c>
      <c r="F539" s="15" t="s">
        <v>1700</v>
      </c>
      <c r="G539" s="15" t="s">
        <v>1331</v>
      </c>
      <c r="H539" s="15" t="s">
        <v>1181</v>
      </c>
      <c r="I539" s="18">
        <v>2.0</v>
      </c>
      <c r="J539" s="18">
        <v>3.0</v>
      </c>
      <c r="K539" s="15"/>
      <c r="L539" s="15" t="s">
        <v>1701</v>
      </c>
      <c r="M539" s="15" t="s">
        <v>1702</v>
      </c>
      <c r="N539" s="15" t="s">
        <v>22</v>
      </c>
      <c r="O539" s="20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3" t="s">
        <v>14</v>
      </c>
      <c r="B540" s="3" t="s">
        <v>1704</v>
      </c>
      <c r="C540" s="36" t="s">
        <v>3595</v>
      </c>
      <c r="D540" s="3" t="s">
        <v>1705</v>
      </c>
      <c r="E540" s="3" t="s">
        <v>1706</v>
      </c>
      <c r="F540" s="3" t="s">
        <v>1707</v>
      </c>
      <c r="G540" s="3" t="s">
        <v>401</v>
      </c>
      <c r="H540" s="3" t="s">
        <v>1708</v>
      </c>
      <c r="I540" s="4">
        <v>1.0</v>
      </c>
      <c r="J540" s="4">
        <v>1.0</v>
      </c>
      <c r="K540" s="3"/>
      <c r="L540" s="3" t="s">
        <v>1709</v>
      </c>
      <c r="M540" s="3" t="s">
        <v>1710</v>
      </c>
      <c r="N540" s="3" t="s">
        <v>22</v>
      </c>
      <c r="O540" s="5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" t="s">
        <v>14</v>
      </c>
      <c r="B541" s="3" t="s">
        <v>1704</v>
      </c>
      <c r="C541" s="36" t="s">
        <v>3595</v>
      </c>
      <c r="D541" s="3" t="s">
        <v>1705</v>
      </c>
      <c r="E541" s="3" t="s">
        <v>1706</v>
      </c>
      <c r="F541" s="3" t="s">
        <v>1707</v>
      </c>
      <c r="G541" s="3" t="s">
        <v>326</v>
      </c>
      <c r="H541" s="3" t="s">
        <v>1235</v>
      </c>
      <c r="I541" s="4">
        <v>2.0</v>
      </c>
      <c r="J541" s="4">
        <v>2.0</v>
      </c>
      <c r="K541" s="3"/>
      <c r="L541" s="3" t="s">
        <v>1709</v>
      </c>
      <c r="M541" s="3" t="s">
        <v>1710</v>
      </c>
      <c r="N541" s="3" t="s">
        <v>22</v>
      </c>
      <c r="O541" s="5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" t="s">
        <v>14</v>
      </c>
      <c r="B542" s="3" t="s">
        <v>1711</v>
      </c>
      <c r="C542" s="36" t="s">
        <v>3595</v>
      </c>
      <c r="D542" s="3" t="s">
        <v>1712</v>
      </c>
      <c r="E542" s="3" t="s">
        <v>1713</v>
      </c>
      <c r="F542" s="3" t="s">
        <v>1714</v>
      </c>
      <c r="G542" s="3" t="s">
        <v>848</v>
      </c>
      <c r="H542" s="3" t="s">
        <v>870</v>
      </c>
      <c r="I542" s="4">
        <v>1.0</v>
      </c>
      <c r="J542" s="4">
        <v>1.0</v>
      </c>
      <c r="K542" s="3"/>
      <c r="L542" s="3" t="s">
        <v>1715</v>
      </c>
      <c r="M542" s="3" t="s">
        <v>1716</v>
      </c>
      <c r="N542" s="3" t="s">
        <v>22</v>
      </c>
      <c r="O542" s="5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" t="s">
        <v>14</v>
      </c>
      <c r="B543" s="3" t="s">
        <v>1711</v>
      </c>
      <c r="C543" s="36" t="s">
        <v>3595</v>
      </c>
      <c r="D543" s="3" t="s">
        <v>1712</v>
      </c>
      <c r="E543" s="3" t="s">
        <v>1713</v>
      </c>
      <c r="F543" s="3" t="s">
        <v>1714</v>
      </c>
      <c r="G543" s="3" t="s">
        <v>629</v>
      </c>
      <c r="H543" s="3" t="s">
        <v>1717</v>
      </c>
      <c r="I543" s="4">
        <v>2.0</v>
      </c>
      <c r="J543" s="4">
        <v>2.0</v>
      </c>
      <c r="K543" s="3"/>
      <c r="L543" s="3" t="s">
        <v>1715</v>
      </c>
      <c r="M543" s="3" t="s">
        <v>1716</v>
      </c>
      <c r="N543" s="3" t="s">
        <v>22</v>
      </c>
      <c r="O543" s="5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" t="s">
        <v>14</v>
      </c>
      <c r="B544" s="3" t="s">
        <v>1718</v>
      </c>
      <c r="C544" s="36" t="s">
        <v>3609</v>
      </c>
      <c r="D544" s="3" t="s">
        <v>1719</v>
      </c>
      <c r="E544" s="3" t="s">
        <v>1720</v>
      </c>
      <c r="F544" s="3" t="s">
        <v>1721</v>
      </c>
      <c r="G544" s="3" t="s">
        <v>848</v>
      </c>
      <c r="H544" s="3" t="s">
        <v>301</v>
      </c>
      <c r="I544" s="4">
        <v>1.0</v>
      </c>
      <c r="J544" s="4">
        <v>1.0</v>
      </c>
      <c r="K544" s="3"/>
      <c r="L544" s="3" t="s">
        <v>1722</v>
      </c>
      <c r="M544" s="3" t="s">
        <v>1723</v>
      </c>
      <c r="N544" s="3" t="s">
        <v>22</v>
      </c>
      <c r="O544" s="5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" t="s">
        <v>14</v>
      </c>
      <c r="B545" s="3" t="s">
        <v>1718</v>
      </c>
      <c r="C545" s="36" t="s">
        <v>3609</v>
      </c>
      <c r="D545" s="3" t="s">
        <v>1719</v>
      </c>
      <c r="E545" s="3" t="s">
        <v>1720</v>
      </c>
      <c r="F545" s="3" t="s">
        <v>1721</v>
      </c>
      <c r="G545" s="3" t="s">
        <v>108</v>
      </c>
      <c r="H545" s="3" t="s">
        <v>175</v>
      </c>
      <c r="I545" s="4">
        <v>2.0</v>
      </c>
      <c r="J545" s="4">
        <v>2.0</v>
      </c>
      <c r="K545" s="3"/>
      <c r="L545" s="3" t="s">
        <v>1722</v>
      </c>
      <c r="M545" s="3" t="s">
        <v>1723</v>
      </c>
      <c r="N545" s="3" t="s">
        <v>22</v>
      </c>
      <c r="O545" s="5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" t="s">
        <v>14</v>
      </c>
      <c r="B546" s="3" t="s">
        <v>1718</v>
      </c>
      <c r="C546" s="36" t="s">
        <v>3609</v>
      </c>
      <c r="D546" s="3" t="s">
        <v>1719</v>
      </c>
      <c r="E546" s="3" t="s">
        <v>1720</v>
      </c>
      <c r="F546" s="3" t="s">
        <v>1721</v>
      </c>
      <c r="G546" s="3" t="s">
        <v>1396</v>
      </c>
      <c r="H546" s="3" t="s">
        <v>1397</v>
      </c>
      <c r="I546" s="4">
        <v>3.0</v>
      </c>
      <c r="J546" s="4">
        <v>3.0</v>
      </c>
      <c r="K546" s="3"/>
      <c r="L546" s="3" t="s">
        <v>1722</v>
      </c>
      <c r="M546" s="3" t="s">
        <v>1723</v>
      </c>
      <c r="N546" s="3" t="s">
        <v>22</v>
      </c>
      <c r="O546" s="5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" t="s">
        <v>14</v>
      </c>
      <c r="B547" s="3" t="s">
        <v>1724</v>
      </c>
      <c r="C547" s="36" t="s">
        <v>3609</v>
      </c>
      <c r="D547" s="3" t="s">
        <v>1725</v>
      </c>
      <c r="E547" s="3" t="s">
        <v>1726</v>
      </c>
      <c r="F547" s="3" t="s">
        <v>1727</v>
      </c>
      <c r="G547" s="3" t="s">
        <v>848</v>
      </c>
      <c r="H547" s="3" t="s">
        <v>301</v>
      </c>
      <c r="I547" s="4">
        <v>1.0</v>
      </c>
      <c r="J547" s="4">
        <v>1.0</v>
      </c>
      <c r="K547" s="3"/>
      <c r="L547" s="3" t="s">
        <v>1728</v>
      </c>
      <c r="M547" s="3" t="s">
        <v>1729</v>
      </c>
      <c r="N547" s="3" t="s">
        <v>22</v>
      </c>
      <c r="O547" s="5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" t="s">
        <v>14</v>
      </c>
      <c r="B548" s="3" t="s">
        <v>1724</v>
      </c>
      <c r="C548" s="36" t="s">
        <v>3609</v>
      </c>
      <c r="D548" s="3" t="s">
        <v>1725</v>
      </c>
      <c r="E548" s="3" t="s">
        <v>1726</v>
      </c>
      <c r="F548" s="3" t="s">
        <v>1727</v>
      </c>
      <c r="G548" s="3" t="s">
        <v>262</v>
      </c>
      <c r="H548" s="3" t="s">
        <v>1730</v>
      </c>
      <c r="I548" s="4">
        <v>2.0</v>
      </c>
      <c r="J548" s="4">
        <v>2.0</v>
      </c>
      <c r="K548" s="3"/>
      <c r="L548" s="3" t="s">
        <v>1728</v>
      </c>
      <c r="M548" s="3" t="s">
        <v>1729</v>
      </c>
      <c r="N548" s="3" t="s">
        <v>22</v>
      </c>
      <c r="O548" s="5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" t="s">
        <v>14</v>
      </c>
      <c r="B549" s="3" t="s">
        <v>1724</v>
      </c>
      <c r="C549" s="36" t="s">
        <v>3609</v>
      </c>
      <c r="D549" s="3" t="s">
        <v>1725</v>
      </c>
      <c r="E549" s="3" t="s">
        <v>1726</v>
      </c>
      <c r="F549" s="3" t="s">
        <v>1727</v>
      </c>
      <c r="G549" s="3" t="s">
        <v>797</v>
      </c>
      <c r="H549" s="3" t="s">
        <v>798</v>
      </c>
      <c r="I549" s="4">
        <v>3.0</v>
      </c>
      <c r="J549" s="4">
        <v>3.0</v>
      </c>
      <c r="K549" s="3"/>
      <c r="L549" s="3" t="s">
        <v>1728</v>
      </c>
      <c r="M549" s="3" t="s">
        <v>1729</v>
      </c>
      <c r="N549" s="3" t="s">
        <v>22</v>
      </c>
      <c r="O549" s="5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" t="s">
        <v>14</v>
      </c>
      <c r="B550" s="3" t="s">
        <v>1731</v>
      </c>
      <c r="C550" s="36" t="s">
        <v>3605</v>
      </c>
      <c r="D550" s="3" t="s">
        <v>1732</v>
      </c>
      <c r="E550" s="3" t="s">
        <v>1733</v>
      </c>
      <c r="F550" s="3" t="s">
        <v>1734</v>
      </c>
      <c r="G550" s="3" t="s">
        <v>848</v>
      </c>
      <c r="H550" s="3" t="s">
        <v>987</v>
      </c>
      <c r="I550" s="4">
        <v>1.0</v>
      </c>
      <c r="J550" s="4">
        <v>1.0</v>
      </c>
      <c r="K550" s="3"/>
      <c r="L550" s="3" t="s">
        <v>1735</v>
      </c>
      <c r="M550" s="3" t="s">
        <v>1736</v>
      </c>
      <c r="N550" s="3" t="s">
        <v>22</v>
      </c>
      <c r="O550" s="5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" t="s">
        <v>14</v>
      </c>
      <c r="B551" s="3" t="s">
        <v>1731</v>
      </c>
      <c r="C551" s="36" t="s">
        <v>3605</v>
      </c>
      <c r="D551" s="3" t="s">
        <v>1732</v>
      </c>
      <c r="E551" s="3" t="s">
        <v>1733</v>
      </c>
      <c r="F551" s="3" t="s">
        <v>1734</v>
      </c>
      <c r="G551" s="3" t="s">
        <v>1737</v>
      </c>
      <c r="H551" s="3" t="s">
        <v>575</v>
      </c>
      <c r="I551" s="4">
        <v>2.0</v>
      </c>
      <c r="J551" s="4">
        <v>2.0</v>
      </c>
      <c r="K551" s="3"/>
      <c r="L551" s="3" t="s">
        <v>1735</v>
      </c>
      <c r="M551" s="3" t="s">
        <v>1736</v>
      </c>
      <c r="N551" s="3" t="s">
        <v>22</v>
      </c>
      <c r="O551" s="5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" t="s">
        <v>14</v>
      </c>
      <c r="B552" s="3" t="s">
        <v>1731</v>
      </c>
      <c r="C552" s="36" t="s">
        <v>3605</v>
      </c>
      <c r="D552" s="3" t="s">
        <v>1732</v>
      </c>
      <c r="E552" s="3" t="s">
        <v>1733</v>
      </c>
      <c r="F552" s="3" t="s">
        <v>1734</v>
      </c>
      <c r="G552" s="17" t="s">
        <v>36</v>
      </c>
      <c r="H552" s="3" t="s">
        <v>996</v>
      </c>
      <c r="I552" s="4" t="s">
        <v>36</v>
      </c>
      <c r="J552" s="4">
        <v>3.0</v>
      </c>
      <c r="K552" s="3"/>
      <c r="L552" s="3" t="s">
        <v>1735</v>
      </c>
      <c r="M552" s="3" t="s">
        <v>1736</v>
      </c>
      <c r="N552" s="3" t="s">
        <v>22</v>
      </c>
      <c r="O552" s="5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" t="s">
        <v>14</v>
      </c>
      <c r="B553" s="3" t="s">
        <v>353</v>
      </c>
      <c r="C553" s="33" t="s">
        <v>3610</v>
      </c>
      <c r="D553" s="3" t="s">
        <v>1738</v>
      </c>
      <c r="E553" s="3" t="s">
        <v>353</v>
      </c>
      <c r="F553" s="3" t="s">
        <v>1739</v>
      </c>
      <c r="G553" s="3"/>
      <c r="H553" s="3"/>
      <c r="I553" s="4"/>
      <c r="J553" s="4"/>
      <c r="K553" s="3"/>
      <c r="L553" s="3" t="s">
        <v>1740</v>
      </c>
      <c r="M553" s="3" t="s">
        <v>1741</v>
      </c>
      <c r="N553" s="3" t="s">
        <v>22</v>
      </c>
      <c r="O553" s="3" t="s">
        <v>560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5" t="s">
        <v>14</v>
      </c>
      <c r="B554" s="15" t="s">
        <v>1742</v>
      </c>
      <c r="C554" s="36" t="s">
        <v>3617</v>
      </c>
      <c r="D554" s="15" t="s">
        <v>1743</v>
      </c>
      <c r="E554" s="15" t="s">
        <v>1744</v>
      </c>
      <c r="F554" s="15" t="s">
        <v>1745</v>
      </c>
      <c r="G554" s="15" t="s">
        <v>36</v>
      </c>
      <c r="H554" s="15" t="s">
        <v>49</v>
      </c>
      <c r="I554" s="18" t="s">
        <v>36</v>
      </c>
      <c r="J554" s="18">
        <v>1.0</v>
      </c>
      <c r="K554" s="15" t="s">
        <v>80</v>
      </c>
      <c r="L554" s="15" t="s">
        <v>1746</v>
      </c>
      <c r="M554" s="15" t="s">
        <v>1747</v>
      </c>
      <c r="N554" s="15" t="s">
        <v>22</v>
      </c>
      <c r="O554" s="20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5" t="s">
        <v>14</v>
      </c>
      <c r="B555" s="15" t="s">
        <v>1742</v>
      </c>
      <c r="C555" s="36" t="s">
        <v>3617</v>
      </c>
      <c r="D555" s="15" t="s">
        <v>1743</v>
      </c>
      <c r="E555" s="15" t="s">
        <v>1744</v>
      </c>
      <c r="F555" s="15" t="s">
        <v>1745</v>
      </c>
      <c r="G555" s="15" t="s">
        <v>1748</v>
      </c>
      <c r="H555" s="15" t="s">
        <v>1749</v>
      </c>
      <c r="I555" s="18">
        <v>1.0</v>
      </c>
      <c r="J555" s="18">
        <v>2.0</v>
      </c>
      <c r="K555" s="15"/>
      <c r="L555" s="15" t="s">
        <v>1746</v>
      </c>
      <c r="M555" s="15" t="s">
        <v>1747</v>
      </c>
      <c r="N555" s="15" t="s">
        <v>22</v>
      </c>
      <c r="O555" s="20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5" t="s">
        <v>14</v>
      </c>
      <c r="B556" s="15" t="s">
        <v>1742</v>
      </c>
      <c r="C556" s="36" t="s">
        <v>3617</v>
      </c>
      <c r="D556" s="15" t="s">
        <v>1743</v>
      </c>
      <c r="E556" s="15" t="s">
        <v>1744</v>
      </c>
      <c r="F556" s="15" t="s">
        <v>1745</v>
      </c>
      <c r="G556" s="15" t="s">
        <v>1248</v>
      </c>
      <c r="H556" s="15" t="s">
        <v>1272</v>
      </c>
      <c r="I556" s="18">
        <v>2.0</v>
      </c>
      <c r="J556" s="18">
        <v>3.0</v>
      </c>
      <c r="K556" s="15"/>
      <c r="L556" s="15" t="s">
        <v>1746</v>
      </c>
      <c r="M556" s="15" t="s">
        <v>1747</v>
      </c>
      <c r="N556" s="15" t="s">
        <v>22</v>
      </c>
      <c r="O556" s="20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3" t="s">
        <v>14</v>
      </c>
      <c r="B557" s="3" t="s">
        <v>1750</v>
      </c>
      <c r="C557" s="36" t="s">
        <v>3595</v>
      </c>
      <c r="D557" s="3" t="s">
        <v>1751</v>
      </c>
      <c r="E557" s="3" t="s">
        <v>1752</v>
      </c>
      <c r="F557" s="3" t="s">
        <v>1753</v>
      </c>
      <c r="G557" s="3" t="s">
        <v>1754</v>
      </c>
      <c r="H557" s="3" t="s">
        <v>362</v>
      </c>
      <c r="I557" s="4">
        <v>1.0</v>
      </c>
      <c r="J557" s="4">
        <v>1.0</v>
      </c>
      <c r="K557" s="3"/>
      <c r="L557" s="3" t="s">
        <v>1755</v>
      </c>
      <c r="M557" s="3" t="s">
        <v>1756</v>
      </c>
      <c r="N557" s="3" t="s">
        <v>22</v>
      </c>
      <c r="O557" s="5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" t="s">
        <v>14</v>
      </c>
      <c r="B558" s="3" t="s">
        <v>1750</v>
      </c>
      <c r="C558" s="36" t="s">
        <v>3595</v>
      </c>
      <c r="D558" s="3" t="s">
        <v>1751</v>
      </c>
      <c r="E558" s="3" t="s">
        <v>1752</v>
      </c>
      <c r="F558" s="3" t="s">
        <v>1753</v>
      </c>
      <c r="G558" s="3" t="s">
        <v>1396</v>
      </c>
      <c r="H558" s="3" t="s">
        <v>1757</v>
      </c>
      <c r="I558" s="4">
        <v>2.0</v>
      </c>
      <c r="J558" s="4">
        <v>2.0</v>
      </c>
      <c r="K558" s="3"/>
      <c r="L558" s="3" t="s">
        <v>1755</v>
      </c>
      <c r="M558" s="3" t="s">
        <v>1756</v>
      </c>
      <c r="N558" s="3" t="s">
        <v>22</v>
      </c>
      <c r="O558" s="5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" t="s">
        <v>14</v>
      </c>
      <c r="B559" s="3" t="s">
        <v>1758</v>
      </c>
      <c r="C559" s="36" t="s">
        <v>3595</v>
      </c>
      <c r="D559" s="3" t="s">
        <v>1759</v>
      </c>
      <c r="E559" s="3" t="s">
        <v>1760</v>
      </c>
      <c r="F559" s="3" t="s">
        <v>1761</v>
      </c>
      <c r="G559" s="3" t="s">
        <v>362</v>
      </c>
      <c r="H559" s="3" t="s">
        <v>362</v>
      </c>
      <c r="I559" s="4">
        <v>1.0</v>
      </c>
      <c r="J559" s="4">
        <v>1.0</v>
      </c>
      <c r="K559" s="3"/>
      <c r="L559" s="3" t="s">
        <v>1762</v>
      </c>
      <c r="M559" s="3" t="s">
        <v>1763</v>
      </c>
      <c r="N559" s="3" t="s">
        <v>22</v>
      </c>
      <c r="O559" s="5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" t="s">
        <v>14</v>
      </c>
      <c r="B560" s="3" t="s">
        <v>1758</v>
      </c>
      <c r="C560" s="36" t="s">
        <v>3595</v>
      </c>
      <c r="D560" s="3" t="s">
        <v>1759</v>
      </c>
      <c r="E560" s="3" t="s">
        <v>1760</v>
      </c>
      <c r="F560" s="3" t="s">
        <v>1761</v>
      </c>
      <c r="G560" s="3" t="s">
        <v>466</v>
      </c>
      <c r="H560" s="3" t="s">
        <v>1764</v>
      </c>
      <c r="I560" s="4">
        <v>2.0</v>
      </c>
      <c r="J560" s="4">
        <v>2.0</v>
      </c>
      <c r="K560" s="3"/>
      <c r="L560" s="3" t="s">
        <v>1762</v>
      </c>
      <c r="M560" s="3" t="s">
        <v>1763</v>
      </c>
      <c r="N560" s="3" t="s">
        <v>22</v>
      </c>
      <c r="O560" s="5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5" t="s">
        <v>14</v>
      </c>
      <c r="B561" s="15" t="s">
        <v>1765</v>
      </c>
      <c r="C561" s="36" t="s">
        <v>3595</v>
      </c>
      <c r="D561" s="15" t="s">
        <v>1766</v>
      </c>
      <c r="E561" s="15" t="s">
        <v>1767</v>
      </c>
      <c r="F561" s="15" t="s">
        <v>1768</v>
      </c>
      <c r="G561" s="15" t="s">
        <v>36</v>
      </c>
      <c r="H561" s="15" t="s">
        <v>1113</v>
      </c>
      <c r="I561" s="18" t="s">
        <v>36</v>
      </c>
      <c r="J561" s="18">
        <v>1.0</v>
      </c>
      <c r="K561" s="15" t="s">
        <v>80</v>
      </c>
      <c r="L561" s="15" t="s">
        <v>1769</v>
      </c>
      <c r="M561" s="15" t="s">
        <v>1770</v>
      </c>
      <c r="N561" s="15" t="s">
        <v>22</v>
      </c>
      <c r="O561" s="20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5" t="s">
        <v>14</v>
      </c>
      <c r="B562" s="15" t="s">
        <v>1765</v>
      </c>
      <c r="C562" s="36" t="s">
        <v>3595</v>
      </c>
      <c r="D562" s="15" t="s">
        <v>1766</v>
      </c>
      <c r="E562" s="15" t="s">
        <v>1767</v>
      </c>
      <c r="F562" s="15" t="s">
        <v>1768</v>
      </c>
      <c r="G562" s="15" t="s">
        <v>362</v>
      </c>
      <c r="H562" s="15" t="s">
        <v>566</v>
      </c>
      <c r="I562" s="18">
        <v>1.0</v>
      </c>
      <c r="J562" s="18">
        <v>2.0</v>
      </c>
      <c r="K562" s="15"/>
      <c r="L562" s="15" t="s">
        <v>1769</v>
      </c>
      <c r="M562" s="15" t="s">
        <v>1770</v>
      </c>
      <c r="N562" s="15" t="s">
        <v>22</v>
      </c>
      <c r="O562" s="20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5" t="s">
        <v>14</v>
      </c>
      <c r="B563" s="15" t="s">
        <v>1765</v>
      </c>
      <c r="C563" s="36" t="s">
        <v>3595</v>
      </c>
      <c r="D563" s="15" t="s">
        <v>1766</v>
      </c>
      <c r="E563" s="15" t="s">
        <v>1767</v>
      </c>
      <c r="F563" s="15" t="s">
        <v>1768</v>
      </c>
      <c r="G563" s="15" t="s">
        <v>629</v>
      </c>
      <c r="H563" s="15" t="s">
        <v>630</v>
      </c>
      <c r="I563" s="18">
        <v>2.0</v>
      </c>
      <c r="J563" s="18">
        <v>3.0</v>
      </c>
      <c r="K563" s="15"/>
      <c r="L563" s="15" t="s">
        <v>1769</v>
      </c>
      <c r="M563" s="15" t="s">
        <v>1770</v>
      </c>
      <c r="N563" s="15" t="s">
        <v>22</v>
      </c>
      <c r="O563" s="20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3" t="s">
        <v>14</v>
      </c>
      <c r="B564" s="3" t="s">
        <v>1771</v>
      </c>
      <c r="C564" s="36" t="s">
        <v>3595</v>
      </c>
      <c r="D564" s="3" t="s">
        <v>1772</v>
      </c>
      <c r="E564" s="3" t="s">
        <v>1773</v>
      </c>
      <c r="F564" s="3" t="s">
        <v>1774</v>
      </c>
      <c r="G564" s="3" t="s">
        <v>362</v>
      </c>
      <c r="H564" s="3" t="s">
        <v>566</v>
      </c>
      <c r="I564" s="4">
        <v>1.0</v>
      </c>
      <c r="J564" s="4">
        <v>1.0</v>
      </c>
      <c r="K564" s="3" t="s">
        <v>72</v>
      </c>
      <c r="L564" s="3" t="s">
        <v>1775</v>
      </c>
      <c r="M564" s="3" t="s">
        <v>1776</v>
      </c>
      <c r="N564" s="3" t="s">
        <v>22</v>
      </c>
      <c r="O564" s="5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" t="s">
        <v>14</v>
      </c>
      <c r="B565" s="3" t="s">
        <v>1771</v>
      </c>
      <c r="C565" s="36" t="s">
        <v>3595</v>
      </c>
      <c r="D565" s="3" t="s">
        <v>1772</v>
      </c>
      <c r="E565" s="3" t="s">
        <v>1773</v>
      </c>
      <c r="F565" s="3" t="s">
        <v>1774</v>
      </c>
      <c r="G565" s="3" t="s">
        <v>1396</v>
      </c>
      <c r="H565" s="3" t="s">
        <v>1397</v>
      </c>
      <c r="I565" s="4">
        <v>2.0</v>
      </c>
      <c r="J565" s="4">
        <v>2.0</v>
      </c>
      <c r="K565" s="3"/>
      <c r="L565" s="3" t="s">
        <v>1775</v>
      </c>
      <c r="M565" s="3" t="s">
        <v>1776</v>
      </c>
      <c r="N565" s="3" t="s">
        <v>22</v>
      </c>
      <c r="O565" s="5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" t="s">
        <v>14</v>
      </c>
      <c r="B566" s="3" t="s">
        <v>1777</v>
      </c>
      <c r="C566" s="33" t="s">
        <v>3596</v>
      </c>
      <c r="D566" s="3" t="s">
        <v>1778</v>
      </c>
      <c r="E566" s="3" t="s">
        <v>1777</v>
      </c>
      <c r="F566" s="3" t="s">
        <v>1779</v>
      </c>
      <c r="G566" s="3" t="s">
        <v>1777</v>
      </c>
      <c r="H566" s="3" t="s">
        <v>362</v>
      </c>
      <c r="I566" s="4">
        <v>1.0</v>
      </c>
      <c r="J566" s="4">
        <v>1.0</v>
      </c>
      <c r="K566" s="3" t="s">
        <v>80</v>
      </c>
      <c r="L566" s="3" t="s">
        <v>1780</v>
      </c>
      <c r="M566" s="3" t="s">
        <v>1781</v>
      </c>
      <c r="N566" s="3" t="s">
        <v>22</v>
      </c>
      <c r="O566" s="5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" t="s">
        <v>14</v>
      </c>
      <c r="B567" s="3" t="s">
        <v>1777</v>
      </c>
      <c r="C567" s="33" t="s">
        <v>3596</v>
      </c>
      <c r="D567" s="3" t="s">
        <v>1778</v>
      </c>
      <c r="E567" s="3" t="s">
        <v>1777</v>
      </c>
      <c r="F567" s="3" t="s">
        <v>1779</v>
      </c>
      <c r="G567" s="3" t="s">
        <v>36</v>
      </c>
      <c r="H567" s="3" t="s">
        <v>996</v>
      </c>
      <c r="I567" s="4" t="s">
        <v>36</v>
      </c>
      <c r="J567" s="4">
        <v>2.0</v>
      </c>
      <c r="K567" s="3"/>
      <c r="L567" s="3" t="s">
        <v>1780</v>
      </c>
      <c r="M567" s="3" t="s">
        <v>1781</v>
      </c>
      <c r="N567" s="3" t="s">
        <v>22</v>
      </c>
      <c r="O567" s="5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5" t="s">
        <v>14</v>
      </c>
      <c r="B568" s="15" t="s">
        <v>1782</v>
      </c>
      <c r="C568" s="36" t="s">
        <v>3595</v>
      </c>
      <c r="D568" s="15" t="s">
        <v>1783</v>
      </c>
      <c r="E568" s="15" t="s">
        <v>1784</v>
      </c>
      <c r="F568" s="15" t="s">
        <v>1785</v>
      </c>
      <c r="G568" s="15"/>
      <c r="H568" s="15"/>
      <c r="I568" s="18"/>
      <c r="J568" s="18"/>
      <c r="K568" s="15"/>
      <c r="L568" s="15" t="s">
        <v>1786</v>
      </c>
      <c r="M568" s="15" t="s">
        <v>1787</v>
      </c>
      <c r="N568" s="15" t="s">
        <v>22</v>
      </c>
      <c r="O568" s="15" t="s">
        <v>560</v>
      </c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3" t="s">
        <v>14</v>
      </c>
      <c r="B569" s="3" t="s">
        <v>1040</v>
      </c>
      <c r="C569" s="33" t="s">
        <v>3610</v>
      </c>
      <c r="D569" s="3" t="s">
        <v>1041</v>
      </c>
      <c r="E569" s="3" t="s">
        <v>1040</v>
      </c>
      <c r="F569" s="3" t="s">
        <v>1041</v>
      </c>
      <c r="G569" s="3" t="s">
        <v>1040</v>
      </c>
      <c r="H569" s="3" t="s">
        <v>1041</v>
      </c>
      <c r="I569" s="4">
        <v>1.0</v>
      </c>
      <c r="J569" s="4">
        <v>1.0</v>
      </c>
      <c r="K569" s="3"/>
      <c r="L569" s="3" t="s">
        <v>1788</v>
      </c>
      <c r="M569" s="3" t="s">
        <v>1789</v>
      </c>
      <c r="N569" s="3" t="s">
        <v>22</v>
      </c>
      <c r="O569" s="5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5" t="s">
        <v>14</v>
      </c>
      <c r="B570" s="15" t="s">
        <v>1790</v>
      </c>
      <c r="C570" s="36" t="s">
        <v>3595</v>
      </c>
      <c r="D570" s="15" t="s">
        <v>1791</v>
      </c>
      <c r="E570" s="15" t="s">
        <v>1792</v>
      </c>
      <c r="F570" s="15" t="s">
        <v>1793</v>
      </c>
      <c r="G570" s="15" t="s">
        <v>36</v>
      </c>
      <c r="H570" s="15" t="s">
        <v>1113</v>
      </c>
      <c r="I570" s="18" t="s">
        <v>36</v>
      </c>
      <c r="J570" s="18">
        <v>1.0</v>
      </c>
      <c r="K570" s="15"/>
      <c r="L570" s="15" t="s">
        <v>1794</v>
      </c>
      <c r="M570" s="15" t="s">
        <v>1795</v>
      </c>
      <c r="N570" s="15" t="s">
        <v>22</v>
      </c>
      <c r="O570" s="20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5" t="s">
        <v>14</v>
      </c>
      <c r="B571" s="15" t="s">
        <v>1790</v>
      </c>
      <c r="C571" s="36" t="s">
        <v>3595</v>
      </c>
      <c r="D571" s="15" t="s">
        <v>1791</v>
      </c>
      <c r="E571" s="15" t="s">
        <v>1792</v>
      </c>
      <c r="F571" s="15" t="s">
        <v>1793</v>
      </c>
      <c r="G571" s="15" t="s">
        <v>1796</v>
      </c>
      <c r="H571" s="15" t="s">
        <v>1796</v>
      </c>
      <c r="I571" s="18">
        <v>1.0</v>
      </c>
      <c r="J571" s="18">
        <v>2.0</v>
      </c>
      <c r="K571" s="15"/>
      <c r="L571" s="15" t="s">
        <v>1794</v>
      </c>
      <c r="M571" s="15" t="s">
        <v>1795</v>
      </c>
      <c r="N571" s="15" t="s">
        <v>22</v>
      </c>
      <c r="O571" s="20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5" t="s">
        <v>14</v>
      </c>
      <c r="B572" s="15" t="s">
        <v>1790</v>
      </c>
      <c r="C572" s="36" t="s">
        <v>3595</v>
      </c>
      <c r="D572" s="15" t="s">
        <v>1791</v>
      </c>
      <c r="E572" s="15" t="s">
        <v>1792</v>
      </c>
      <c r="F572" s="15" t="s">
        <v>1793</v>
      </c>
      <c r="G572" s="15" t="s">
        <v>1331</v>
      </c>
      <c r="H572" s="15" t="s">
        <v>1181</v>
      </c>
      <c r="I572" s="18">
        <v>2.0</v>
      </c>
      <c r="J572" s="18">
        <v>3.0</v>
      </c>
      <c r="K572" s="15"/>
      <c r="L572" s="15" t="s">
        <v>1794</v>
      </c>
      <c r="M572" s="15" t="s">
        <v>1795</v>
      </c>
      <c r="N572" s="15" t="s">
        <v>22</v>
      </c>
      <c r="O572" s="20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3" t="s">
        <v>14</v>
      </c>
      <c r="B573" s="3" t="s">
        <v>1797</v>
      </c>
      <c r="C573" s="33" t="s">
        <v>3610</v>
      </c>
      <c r="D573" s="3" t="s">
        <v>1798</v>
      </c>
      <c r="E573" s="3" t="s">
        <v>1797</v>
      </c>
      <c r="F573" s="3" t="s">
        <v>1799</v>
      </c>
      <c r="G573" s="3" t="s">
        <v>1797</v>
      </c>
      <c r="H573" s="3" t="s">
        <v>1800</v>
      </c>
      <c r="I573" s="4">
        <v>1.0</v>
      </c>
      <c r="J573" s="4">
        <v>1.0</v>
      </c>
      <c r="K573" s="3" t="s">
        <v>80</v>
      </c>
      <c r="L573" s="3" t="s">
        <v>1801</v>
      </c>
      <c r="M573" s="3" t="s">
        <v>1802</v>
      </c>
      <c r="N573" s="3" t="s">
        <v>22</v>
      </c>
      <c r="O573" s="5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" t="s">
        <v>14</v>
      </c>
      <c r="B574" s="3" t="s">
        <v>1797</v>
      </c>
      <c r="C574" s="33" t="s">
        <v>3610</v>
      </c>
      <c r="D574" s="3" t="s">
        <v>1798</v>
      </c>
      <c r="E574" s="3" t="s">
        <v>1797</v>
      </c>
      <c r="F574" s="3" t="s">
        <v>1799</v>
      </c>
      <c r="G574" s="3" t="s">
        <v>36</v>
      </c>
      <c r="H574" s="3" t="s">
        <v>1235</v>
      </c>
      <c r="I574" s="4" t="s">
        <v>36</v>
      </c>
      <c r="J574" s="4">
        <v>2.0</v>
      </c>
      <c r="K574" s="3"/>
      <c r="L574" s="3" t="s">
        <v>1801</v>
      </c>
      <c r="M574" s="3" t="s">
        <v>1802</v>
      </c>
      <c r="N574" s="3" t="s">
        <v>22</v>
      </c>
      <c r="O574" s="5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" t="s">
        <v>14</v>
      </c>
      <c r="B575" s="3" t="s">
        <v>1803</v>
      </c>
      <c r="C575" s="36" t="s">
        <v>3605</v>
      </c>
      <c r="D575" s="3" t="s">
        <v>1804</v>
      </c>
      <c r="E575" s="3" t="s">
        <v>1805</v>
      </c>
      <c r="F575" s="3" t="s">
        <v>1806</v>
      </c>
      <c r="G575" s="3" t="s">
        <v>1807</v>
      </c>
      <c r="H575" s="3" t="s">
        <v>1808</v>
      </c>
      <c r="I575" s="4">
        <v>1.0</v>
      </c>
      <c r="J575" s="4">
        <v>1.0</v>
      </c>
      <c r="K575" s="3" t="s">
        <v>80</v>
      </c>
      <c r="L575" s="3" t="s">
        <v>1809</v>
      </c>
      <c r="M575" s="3" t="s">
        <v>1810</v>
      </c>
      <c r="N575" s="3" t="s">
        <v>22</v>
      </c>
      <c r="O575" s="5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" t="s">
        <v>14</v>
      </c>
      <c r="B576" s="3" t="s">
        <v>1803</v>
      </c>
      <c r="C576" s="36" t="s">
        <v>3605</v>
      </c>
      <c r="D576" s="3" t="s">
        <v>1804</v>
      </c>
      <c r="E576" s="3" t="s">
        <v>1805</v>
      </c>
      <c r="F576" s="3" t="s">
        <v>1806</v>
      </c>
      <c r="G576" s="3" t="s">
        <v>36</v>
      </c>
      <c r="H576" s="3" t="s">
        <v>62</v>
      </c>
      <c r="I576" s="4" t="s">
        <v>36</v>
      </c>
      <c r="J576" s="4">
        <v>2.0</v>
      </c>
      <c r="K576" s="3"/>
      <c r="L576" s="3" t="s">
        <v>1809</v>
      </c>
      <c r="M576" s="3" t="s">
        <v>1810</v>
      </c>
      <c r="N576" s="3" t="s">
        <v>22</v>
      </c>
      <c r="O576" s="5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" t="s">
        <v>14</v>
      </c>
      <c r="B577" s="3" t="s">
        <v>1803</v>
      </c>
      <c r="C577" s="36" t="s">
        <v>3605</v>
      </c>
      <c r="D577" s="3" t="s">
        <v>1804</v>
      </c>
      <c r="E577" s="3" t="s">
        <v>1805</v>
      </c>
      <c r="F577" s="3" t="s">
        <v>1806</v>
      </c>
      <c r="G577" s="3" t="s">
        <v>1811</v>
      </c>
      <c r="H577" s="3" t="s">
        <v>1117</v>
      </c>
      <c r="I577" s="4">
        <v>2.0</v>
      </c>
      <c r="J577" s="4">
        <v>3.0</v>
      </c>
      <c r="K577" s="3"/>
      <c r="L577" s="3" t="s">
        <v>1809</v>
      </c>
      <c r="M577" s="3" t="s">
        <v>1810</v>
      </c>
      <c r="N577" s="3" t="s">
        <v>22</v>
      </c>
      <c r="O577" s="5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" t="s">
        <v>14</v>
      </c>
      <c r="B578" s="3" t="s">
        <v>1812</v>
      </c>
      <c r="C578" s="36" t="s">
        <v>3595</v>
      </c>
      <c r="D578" s="3" t="s">
        <v>1813</v>
      </c>
      <c r="E578" s="3" t="s">
        <v>1814</v>
      </c>
      <c r="F578" s="3" t="s">
        <v>1815</v>
      </c>
      <c r="G578" s="3" t="s">
        <v>1807</v>
      </c>
      <c r="H578" s="3" t="s">
        <v>784</v>
      </c>
      <c r="I578" s="4">
        <v>1.0</v>
      </c>
      <c r="J578" s="4">
        <v>1.0</v>
      </c>
      <c r="K578" s="3"/>
      <c r="L578" s="3" t="s">
        <v>1816</v>
      </c>
      <c r="M578" s="3" t="s">
        <v>1817</v>
      </c>
      <c r="N578" s="3" t="s">
        <v>22</v>
      </c>
      <c r="O578" s="5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" t="s">
        <v>14</v>
      </c>
      <c r="B579" s="3" t="s">
        <v>1812</v>
      </c>
      <c r="C579" s="36" t="s">
        <v>3595</v>
      </c>
      <c r="D579" s="3" t="s">
        <v>1813</v>
      </c>
      <c r="E579" s="3" t="s">
        <v>1814</v>
      </c>
      <c r="F579" s="3" t="s">
        <v>1815</v>
      </c>
      <c r="G579" s="3" t="s">
        <v>326</v>
      </c>
      <c r="H579" s="3" t="s">
        <v>1470</v>
      </c>
      <c r="I579" s="4">
        <v>2.0</v>
      </c>
      <c r="J579" s="4">
        <v>2.0</v>
      </c>
      <c r="K579" s="3"/>
      <c r="L579" s="3" t="s">
        <v>1816</v>
      </c>
      <c r="M579" s="3" t="s">
        <v>1817</v>
      </c>
      <c r="N579" s="3" t="s">
        <v>22</v>
      </c>
      <c r="O579" s="5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5" t="s">
        <v>14</v>
      </c>
      <c r="B580" s="15" t="s">
        <v>1818</v>
      </c>
      <c r="C580" s="36" t="s">
        <v>3595</v>
      </c>
      <c r="D580" s="15" t="s">
        <v>1819</v>
      </c>
      <c r="E580" s="15" t="s">
        <v>1820</v>
      </c>
      <c r="F580" s="15" t="s">
        <v>1821</v>
      </c>
      <c r="G580" s="15" t="s">
        <v>36</v>
      </c>
      <c r="H580" s="15" t="s">
        <v>49</v>
      </c>
      <c r="I580" s="18" t="s">
        <v>36</v>
      </c>
      <c r="J580" s="18">
        <v>1.0</v>
      </c>
      <c r="K580" s="15" t="s">
        <v>80</v>
      </c>
      <c r="L580" s="15" t="s">
        <v>1822</v>
      </c>
      <c r="M580" s="15" t="s">
        <v>1386</v>
      </c>
      <c r="N580" s="15" t="s">
        <v>22</v>
      </c>
      <c r="O580" s="20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5" t="s">
        <v>14</v>
      </c>
      <c r="B581" s="15" t="s">
        <v>1818</v>
      </c>
      <c r="C581" s="36" t="s">
        <v>3595</v>
      </c>
      <c r="D581" s="15" t="s">
        <v>1819</v>
      </c>
      <c r="E581" s="15" t="s">
        <v>1820</v>
      </c>
      <c r="F581" s="15" t="s">
        <v>1821</v>
      </c>
      <c r="G581" s="15" t="s">
        <v>1823</v>
      </c>
      <c r="H581" s="15" t="s">
        <v>495</v>
      </c>
      <c r="I581" s="18">
        <v>1.0</v>
      </c>
      <c r="J581" s="18">
        <v>2.0</v>
      </c>
      <c r="K581" s="15"/>
      <c r="L581" s="15" t="s">
        <v>1822</v>
      </c>
      <c r="M581" s="15" t="s">
        <v>1386</v>
      </c>
      <c r="N581" s="15" t="s">
        <v>22</v>
      </c>
      <c r="O581" s="20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5" t="s">
        <v>14</v>
      </c>
      <c r="B582" s="15" t="s">
        <v>1818</v>
      </c>
      <c r="C582" s="36" t="s">
        <v>3595</v>
      </c>
      <c r="D582" s="15" t="s">
        <v>1819</v>
      </c>
      <c r="E582" s="15" t="s">
        <v>1820</v>
      </c>
      <c r="F582" s="15" t="s">
        <v>1821</v>
      </c>
      <c r="G582" s="15" t="s">
        <v>1118</v>
      </c>
      <c r="H582" s="15" t="s">
        <v>1119</v>
      </c>
      <c r="I582" s="18">
        <v>2.0</v>
      </c>
      <c r="J582" s="18">
        <v>3.0</v>
      </c>
      <c r="K582" s="15"/>
      <c r="L582" s="15" t="s">
        <v>1822</v>
      </c>
      <c r="M582" s="15" t="s">
        <v>1386</v>
      </c>
      <c r="N582" s="15" t="s">
        <v>22</v>
      </c>
      <c r="O582" s="20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3" t="s">
        <v>14</v>
      </c>
      <c r="B583" s="3" t="s">
        <v>1824</v>
      </c>
      <c r="C583" s="36" t="s">
        <v>3597</v>
      </c>
      <c r="D583" s="3" t="s">
        <v>1825</v>
      </c>
      <c r="E583" s="3" t="s">
        <v>1826</v>
      </c>
      <c r="F583" s="3" t="s">
        <v>1827</v>
      </c>
      <c r="G583" s="3" t="s">
        <v>1186</v>
      </c>
      <c r="H583" s="3" t="s">
        <v>1217</v>
      </c>
      <c r="I583" s="4">
        <v>1.0</v>
      </c>
      <c r="J583" s="4">
        <v>1.0</v>
      </c>
      <c r="K583" s="3"/>
      <c r="L583" s="3" t="s">
        <v>1828</v>
      </c>
      <c r="M583" s="3" t="s">
        <v>1829</v>
      </c>
      <c r="N583" s="3" t="s">
        <v>22</v>
      </c>
      <c r="O583" s="5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" t="s">
        <v>14</v>
      </c>
      <c r="B584" s="3" t="s">
        <v>1824</v>
      </c>
      <c r="C584" s="36" t="s">
        <v>3597</v>
      </c>
      <c r="D584" s="3" t="s">
        <v>1825</v>
      </c>
      <c r="E584" s="3" t="s">
        <v>1826</v>
      </c>
      <c r="F584" s="3" t="s">
        <v>1827</v>
      </c>
      <c r="G584" s="3" t="s">
        <v>1830</v>
      </c>
      <c r="H584" s="3" t="s">
        <v>918</v>
      </c>
      <c r="I584" s="4">
        <v>2.0</v>
      </c>
      <c r="J584" s="4">
        <v>2.0</v>
      </c>
      <c r="K584" s="3"/>
      <c r="L584" s="3" t="s">
        <v>1828</v>
      </c>
      <c r="M584" s="3" t="s">
        <v>1829</v>
      </c>
      <c r="N584" s="3" t="s">
        <v>22</v>
      </c>
      <c r="O584" s="5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" t="s">
        <v>14</v>
      </c>
      <c r="B585" s="3" t="s">
        <v>1824</v>
      </c>
      <c r="C585" s="36" t="s">
        <v>3597</v>
      </c>
      <c r="D585" s="3" t="s">
        <v>1825</v>
      </c>
      <c r="E585" s="3" t="s">
        <v>1826</v>
      </c>
      <c r="F585" s="3" t="s">
        <v>1827</v>
      </c>
      <c r="G585" s="3" t="s">
        <v>190</v>
      </c>
      <c r="H585" s="3" t="s">
        <v>190</v>
      </c>
      <c r="I585" s="4">
        <v>3.0</v>
      </c>
      <c r="J585" s="4">
        <v>3.0</v>
      </c>
      <c r="K585" s="3"/>
      <c r="L585" s="3" t="s">
        <v>1828</v>
      </c>
      <c r="M585" s="3" t="s">
        <v>1829</v>
      </c>
      <c r="N585" s="3" t="s">
        <v>22</v>
      </c>
      <c r="O585" s="5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5" t="s">
        <v>14</v>
      </c>
      <c r="B586" s="15" t="s">
        <v>1831</v>
      </c>
      <c r="C586" s="36" t="s">
        <v>3607</v>
      </c>
      <c r="D586" s="15" t="s">
        <v>1832</v>
      </c>
      <c r="E586" s="15" t="s">
        <v>1833</v>
      </c>
      <c r="F586" s="15" t="s">
        <v>1834</v>
      </c>
      <c r="G586" s="15"/>
      <c r="H586" s="15"/>
      <c r="I586" s="18"/>
      <c r="J586" s="18"/>
      <c r="K586" s="15"/>
      <c r="L586" s="15" t="s">
        <v>1835</v>
      </c>
      <c r="M586" s="15" t="s">
        <v>1836</v>
      </c>
      <c r="N586" s="15" t="s">
        <v>22</v>
      </c>
      <c r="O586" s="15" t="s">
        <v>560</v>
      </c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5" t="s">
        <v>14</v>
      </c>
      <c r="B587" s="15" t="s">
        <v>1837</v>
      </c>
      <c r="C587" s="36" t="s">
        <v>3605</v>
      </c>
      <c r="D587" s="15" t="s">
        <v>1838</v>
      </c>
      <c r="E587" s="15" t="s">
        <v>1839</v>
      </c>
      <c r="F587" s="15" t="s">
        <v>1840</v>
      </c>
      <c r="G587" s="15"/>
      <c r="H587" s="15"/>
      <c r="I587" s="18"/>
      <c r="J587" s="18"/>
      <c r="K587" s="15"/>
      <c r="L587" s="15" t="s">
        <v>1841</v>
      </c>
      <c r="M587" s="15" t="s">
        <v>1842</v>
      </c>
      <c r="N587" s="15" t="s">
        <v>22</v>
      </c>
      <c r="O587" s="15" t="s">
        <v>560</v>
      </c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5" t="s">
        <v>14</v>
      </c>
      <c r="B588" s="15" t="s">
        <v>1843</v>
      </c>
      <c r="C588" s="36" t="s">
        <v>3595</v>
      </c>
      <c r="D588" s="15" t="s">
        <v>1844</v>
      </c>
      <c r="E588" s="15" t="s">
        <v>1845</v>
      </c>
      <c r="F588" s="15" t="s">
        <v>1846</v>
      </c>
      <c r="G588" s="15"/>
      <c r="H588" s="15"/>
      <c r="I588" s="18"/>
      <c r="J588" s="18"/>
      <c r="K588" s="15"/>
      <c r="L588" s="15" t="s">
        <v>1847</v>
      </c>
      <c r="M588" s="15" t="s">
        <v>1848</v>
      </c>
      <c r="N588" s="15" t="s">
        <v>22</v>
      </c>
      <c r="O588" s="15" t="s">
        <v>560</v>
      </c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3" t="s">
        <v>14</v>
      </c>
      <c r="B589" s="3" t="s">
        <v>1849</v>
      </c>
      <c r="C589" s="36" t="s">
        <v>3597</v>
      </c>
      <c r="D589" s="3" t="s">
        <v>1850</v>
      </c>
      <c r="E589" s="3" t="s">
        <v>1851</v>
      </c>
      <c r="F589" s="3" t="s">
        <v>1852</v>
      </c>
      <c r="G589" s="3" t="s">
        <v>801</v>
      </c>
      <c r="H589" s="3" t="s">
        <v>334</v>
      </c>
      <c r="I589" s="4">
        <v>1.0</v>
      </c>
      <c r="J589" s="4">
        <v>1.0</v>
      </c>
      <c r="K589" s="3"/>
      <c r="L589" s="3" t="s">
        <v>1853</v>
      </c>
      <c r="M589" s="3" t="s">
        <v>1854</v>
      </c>
      <c r="N589" s="3" t="s">
        <v>22</v>
      </c>
      <c r="O589" s="5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" t="s">
        <v>14</v>
      </c>
      <c r="B590" s="3" t="s">
        <v>1849</v>
      </c>
      <c r="C590" s="36" t="s">
        <v>3597</v>
      </c>
      <c r="D590" s="3" t="s">
        <v>1850</v>
      </c>
      <c r="E590" s="3" t="s">
        <v>1851</v>
      </c>
      <c r="F590" s="3" t="s">
        <v>1852</v>
      </c>
      <c r="G590" s="3" t="s">
        <v>1855</v>
      </c>
      <c r="H590" s="3" t="s">
        <v>1855</v>
      </c>
      <c r="I590" s="4">
        <v>2.0</v>
      </c>
      <c r="J590" s="4">
        <v>2.0</v>
      </c>
      <c r="K590" s="3"/>
      <c r="L590" s="3" t="s">
        <v>1853</v>
      </c>
      <c r="M590" s="3" t="s">
        <v>1854</v>
      </c>
      <c r="N590" s="3" t="s">
        <v>22</v>
      </c>
      <c r="O590" s="5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" t="s">
        <v>14</v>
      </c>
      <c r="B591" s="3" t="s">
        <v>1849</v>
      </c>
      <c r="C591" s="36" t="s">
        <v>3597</v>
      </c>
      <c r="D591" s="3" t="s">
        <v>1850</v>
      </c>
      <c r="E591" s="3" t="s">
        <v>1851</v>
      </c>
      <c r="F591" s="3" t="s">
        <v>1852</v>
      </c>
      <c r="G591" s="3" t="s">
        <v>784</v>
      </c>
      <c r="H591" s="3" t="s">
        <v>784</v>
      </c>
      <c r="I591" s="4">
        <v>3.0</v>
      </c>
      <c r="J591" s="4">
        <v>3.0</v>
      </c>
      <c r="K591" s="3"/>
      <c r="L591" s="3" t="s">
        <v>1853</v>
      </c>
      <c r="M591" s="3" t="s">
        <v>1854</v>
      </c>
      <c r="N591" s="3" t="s">
        <v>22</v>
      </c>
      <c r="O591" s="5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5" t="s">
        <v>14</v>
      </c>
      <c r="B592" s="15" t="s">
        <v>1856</v>
      </c>
      <c r="C592" s="33" t="s">
        <v>3603</v>
      </c>
      <c r="D592" s="15" t="s">
        <v>1857</v>
      </c>
      <c r="E592" s="15" t="s">
        <v>1858</v>
      </c>
      <c r="F592" s="15" t="s">
        <v>1859</v>
      </c>
      <c r="G592" s="15"/>
      <c r="H592" s="15"/>
      <c r="I592" s="18"/>
      <c r="J592" s="18"/>
      <c r="K592" s="15"/>
      <c r="L592" s="15" t="s">
        <v>1860</v>
      </c>
      <c r="M592" s="15" t="s">
        <v>1861</v>
      </c>
      <c r="N592" s="15" t="s">
        <v>22</v>
      </c>
      <c r="O592" s="15" t="s">
        <v>560</v>
      </c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3" t="s">
        <v>14</v>
      </c>
      <c r="B593" s="3" t="s">
        <v>1862</v>
      </c>
      <c r="C593" s="33" t="s">
        <v>3600</v>
      </c>
      <c r="D593" s="3" t="s">
        <v>1863</v>
      </c>
      <c r="E593" s="3" t="s">
        <v>1864</v>
      </c>
      <c r="F593" s="3" t="s">
        <v>1865</v>
      </c>
      <c r="G593" s="3" t="s">
        <v>918</v>
      </c>
      <c r="H593" s="3" t="s">
        <v>739</v>
      </c>
      <c r="I593" s="4">
        <v>1.0</v>
      </c>
      <c r="J593" s="4">
        <v>1.0</v>
      </c>
      <c r="K593" s="3" t="s">
        <v>80</v>
      </c>
      <c r="L593" s="3" t="s">
        <v>1866</v>
      </c>
      <c r="M593" s="3" t="s">
        <v>1867</v>
      </c>
      <c r="N593" s="3" t="s">
        <v>22</v>
      </c>
      <c r="O593" s="5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" t="s">
        <v>14</v>
      </c>
      <c r="B594" s="3" t="s">
        <v>1862</v>
      </c>
      <c r="C594" s="33" t="s">
        <v>3600</v>
      </c>
      <c r="D594" s="3" t="s">
        <v>1863</v>
      </c>
      <c r="E594" s="3" t="s">
        <v>1864</v>
      </c>
      <c r="F594" s="3" t="s">
        <v>1865</v>
      </c>
      <c r="G594" s="3" t="s">
        <v>36</v>
      </c>
      <c r="H594" s="3" t="s">
        <v>1868</v>
      </c>
      <c r="I594" s="4" t="s">
        <v>36</v>
      </c>
      <c r="J594" s="4">
        <v>2.0</v>
      </c>
      <c r="K594" s="3"/>
      <c r="L594" s="3" t="s">
        <v>1866</v>
      </c>
      <c r="M594" s="3" t="s">
        <v>1867</v>
      </c>
      <c r="N594" s="3" t="s">
        <v>22</v>
      </c>
      <c r="O594" s="5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" t="s">
        <v>14</v>
      </c>
      <c r="B595" s="3" t="s">
        <v>1862</v>
      </c>
      <c r="C595" s="33" t="s">
        <v>3600</v>
      </c>
      <c r="D595" s="3" t="s">
        <v>1863</v>
      </c>
      <c r="E595" s="3" t="s">
        <v>1864</v>
      </c>
      <c r="F595" s="3" t="s">
        <v>1865</v>
      </c>
      <c r="G595" s="3" t="s">
        <v>312</v>
      </c>
      <c r="H595" s="3" t="s">
        <v>312</v>
      </c>
      <c r="I595" s="4">
        <v>2.0</v>
      </c>
      <c r="J595" s="4">
        <v>3.0</v>
      </c>
      <c r="K595" s="3"/>
      <c r="L595" s="3" t="s">
        <v>1866</v>
      </c>
      <c r="M595" s="3" t="s">
        <v>1867</v>
      </c>
      <c r="N595" s="3" t="s">
        <v>22</v>
      </c>
      <c r="O595" s="5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" t="s">
        <v>14</v>
      </c>
      <c r="B596" s="3" t="s">
        <v>1869</v>
      </c>
      <c r="C596" s="33" t="s">
        <v>3596</v>
      </c>
      <c r="D596" s="3" t="s">
        <v>1870</v>
      </c>
      <c r="E596" s="3" t="s">
        <v>1869</v>
      </c>
      <c r="F596" s="3" t="s">
        <v>1871</v>
      </c>
      <c r="G596" s="3" t="s">
        <v>1869</v>
      </c>
      <c r="H596" s="3" t="s">
        <v>610</v>
      </c>
      <c r="I596" s="4">
        <v>1.0</v>
      </c>
      <c r="J596" s="4">
        <v>1.0</v>
      </c>
      <c r="K596" s="3" t="s">
        <v>80</v>
      </c>
      <c r="L596" s="3" t="s">
        <v>1872</v>
      </c>
      <c r="M596" s="3" t="s">
        <v>1873</v>
      </c>
      <c r="N596" s="3" t="s">
        <v>22</v>
      </c>
      <c r="O596" s="5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" t="s">
        <v>14</v>
      </c>
      <c r="B597" s="3" t="s">
        <v>1869</v>
      </c>
      <c r="C597" s="33" t="s">
        <v>3596</v>
      </c>
      <c r="D597" s="3" t="s">
        <v>1870</v>
      </c>
      <c r="E597" s="3" t="s">
        <v>1869</v>
      </c>
      <c r="F597" s="3" t="s">
        <v>1871</v>
      </c>
      <c r="G597" s="3" t="s">
        <v>36</v>
      </c>
      <c r="H597" s="3" t="s">
        <v>1874</v>
      </c>
      <c r="I597" s="4" t="s">
        <v>36</v>
      </c>
      <c r="J597" s="4">
        <v>2.0</v>
      </c>
      <c r="K597" s="3"/>
      <c r="L597" s="3" t="s">
        <v>1872</v>
      </c>
      <c r="M597" s="3" t="s">
        <v>1873</v>
      </c>
      <c r="N597" s="3" t="s">
        <v>22</v>
      </c>
      <c r="O597" s="5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5" t="s">
        <v>14</v>
      </c>
      <c r="B598" s="15" t="s">
        <v>1875</v>
      </c>
      <c r="C598" s="36" t="s">
        <v>3605</v>
      </c>
      <c r="D598" s="15" t="s">
        <v>1876</v>
      </c>
      <c r="E598" s="15" t="s">
        <v>1877</v>
      </c>
      <c r="F598" s="15" t="s">
        <v>1878</v>
      </c>
      <c r="G598" s="15" t="s">
        <v>1879</v>
      </c>
      <c r="H598" s="15" t="s">
        <v>1879</v>
      </c>
      <c r="I598" s="18">
        <v>1.0</v>
      </c>
      <c r="J598" s="18">
        <v>1.0</v>
      </c>
      <c r="K598" s="15"/>
      <c r="L598" s="15" t="s">
        <v>1880</v>
      </c>
      <c r="M598" s="15" t="s">
        <v>1881</v>
      </c>
      <c r="N598" s="15" t="s">
        <v>22</v>
      </c>
      <c r="O598" s="20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5" t="s">
        <v>14</v>
      </c>
      <c r="B599" s="15" t="s">
        <v>1875</v>
      </c>
      <c r="C599" s="36" t="s">
        <v>3605</v>
      </c>
      <c r="D599" s="15" t="s">
        <v>1876</v>
      </c>
      <c r="E599" s="15" t="s">
        <v>1877</v>
      </c>
      <c r="F599" s="15" t="s">
        <v>1878</v>
      </c>
      <c r="G599" s="15" t="s">
        <v>1882</v>
      </c>
      <c r="H599" s="15" t="s">
        <v>1883</v>
      </c>
      <c r="I599" s="18">
        <v>2.0</v>
      </c>
      <c r="J599" s="18">
        <v>2.0</v>
      </c>
      <c r="K599" s="15"/>
      <c r="L599" s="15" t="s">
        <v>1880</v>
      </c>
      <c r="M599" s="15" t="s">
        <v>1881</v>
      </c>
      <c r="N599" s="15" t="s">
        <v>22</v>
      </c>
      <c r="O599" s="20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3" t="s">
        <v>14</v>
      </c>
      <c r="B600" s="3" t="s">
        <v>1884</v>
      </c>
      <c r="C600" s="36" t="s">
        <v>3607</v>
      </c>
      <c r="D600" s="3" t="s">
        <v>1885</v>
      </c>
      <c r="E600" s="3" t="s">
        <v>1886</v>
      </c>
      <c r="F600" s="3" t="s">
        <v>1887</v>
      </c>
      <c r="G600" s="3" t="s">
        <v>471</v>
      </c>
      <c r="H600" s="3" t="s">
        <v>219</v>
      </c>
      <c r="I600" s="4">
        <v>1.0</v>
      </c>
      <c r="J600" s="4">
        <v>1.0</v>
      </c>
      <c r="K600" s="3"/>
      <c r="L600" s="3" t="s">
        <v>1888</v>
      </c>
      <c r="M600" s="3" t="s">
        <v>1889</v>
      </c>
      <c r="N600" s="3" t="s">
        <v>22</v>
      </c>
      <c r="O600" s="5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" t="s">
        <v>14</v>
      </c>
      <c r="B601" s="3" t="s">
        <v>1884</v>
      </c>
      <c r="C601" s="36" t="s">
        <v>3607</v>
      </c>
      <c r="D601" s="3" t="s">
        <v>1885</v>
      </c>
      <c r="E601" s="3" t="s">
        <v>1886</v>
      </c>
      <c r="F601" s="3" t="s">
        <v>1887</v>
      </c>
      <c r="G601" s="3" t="s">
        <v>918</v>
      </c>
      <c r="H601" s="3" t="s">
        <v>576</v>
      </c>
      <c r="I601" s="4">
        <v>2.0</v>
      </c>
      <c r="J601" s="4">
        <v>2.0</v>
      </c>
      <c r="K601" s="3"/>
      <c r="L601" s="3" t="s">
        <v>1888</v>
      </c>
      <c r="M601" s="3" t="s">
        <v>1889</v>
      </c>
      <c r="N601" s="3" t="s">
        <v>22</v>
      </c>
      <c r="O601" s="5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" t="s">
        <v>14</v>
      </c>
      <c r="B602" s="3" t="s">
        <v>1890</v>
      </c>
      <c r="C602" s="36" t="s">
        <v>3595</v>
      </c>
      <c r="D602" s="3" t="s">
        <v>1891</v>
      </c>
      <c r="E602" s="3" t="s">
        <v>1892</v>
      </c>
      <c r="F602" s="3" t="s">
        <v>1893</v>
      </c>
      <c r="G602" s="3" t="s">
        <v>276</v>
      </c>
      <c r="H602" s="3" t="s">
        <v>276</v>
      </c>
      <c r="I602" s="4">
        <v>1.0</v>
      </c>
      <c r="J602" s="4">
        <v>1.0</v>
      </c>
      <c r="K602" s="3" t="s">
        <v>1894</v>
      </c>
      <c r="L602" s="3" t="s">
        <v>1895</v>
      </c>
      <c r="M602" s="3" t="s">
        <v>1896</v>
      </c>
      <c r="N602" s="3" t="s">
        <v>22</v>
      </c>
      <c r="O602" s="5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" t="s">
        <v>14</v>
      </c>
      <c r="B603" s="3" t="s">
        <v>1890</v>
      </c>
      <c r="C603" s="36" t="s">
        <v>3595</v>
      </c>
      <c r="D603" s="3" t="s">
        <v>1891</v>
      </c>
      <c r="E603" s="3" t="s">
        <v>1892</v>
      </c>
      <c r="F603" s="3" t="s">
        <v>1893</v>
      </c>
      <c r="G603" s="3" t="s">
        <v>36</v>
      </c>
      <c r="H603" s="3" t="s">
        <v>1897</v>
      </c>
      <c r="I603" s="4" t="s">
        <v>36</v>
      </c>
      <c r="J603" s="4">
        <v>2.0</v>
      </c>
      <c r="K603" s="3"/>
      <c r="L603" s="3" t="s">
        <v>1895</v>
      </c>
      <c r="M603" s="3" t="s">
        <v>1896</v>
      </c>
      <c r="N603" s="3" t="s">
        <v>22</v>
      </c>
      <c r="O603" s="5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" t="s">
        <v>14</v>
      </c>
      <c r="B604" s="3" t="s">
        <v>1890</v>
      </c>
      <c r="C604" s="36" t="s">
        <v>3595</v>
      </c>
      <c r="D604" s="3" t="s">
        <v>1891</v>
      </c>
      <c r="E604" s="3" t="s">
        <v>1892</v>
      </c>
      <c r="F604" s="3" t="s">
        <v>1893</v>
      </c>
      <c r="G604" s="3" t="s">
        <v>1898</v>
      </c>
      <c r="H604" s="3" t="s">
        <v>1899</v>
      </c>
      <c r="I604" s="4">
        <v>2.0</v>
      </c>
      <c r="J604" s="4">
        <v>3.0</v>
      </c>
      <c r="K604" s="3"/>
      <c r="L604" s="3" t="s">
        <v>1895</v>
      </c>
      <c r="M604" s="3" t="s">
        <v>1896</v>
      </c>
      <c r="N604" s="3" t="s">
        <v>22</v>
      </c>
      <c r="O604" s="5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5" t="s">
        <v>14</v>
      </c>
      <c r="B605" s="15" t="s">
        <v>1900</v>
      </c>
      <c r="C605" s="36" t="s">
        <v>3618</v>
      </c>
      <c r="D605" s="15" t="s">
        <v>1901</v>
      </c>
      <c r="E605" s="15" t="s">
        <v>1902</v>
      </c>
      <c r="F605" s="15" t="s">
        <v>1903</v>
      </c>
      <c r="G605" s="15" t="s">
        <v>30</v>
      </c>
      <c r="H605" s="15" t="s">
        <v>1904</v>
      </c>
      <c r="I605" s="18">
        <v>1.0</v>
      </c>
      <c r="J605" s="18">
        <v>1.0</v>
      </c>
      <c r="K605" s="15" t="s">
        <v>72</v>
      </c>
      <c r="L605" s="15" t="s">
        <v>1905</v>
      </c>
      <c r="M605" s="15" t="s">
        <v>1906</v>
      </c>
      <c r="N605" s="15" t="s">
        <v>22</v>
      </c>
      <c r="O605" s="20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5" t="s">
        <v>14</v>
      </c>
      <c r="B606" s="15" t="s">
        <v>1900</v>
      </c>
      <c r="C606" s="36" t="s">
        <v>3618</v>
      </c>
      <c r="D606" s="15" t="s">
        <v>1901</v>
      </c>
      <c r="E606" s="15" t="s">
        <v>1902</v>
      </c>
      <c r="F606" s="15" t="s">
        <v>1903</v>
      </c>
      <c r="G606" s="15" t="s">
        <v>1907</v>
      </c>
      <c r="H606" s="15" t="s">
        <v>36</v>
      </c>
      <c r="I606" s="18">
        <v>2.0</v>
      </c>
      <c r="J606" s="18" t="s">
        <v>36</v>
      </c>
      <c r="K606" s="15"/>
      <c r="L606" s="15" t="s">
        <v>1905</v>
      </c>
      <c r="M606" s="15" t="s">
        <v>1906</v>
      </c>
      <c r="N606" s="15" t="s">
        <v>22</v>
      </c>
      <c r="O606" s="20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5" t="s">
        <v>14</v>
      </c>
      <c r="B607" s="15" t="s">
        <v>1900</v>
      </c>
      <c r="C607" s="36" t="s">
        <v>3618</v>
      </c>
      <c r="D607" s="15" t="s">
        <v>1901</v>
      </c>
      <c r="E607" s="15" t="s">
        <v>1902</v>
      </c>
      <c r="F607" s="15" t="s">
        <v>1903</v>
      </c>
      <c r="G607" s="15" t="s">
        <v>168</v>
      </c>
      <c r="H607" s="15" t="s">
        <v>158</v>
      </c>
      <c r="I607" s="18">
        <v>3.0</v>
      </c>
      <c r="J607" s="18">
        <v>2.0</v>
      </c>
      <c r="K607" s="15"/>
      <c r="L607" s="15" t="s">
        <v>1905</v>
      </c>
      <c r="M607" s="15" t="s">
        <v>1906</v>
      </c>
      <c r="N607" s="15" t="s">
        <v>22</v>
      </c>
      <c r="O607" s="20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5" t="s">
        <v>14</v>
      </c>
      <c r="B608" s="15" t="s">
        <v>1900</v>
      </c>
      <c r="C608" s="36" t="s">
        <v>3618</v>
      </c>
      <c r="D608" s="15" t="s">
        <v>1901</v>
      </c>
      <c r="E608" s="15" t="s">
        <v>1902</v>
      </c>
      <c r="F608" s="15" t="s">
        <v>1903</v>
      </c>
      <c r="G608" s="15" t="s">
        <v>1908</v>
      </c>
      <c r="H608" s="15" t="s">
        <v>1909</v>
      </c>
      <c r="I608" s="18">
        <v>4.0</v>
      </c>
      <c r="J608" s="18">
        <v>3.0</v>
      </c>
      <c r="K608" s="15"/>
      <c r="L608" s="15" t="s">
        <v>1905</v>
      </c>
      <c r="M608" s="15" t="s">
        <v>1906</v>
      </c>
      <c r="N608" s="15" t="s">
        <v>22</v>
      </c>
      <c r="O608" s="20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5" t="s">
        <v>14</v>
      </c>
      <c r="B609" s="15" t="s">
        <v>1910</v>
      </c>
      <c r="C609" s="33" t="s">
        <v>3619</v>
      </c>
      <c r="D609" s="15" t="s">
        <v>1911</v>
      </c>
      <c r="E609" s="15" t="s">
        <v>1912</v>
      </c>
      <c r="F609" s="15" t="s">
        <v>1913</v>
      </c>
      <c r="G609" s="15" t="s">
        <v>1914</v>
      </c>
      <c r="H609" s="15" t="s">
        <v>1915</v>
      </c>
      <c r="I609" s="18">
        <v>1.0</v>
      </c>
      <c r="J609" s="18">
        <v>1.0</v>
      </c>
      <c r="K609" s="15"/>
      <c r="L609" s="15" t="s">
        <v>1916</v>
      </c>
      <c r="M609" s="15" t="s">
        <v>1917</v>
      </c>
      <c r="N609" s="15" t="s">
        <v>22</v>
      </c>
      <c r="O609" s="20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5" t="s">
        <v>14</v>
      </c>
      <c r="B610" s="15" t="s">
        <v>1910</v>
      </c>
      <c r="C610" s="33" t="s">
        <v>3619</v>
      </c>
      <c r="D610" s="15" t="s">
        <v>1911</v>
      </c>
      <c r="E610" s="15" t="s">
        <v>1912</v>
      </c>
      <c r="F610" s="15" t="s">
        <v>1913</v>
      </c>
      <c r="G610" s="15" t="s">
        <v>55</v>
      </c>
      <c r="H610" s="15" t="s">
        <v>56</v>
      </c>
      <c r="I610" s="18">
        <v>2.0</v>
      </c>
      <c r="J610" s="18">
        <v>2.0</v>
      </c>
      <c r="K610" s="15"/>
      <c r="L610" s="15" t="s">
        <v>1916</v>
      </c>
      <c r="M610" s="15" t="s">
        <v>1917</v>
      </c>
      <c r="N610" s="15" t="s">
        <v>22</v>
      </c>
      <c r="O610" s="20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5" t="s">
        <v>14</v>
      </c>
      <c r="B611" s="15" t="s">
        <v>1910</v>
      </c>
      <c r="C611" s="33" t="s">
        <v>3619</v>
      </c>
      <c r="D611" s="15" t="s">
        <v>1911</v>
      </c>
      <c r="E611" s="15" t="s">
        <v>1912</v>
      </c>
      <c r="F611" s="15" t="s">
        <v>1913</v>
      </c>
      <c r="G611" s="15" t="s">
        <v>1918</v>
      </c>
      <c r="H611" s="15" t="s">
        <v>724</v>
      </c>
      <c r="I611" s="18">
        <v>3.0</v>
      </c>
      <c r="J611" s="18">
        <v>3.0</v>
      </c>
      <c r="K611" s="15"/>
      <c r="L611" s="15" t="s">
        <v>1916</v>
      </c>
      <c r="M611" s="15" t="s">
        <v>1917</v>
      </c>
      <c r="N611" s="15" t="s">
        <v>22</v>
      </c>
      <c r="O611" s="20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5" t="s">
        <v>14</v>
      </c>
      <c r="B612" s="15" t="s">
        <v>1910</v>
      </c>
      <c r="C612" s="33" t="s">
        <v>3619</v>
      </c>
      <c r="D612" s="15" t="s">
        <v>1911</v>
      </c>
      <c r="E612" s="15" t="s">
        <v>1912</v>
      </c>
      <c r="F612" s="15" t="s">
        <v>1913</v>
      </c>
      <c r="G612" s="15" t="s">
        <v>1919</v>
      </c>
      <c r="H612" s="15" t="s">
        <v>644</v>
      </c>
      <c r="I612" s="18">
        <v>4.0</v>
      </c>
      <c r="J612" s="18">
        <v>4.0</v>
      </c>
      <c r="K612" s="15"/>
      <c r="L612" s="15" t="s">
        <v>1916</v>
      </c>
      <c r="M612" s="15" t="s">
        <v>1917</v>
      </c>
      <c r="N612" s="15" t="s">
        <v>22</v>
      </c>
      <c r="O612" s="20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3" t="s">
        <v>14</v>
      </c>
      <c r="B613" s="3" t="s">
        <v>1920</v>
      </c>
      <c r="C613" s="33" t="s">
        <v>3596</v>
      </c>
      <c r="D613" s="3" t="s">
        <v>1921</v>
      </c>
      <c r="E613" s="3" t="s">
        <v>1920</v>
      </c>
      <c r="F613" s="3" t="s">
        <v>1922</v>
      </c>
      <c r="G613" s="3" t="s">
        <v>1920</v>
      </c>
      <c r="H613" s="3" t="s">
        <v>1923</v>
      </c>
      <c r="I613" s="4">
        <v>1.0</v>
      </c>
      <c r="J613" s="4">
        <v>1.0</v>
      </c>
      <c r="K613" s="3" t="s">
        <v>80</v>
      </c>
      <c r="L613" s="3" t="s">
        <v>1924</v>
      </c>
      <c r="M613" s="3" t="s">
        <v>1925</v>
      </c>
      <c r="N613" s="3" t="s">
        <v>22</v>
      </c>
      <c r="O613" s="5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" t="s">
        <v>14</v>
      </c>
      <c r="B614" s="3" t="s">
        <v>1920</v>
      </c>
      <c r="C614" s="33" t="s">
        <v>3596</v>
      </c>
      <c r="D614" s="3" t="s">
        <v>1921</v>
      </c>
      <c r="E614" s="3" t="s">
        <v>1920</v>
      </c>
      <c r="F614" s="3" t="s">
        <v>1922</v>
      </c>
      <c r="G614" s="3" t="s">
        <v>36</v>
      </c>
      <c r="H614" s="3" t="s">
        <v>103</v>
      </c>
      <c r="I614" s="4" t="s">
        <v>36</v>
      </c>
      <c r="J614" s="4">
        <v>2.0</v>
      </c>
      <c r="K614" s="3"/>
      <c r="L614" s="3" t="s">
        <v>1924</v>
      </c>
      <c r="M614" s="3" t="s">
        <v>1925</v>
      </c>
      <c r="N614" s="3" t="s">
        <v>22</v>
      </c>
      <c r="O614" s="5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15" t="s">
        <v>14</v>
      </c>
      <c r="B615" s="15" t="s">
        <v>1926</v>
      </c>
      <c r="C615" s="33" t="s">
        <v>3600</v>
      </c>
      <c r="D615" s="15" t="s">
        <v>1927</v>
      </c>
      <c r="E615" s="15" t="s">
        <v>1928</v>
      </c>
      <c r="F615" s="15" t="s">
        <v>1929</v>
      </c>
      <c r="G615" s="15" t="s">
        <v>36</v>
      </c>
      <c r="H615" s="15" t="s">
        <v>287</v>
      </c>
      <c r="I615" s="18" t="s">
        <v>36</v>
      </c>
      <c r="J615" s="18">
        <v>1.0</v>
      </c>
      <c r="K615" s="15" t="s">
        <v>80</v>
      </c>
      <c r="L615" s="15" t="s">
        <v>1930</v>
      </c>
      <c r="M615" s="15" t="s">
        <v>1931</v>
      </c>
      <c r="N615" s="15" t="s">
        <v>22</v>
      </c>
      <c r="O615" s="20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5" t="s">
        <v>14</v>
      </c>
      <c r="B616" s="15" t="s">
        <v>1926</v>
      </c>
      <c r="C616" s="33" t="s">
        <v>3600</v>
      </c>
      <c r="D616" s="15" t="s">
        <v>1927</v>
      </c>
      <c r="E616" s="15" t="s">
        <v>1928</v>
      </c>
      <c r="F616" s="15" t="s">
        <v>1929</v>
      </c>
      <c r="G616" s="15" t="s">
        <v>1932</v>
      </c>
      <c r="H616" s="15" t="s">
        <v>1933</v>
      </c>
      <c r="I616" s="18">
        <v>1.0</v>
      </c>
      <c r="J616" s="18">
        <v>2.0</v>
      </c>
      <c r="K616" s="15"/>
      <c r="L616" s="15" t="s">
        <v>1930</v>
      </c>
      <c r="M616" s="15" t="s">
        <v>1931</v>
      </c>
      <c r="N616" s="15" t="s">
        <v>22</v>
      </c>
      <c r="O616" s="20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5" t="s">
        <v>14</v>
      </c>
      <c r="B617" s="15" t="s">
        <v>1926</v>
      </c>
      <c r="C617" s="33" t="s">
        <v>3600</v>
      </c>
      <c r="D617" s="15" t="s">
        <v>1927</v>
      </c>
      <c r="E617" s="15" t="s">
        <v>1928</v>
      </c>
      <c r="F617" s="15" t="s">
        <v>1929</v>
      </c>
      <c r="G617" s="15" t="s">
        <v>296</v>
      </c>
      <c r="H617" s="15" t="s">
        <v>758</v>
      </c>
      <c r="I617" s="18">
        <v>2.0</v>
      </c>
      <c r="J617" s="18">
        <v>3.0</v>
      </c>
      <c r="K617" s="15"/>
      <c r="L617" s="15" t="s">
        <v>1930</v>
      </c>
      <c r="M617" s="15" t="s">
        <v>1931</v>
      </c>
      <c r="N617" s="15" t="s">
        <v>22</v>
      </c>
      <c r="O617" s="20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3" t="s">
        <v>14</v>
      </c>
      <c r="B618" s="3" t="s">
        <v>1934</v>
      </c>
      <c r="C618" s="36" t="s">
        <v>3605</v>
      </c>
      <c r="D618" s="3" t="s">
        <v>1935</v>
      </c>
      <c r="E618" s="3" t="s">
        <v>1936</v>
      </c>
      <c r="F618" s="3" t="s">
        <v>1937</v>
      </c>
      <c r="G618" s="3" t="s">
        <v>108</v>
      </c>
      <c r="H618" s="3" t="s">
        <v>175</v>
      </c>
      <c r="I618" s="4">
        <v>1.0</v>
      </c>
      <c r="J618" s="4">
        <v>1.0</v>
      </c>
      <c r="K618" s="3" t="s">
        <v>80</v>
      </c>
      <c r="L618" s="3" t="s">
        <v>1938</v>
      </c>
      <c r="M618" s="3" t="s">
        <v>1939</v>
      </c>
      <c r="N618" s="3" t="s">
        <v>22</v>
      </c>
      <c r="O618" s="5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" t="s">
        <v>14</v>
      </c>
      <c r="B619" s="3" t="s">
        <v>1934</v>
      </c>
      <c r="C619" s="36" t="s">
        <v>3605</v>
      </c>
      <c r="D619" s="3" t="s">
        <v>1935</v>
      </c>
      <c r="E619" s="3" t="s">
        <v>1936</v>
      </c>
      <c r="F619" s="3" t="s">
        <v>1937</v>
      </c>
      <c r="G619" s="3" t="s">
        <v>1940</v>
      </c>
      <c r="H619" s="3" t="s">
        <v>1941</v>
      </c>
      <c r="I619" s="4">
        <v>2.0</v>
      </c>
      <c r="J619" s="4">
        <v>2.0</v>
      </c>
      <c r="K619" s="3"/>
      <c r="L619" s="3" t="s">
        <v>1938</v>
      </c>
      <c r="M619" s="3" t="s">
        <v>1939</v>
      </c>
      <c r="N619" s="3" t="s">
        <v>22</v>
      </c>
      <c r="O619" s="5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" t="s">
        <v>14</v>
      </c>
      <c r="B620" s="3" t="s">
        <v>1934</v>
      </c>
      <c r="C620" s="36" t="s">
        <v>3605</v>
      </c>
      <c r="D620" s="3" t="s">
        <v>1935</v>
      </c>
      <c r="E620" s="3" t="s">
        <v>1936</v>
      </c>
      <c r="F620" s="3" t="s">
        <v>1937</v>
      </c>
      <c r="G620" s="17" t="s">
        <v>36</v>
      </c>
      <c r="H620" s="3" t="s">
        <v>49</v>
      </c>
      <c r="I620" s="4" t="s">
        <v>36</v>
      </c>
      <c r="J620" s="4">
        <v>3.0</v>
      </c>
      <c r="K620" s="3"/>
      <c r="L620" s="3" t="s">
        <v>1938</v>
      </c>
      <c r="M620" s="3" t="s">
        <v>1939</v>
      </c>
      <c r="N620" s="3" t="s">
        <v>22</v>
      </c>
      <c r="O620" s="5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" t="s">
        <v>14</v>
      </c>
      <c r="B621" s="3" t="s">
        <v>1942</v>
      </c>
      <c r="C621" s="33" t="s">
        <v>3600</v>
      </c>
      <c r="D621" s="3" t="s">
        <v>1943</v>
      </c>
      <c r="E621" s="3" t="s">
        <v>1944</v>
      </c>
      <c r="F621" s="3" t="s">
        <v>1945</v>
      </c>
      <c r="G621" s="3" t="s">
        <v>131</v>
      </c>
      <c r="H621" s="3" t="s">
        <v>131</v>
      </c>
      <c r="I621" s="4">
        <v>1.0</v>
      </c>
      <c r="J621" s="4">
        <v>1.0</v>
      </c>
      <c r="K621" s="3"/>
      <c r="L621" s="3" t="s">
        <v>1946</v>
      </c>
      <c r="M621" s="3" t="s">
        <v>1947</v>
      </c>
      <c r="N621" s="3" t="s">
        <v>22</v>
      </c>
      <c r="O621" s="5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" t="s">
        <v>14</v>
      </c>
      <c r="B622" s="3" t="s">
        <v>1942</v>
      </c>
      <c r="C622" s="33" t="s">
        <v>3600</v>
      </c>
      <c r="D622" s="3" t="s">
        <v>1943</v>
      </c>
      <c r="E622" s="3" t="s">
        <v>1944</v>
      </c>
      <c r="F622" s="3" t="s">
        <v>1945</v>
      </c>
      <c r="G622" s="3" t="s">
        <v>848</v>
      </c>
      <c r="H622" s="3" t="s">
        <v>296</v>
      </c>
      <c r="I622" s="4">
        <v>2.0</v>
      </c>
      <c r="J622" s="4">
        <v>2.0</v>
      </c>
      <c r="K622" s="3"/>
      <c r="L622" s="3" t="s">
        <v>1946</v>
      </c>
      <c r="M622" s="3" t="s">
        <v>1947</v>
      </c>
      <c r="N622" s="3" t="s">
        <v>22</v>
      </c>
      <c r="O622" s="5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15" t="s">
        <v>14</v>
      </c>
      <c r="B623" s="15" t="s">
        <v>1948</v>
      </c>
      <c r="C623" s="36" t="s">
        <v>3608</v>
      </c>
      <c r="D623" s="15" t="s">
        <v>1949</v>
      </c>
      <c r="E623" s="15" t="s">
        <v>1950</v>
      </c>
      <c r="F623" s="15" t="s">
        <v>1951</v>
      </c>
      <c r="G623" s="15"/>
      <c r="H623" s="15"/>
      <c r="I623" s="18"/>
      <c r="J623" s="18"/>
      <c r="K623" s="15" t="s">
        <v>80</v>
      </c>
      <c r="L623" s="15" t="s">
        <v>1952</v>
      </c>
      <c r="M623" s="15" t="s">
        <v>1953</v>
      </c>
      <c r="N623" s="15" t="s">
        <v>22</v>
      </c>
      <c r="O623" s="15" t="s">
        <v>560</v>
      </c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3" t="s">
        <v>14</v>
      </c>
      <c r="B624" s="3" t="s">
        <v>1954</v>
      </c>
      <c r="C624" s="36" t="s">
        <v>3595</v>
      </c>
      <c r="D624" s="3" t="s">
        <v>1955</v>
      </c>
      <c r="E624" s="3" t="s">
        <v>1956</v>
      </c>
      <c r="F624" s="3" t="s">
        <v>1957</v>
      </c>
      <c r="G624" s="3" t="s">
        <v>425</v>
      </c>
      <c r="H624" s="3" t="s">
        <v>425</v>
      </c>
      <c r="I624" s="4">
        <v>1.0</v>
      </c>
      <c r="J624" s="4">
        <v>1.0</v>
      </c>
      <c r="K624" s="3" t="s">
        <v>80</v>
      </c>
      <c r="L624" s="3" t="s">
        <v>1958</v>
      </c>
      <c r="M624" s="3" t="s">
        <v>1959</v>
      </c>
      <c r="N624" s="3" t="s">
        <v>22</v>
      </c>
      <c r="O624" s="5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" t="s">
        <v>14</v>
      </c>
      <c r="B625" s="3" t="s">
        <v>1954</v>
      </c>
      <c r="C625" s="36" t="s">
        <v>3595</v>
      </c>
      <c r="D625" s="3" t="s">
        <v>1955</v>
      </c>
      <c r="E625" s="3" t="s">
        <v>1956</v>
      </c>
      <c r="F625" s="3" t="s">
        <v>1957</v>
      </c>
      <c r="G625" s="3" t="s">
        <v>36</v>
      </c>
      <c r="H625" s="3" t="s">
        <v>1897</v>
      </c>
      <c r="I625" s="4" t="s">
        <v>36</v>
      </c>
      <c r="J625" s="4">
        <v>2.0</v>
      </c>
      <c r="K625" s="3"/>
      <c r="L625" s="3" t="s">
        <v>1958</v>
      </c>
      <c r="M625" s="3" t="s">
        <v>1959</v>
      </c>
      <c r="N625" s="3" t="s">
        <v>22</v>
      </c>
      <c r="O625" s="5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" t="s">
        <v>14</v>
      </c>
      <c r="B626" s="3" t="s">
        <v>1954</v>
      </c>
      <c r="C626" s="36" t="s">
        <v>3595</v>
      </c>
      <c r="D626" s="3" t="s">
        <v>1955</v>
      </c>
      <c r="E626" s="3" t="s">
        <v>1956</v>
      </c>
      <c r="F626" s="3" t="s">
        <v>1957</v>
      </c>
      <c r="G626" s="3" t="s">
        <v>1960</v>
      </c>
      <c r="H626" s="3" t="s">
        <v>75</v>
      </c>
      <c r="I626" s="4">
        <v>2.0</v>
      </c>
      <c r="J626" s="4">
        <v>3.0</v>
      </c>
      <c r="K626" s="3"/>
      <c r="L626" s="3" t="s">
        <v>1958</v>
      </c>
      <c r="M626" s="3" t="s">
        <v>1959</v>
      </c>
      <c r="N626" s="3" t="s">
        <v>22</v>
      </c>
      <c r="O626" s="5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" t="s">
        <v>14</v>
      </c>
      <c r="B627" s="3" t="s">
        <v>1961</v>
      </c>
      <c r="C627" s="36" t="s">
        <v>3599</v>
      </c>
      <c r="D627" s="3" t="s">
        <v>1962</v>
      </c>
      <c r="E627" s="3" t="s">
        <v>1963</v>
      </c>
      <c r="F627" s="3" t="s">
        <v>1964</v>
      </c>
      <c r="G627" s="3" t="s">
        <v>128</v>
      </c>
      <c r="H627" s="3" t="s">
        <v>1965</v>
      </c>
      <c r="I627" s="4">
        <v>1.0</v>
      </c>
      <c r="J627" s="4">
        <v>1.0</v>
      </c>
      <c r="K627" s="3"/>
      <c r="L627" s="3" t="s">
        <v>1966</v>
      </c>
      <c r="M627" s="3" t="s">
        <v>1967</v>
      </c>
      <c r="N627" s="3" t="s">
        <v>22</v>
      </c>
      <c r="O627" s="5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" t="s">
        <v>14</v>
      </c>
      <c r="B628" s="3" t="s">
        <v>1961</v>
      </c>
      <c r="C628" s="36" t="s">
        <v>3599</v>
      </c>
      <c r="D628" s="3" t="s">
        <v>1962</v>
      </c>
      <c r="E628" s="3" t="s">
        <v>1963</v>
      </c>
      <c r="F628" s="3" t="s">
        <v>1964</v>
      </c>
      <c r="G628" s="3" t="s">
        <v>1968</v>
      </c>
      <c r="H628" s="3" t="s">
        <v>36</v>
      </c>
      <c r="I628" s="4">
        <v>2.0</v>
      </c>
      <c r="J628" s="4" t="s">
        <v>36</v>
      </c>
      <c r="K628" s="3"/>
      <c r="L628" s="3" t="s">
        <v>1966</v>
      </c>
      <c r="M628" s="3" t="s">
        <v>1967</v>
      </c>
      <c r="N628" s="3" t="s">
        <v>22</v>
      </c>
      <c r="O628" s="5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" t="s">
        <v>14</v>
      </c>
      <c r="B629" s="3" t="s">
        <v>1961</v>
      </c>
      <c r="C629" s="36" t="s">
        <v>3599</v>
      </c>
      <c r="D629" s="3" t="s">
        <v>1962</v>
      </c>
      <c r="E629" s="3" t="s">
        <v>1963</v>
      </c>
      <c r="F629" s="3" t="s">
        <v>1964</v>
      </c>
      <c r="G629" s="3" t="s">
        <v>784</v>
      </c>
      <c r="H629" s="3" t="s">
        <v>784</v>
      </c>
      <c r="I629" s="4">
        <v>3.0</v>
      </c>
      <c r="J629" s="4">
        <v>2.0</v>
      </c>
      <c r="K629" s="3"/>
      <c r="L629" s="3" t="s">
        <v>1966</v>
      </c>
      <c r="M629" s="3" t="s">
        <v>1967</v>
      </c>
      <c r="N629" s="3" t="s">
        <v>22</v>
      </c>
      <c r="O629" s="5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15" t="s">
        <v>14</v>
      </c>
      <c r="B630" s="15" t="s">
        <v>1969</v>
      </c>
      <c r="C630" s="33" t="s">
        <v>3592</v>
      </c>
      <c r="D630" s="15" t="s">
        <v>1970</v>
      </c>
      <c r="E630" s="15" t="s">
        <v>1971</v>
      </c>
      <c r="F630" s="15" t="s">
        <v>1972</v>
      </c>
      <c r="G630" s="15" t="s">
        <v>546</v>
      </c>
      <c r="H630" s="15" t="s">
        <v>1973</v>
      </c>
      <c r="I630" s="18">
        <v>1.0</v>
      </c>
      <c r="J630" s="18">
        <v>1.0</v>
      </c>
      <c r="K630" s="15" t="s">
        <v>80</v>
      </c>
      <c r="L630" s="15" t="s">
        <v>1974</v>
      </c>
      <c r="M630" s="15" t="s">
        <v>1975</v>
      </c>
      <c r="N630" s="15" t="s">
        <v>22</v>
      </c>
      <c r="O630" s="20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5" t="s">
        <v>14</v>
      </c>
      <c r="B631" s="15" t="s">
        <v>1969</v>
      </c>
      <c r="C631" s="33" t="s">
        <v>3592</v>
      </c>
      <c r="D631" s="15" t="s">
        <v>1970</v>
      </c>
      <c r="E631" s="15" t="s">
        <v>1971</v>
      </c>
      <c r="F631" s="15" t="s">
        <v>1972</v>
      </c>
      <c r="G631" s="15" t="s">
        <v>190</v>
      </c>
      <c r="H631" s="15" t="s">
        <v>49</v>
      </c>
      <c r="I631" s="18">
        <v>2.0</v>
      </c>
      <c r="J631" s="18">
        <v>2.0</v>
      </c>
      <c r="K631" s="15"/>
      <c r="L631" s="15" t="s">
        <v>1974</v>
      </c>
      <c r="M631" s="15" t="s">
        <v>1975</v>
      </c>
      <c r="N631" s="15" t="s">
        <v>22</v>
      </c>
      <c r="O631" s="20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3" t="s">
        <v>14</v>
      </c>
      <c r="B632" s="3" t="s">
        <v>1976</v>
      </c>
      <c r="C632" s="33" t="s">
        <v>3600</v>
      </c>
      <c r="D632" s="3" t="s">
        <v>1977</v>
      </c>
      <c r="E632" s="3" t="s">
        <v>1978</v>
      </c>
      <c r="F632" s="3" t="s">
        <v>1979</v>
      </c>
      <c r="G632" s="3" t="s">
        <v>549</v>
      </c>
      <c r="H632" s="3" t="s">
        <v>549</v>
      </c>
      <c r="I632" s="4">
        <v>1.0</v>
      </c>
      <c r="J632" s="4">
        <v>1.0</v>
      </c>
      <c r="K632" s="3"/>
      <c r="L632" s="3" t="s">
        <v>1980</v>
      </c>
      <c r="M632" s="3" t="s">
        <v>1981</v>
      </c>
      <c r="N632" s="3" t="s">
        <v>22</v>
      </c>
      <c r="O632" s="5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" t="s">
        <v>14</v>
      </c>
      <c r="B633" s="3" t="s">
        <v>1976</v>
      </c>
      <c r="C633" s="33" t="s">
        <v>3600</v>
      </c>
      <c r="D633" s="3" t="s">
        <v>1977</v>
      </c>
      <c r="E633" s="3" t="s">
        <v>1978</v>
      </c>
      <c r="F633" s="3" t="s">
        <v>1979</v>
      </c>
      <c r="G633" s="3" t="s">
        <v>1982</v>
      </c>
      <c r="H633" s="3" t="s">
        <v>1983</v>
      </c>
      <c r="I633" s="4">
        <v>2.0</v>
      </c>
      <c r="J633" s="4">
        <v>2.0</v>
      </c>
      <c r="K633" s="3"/>
      <c r="L633" s="3" t="s">
        <v>1980</v>
      </c>
      <c r="M633" s="3" t="s">
        <v>1981</v>
      </c>
      <c r="N633" s="3" t="s">
        <v>22</v>
      </c>
      <c r="O633" s="5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" t="s">
        <v>14</v>
      </c>
      <c r="B634" s="3" t="s">
        <v>1984</v>
      </c>
      <c r="C634" s="33" t="s">
        <v>3600</v>
      </c>
      <c r="D634" s="3" t="s">
        <v>1985</v>
      </c>
      <c r="E634" s="3" t="s">
        <v>1986</v>
      </c>
      <c r="F634" s="3" t="s">
        <v>1987</v>
      </c>
      <c r="G634" s="3" t="s">
        <v>976</v>
      </c>
      <c r="H634" s="3" t="s">
        <v>977</v>
      </c>
      <c r="I634" s="4">
        <v>1.0</v>
      </c>
      <c r="J634" s="4">
        <v>1.0</v>
      </c>
      <c r="K634" s="3"/>
      <c r="L634" s="3" t="s">
        <v>1988</v>
      </c>
      <c r="M634" s="3" t="s">
        <v>1989</v>
      </c>
      <c r="N634" s="3" t="s">
        <v>22</v>
      </c>
      <c r="O634" s="5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" t="s">
        <v>14</v>
      </c>
      <c r="B635" s="3" t="s">
        <v>1984</v>
      </c>
      <c r="C635" s="33" t="s">
        <v>3600</v>
      </c>
      <c r="D635" s="3" t="s">
        <v>1985</v>
      </c>
      <c r="E635" s="3" t="s">
        <v>1986</v>
      </c>
      <c r="F635" s="3" t="s">
        <v>1987</v>
      </c>
      <c r="G635" s="3" t="s">
        <v>402</v>
      </c>
      <c r="H635" s="3" t="s">
        <v>402</v>
      </c>
      <c r="I635" s="4">
        <v>2.0</v>
      </c>
      <c r="J635" s="4">
        <v>2.0</v>
      </c>
      <c r="K635" s="3"/>
      <c r="L635" s="3" t="s">
        <v>1988</v>
      </c>
      <c r="M635" s="3" t="s">
        <v>1989</v>
      </c>
      <c r="N635" s="3" t="s">
        <v>22</v>
      </c>
      <c r="O635" s="5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" t="s">
        <v>14</v>
      </c>
      <c r="B636" s="3" t="s">
        <v>1990</v>
      </c>
      <c r="C636" s="36" t="s">
        <v>3595</v>
      </c>
      <c r="D636" s="3" t="s">
        <v>1991</v>
      </c>
      <c r="E636" s="3" t="s">
        <v>1992</v>
      </c>
      <c r="F636" s="3" t="s">
        <v>1993</v>
      </c>
      <c r="G636" s="3" t="s">
        <v>1994</v>
      </c>
      <c r="H636" s="3" t="s">
        <v>437</v>
      </c>
      <c r="I636" s="4">
        <v>1.0</v>
      </c>
      <c r="J636" s="4">
        <v>1.0</v>
      </c>
      <c r="K636" s="3" t="s">
        <v>80</v>
      </c>
      <c r="L636" s="3" t="s">
        <v>1995</v>
      </c>
      <c r="M636" s="3" t="s">
        <v>1996</v>
      </c>
      <c r="N636" s="3" t="s">
        <v>22</v>
      </c>
      <c r="O636" s="5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" t="s">
        <v>14</v>
      </c>
      <c r="B637" s="3" t="s">
        <v>1990</v>
      </c>
      <c r="C637" s="36" t="s">
        <v>3595</v>
      </c>
      <c r="D637" s="3" t="s">
        <v>1991</v>
      </c>
      <c r="E637" s="3" t="s">
        <v>1992</v>
      </c>
      <c r="F637" s="3" t="s">
        <v>1993</v>
      </c>
      <c r="G637" s="3" t="s">
        <v>36</v>
      </c>
      <c r="H637" s="3" t="s">
        <v>222</v>
      </c>
      <c r="I637" s="4" t="s">
        <v>36</v>
      </c>
      <c r="J637" s="4">
        <v>2.0</v>
      </c>
      <c r="K637" s="3"/>
      <c r="L637" s="3" t="s">
        <v>1995</v>
      </c>
      <c r="M637" s="3" t="s">
        <v>1996</v>
      </c>
      <c r="N637" s="3" t="s">
        <v>22</v>
      </c>
      <c r="O637" s="5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" t="s">
        <v>14</v>
      </c>
      <c r="B638" s="3" t="s">
        <v>1990</v>
      </c>
      <c r="C638" s="36" t="s">
        <v>3595</v>
      </c>
      <c r="D638" s="3" t="s">
        <v>1991</v>
      </c>
      <c r="E638" s="3" t="s">
        <v>1992</v>
      </c>
      <c r="F638" s="3" t="s">
        <v>1993</v>
      </c>
      <c r="G638" s="3" t="s">
        <v>36</v>
      </c>
      <c r="H638" s="3" t="s">
        <v>49</v>
      </c>
      <c r="I638" s="4" t="s">
        <v>36</v>
      </c>
      <c r="J638" s="4">
        <v>3.0</v>
      </c>
      <c r="K638" s="3"/>
      <c r="L638" s="3" t="s">
        <v>1995</v>
      </c>
      <c r="M638" s="3" t="s">
        <v>1996</v>
      </c>
      <c r="N638" s="3" t="s">
        <v>22</v>
      </c>
      <c r="O638" s="5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" t="s">
        <v>14</v>
      </c>
      <c r="B639" s="3" t="s">
        <v>1990</v>
      </c>
      <c r="C639" s="36" t="s">
        <v>3595</v>
      </c>
      <c r="D639" s="3" t="s">
        <v>1991</v>
      </c>
      <c r="E639" s="3" t="s">
        <v>1992</v>
      </c>
      <c r="F639" s="3" t="s">
        <v>1993</v>
      </c>
      <c r="G639" s="3" t="s">
        <v>181</v>
      </c>
      <c r="H639" s="3" t="s">
        <v>428</v>
      </c>
      <c r="I639" s="4">
        <v>2.0</v>
      </c>
      <c r="J639" s="4">
        <v>4.0</v>
      </c>
      <c r="K639" s="3"/>
      <c r="L639" s="3" t="s">
        <v>1995</v>
      </c>
      <c r="M639" s="3" t="s">
        <v>1996</v>
      </c>
      <c r="N639" s="3" t="s">
        <v>22</v>
      </c>
      <c r="O639" s="5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" t="s">
        <v>14</v>
      </c>
      <c r="B640" s="3" t="s">
        <v>1997</v>
      </c>
      <c r="C640" s="36" t="s">
        <v>3595</v>
      </c>
      <c r="D640" s="3" t="s">
        <v>1998</v>
      </c>
      <c r="E640" s="3" t="s">
        <v>1999</v>
      </c>
      <c r="F640" s="3" t="s">
        <v>2000</v>
      </c>
      <c r="G640" s="3" t="s">
        <v>1994</v>
      </c>
      <c r="H640" s="3" t="s">
        <v>1599</v>
      </c>
      <c r="I640" s="4">
        <v>1.0</v>
      </c>
      <c r="J640" s="4">
        <v>1.0</v>
      </c>
      <c r="K640" s="3"/>
      <c r="L640" s="3" t="s">
        <v>2001</v>
      </c>
      <c r="M640" s="3" t="s">
        <v>2002</v>
      </c>
      <c r="N640" s="3" t="s">
        <v>22</v>
      </c>
      <c r="O640" s="5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" t="s">
        <v>14</v>
      </c>
      <c r="B641" s="3" t="s">
        <v>1997</v>
      </c>
      <c r="C641" s="36" t="s">
        <v>3595</v>
      </c>
      <c r="D641" s="3" t="s">
        <v>1998</v>
      </c>
      <c r="E641" s="3" t="s">
        <v>1999</v>
      </c>
      <c r="F641" s="3" t="s">
        <v>2000</v>
      </c>
      <c r="G641" s="3" t="s">
        <v>2003</v>
      </c>
      <c r="H641" s="3" t="s">
        <v>2004</v>
      </c>
      <c r="I641" s="4">
        <v>2.0</v>
      </c>
      <c r="J641" s="4">
        <v>2.0</v>
      </c>
      <c r="K641" s="3"/>
      <c r="L641" s="3" t="s">
        <v>2001</v>
      </c>
      <c r="M641" s="3" t="s">
        <v>2002</v>
      </c>
      <c r="N641" s="3" t="s">
        <v>22</v>
      </c>
      <c r="O641" s="5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" t="s">
        <v>14</v>
      </c>
      <c r="B642" s="3" t="s">
        <v>2005</v>
      </c>
      <c r="C642" s="33" t="s">
        <v>3600</v>
      </c>
      <c r="D642" s="3" t="s">
        <v>2005</v>
      </c>
      <c r="E642" s="3" t="s">
        <v>2006</v>
      </c>
      <c r="F642" s="3" t="s">
        <v>2006</v>
      </c>
      <c r="G642" s="3" t="s">
        <v>1032</v>
      </c>
      <c r="H642" s="3" t="s">
        <v>1032</v>
      </c>
      <c r="I642" s="4">
        <v>1.0</v>
      </c>
      <c r="J642" s="4">
        <v>1.0</v>
      </c>
      <c r="K642" s="3"/>
      <c r="L642" s="3" t="s">
        <v>2007</v>
      </c>
      <c r="M642" s="3" t="s">
        <v>2008</v>
      </c>
      <c r="N642" s="3" t="s">
        <v>22</v>
      </c>
      <c r="O642" s="5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" t="s">
        <v>14</v>
      </c>
      <c r="B643" s="3" t="s">
        <v>2005</v>
      </c>
      <c r="C643" s="33" t="s">
        <v>3600</v>
      </c>
      <c r="D643" s="3" t="s">
        <v>2005</v>
      </c>
      <c r="E643" s="3" t="s">
        <v>2006</v>
      </c>
      <c r="F643" s="3" t="s">
        <v>2006</v>
      </c>
      <c r="G643" s="3" t="s">
        <v>1426</v>
      </c>
      <c r="H643" s="3" t="s">
        <v>1426</v>
      </c>
      <c r="I643" s="4">
        <v>2.0</v>
      </c>
      <c r="J643" s="4">
        <v>2.0</v>
      </c>
      <c r="K643" s="3"/>
      <c r="L643" s="3" t="s">
        <v>2007</v>
      </c>
      <c r="M643" s="3" t="s">
        <v>2008</v>
      </c>
      <c r="N643" s="3" t="s">
        <v>22</v>
      </c>
      <c r="O643" s="5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" t="s">
        <v>14</v>
      </c>
      <c r="B644" s="3" t="s">
        <v>2009</v>
      </c>
      <c r="C644" s="36" t="s">
        <v>3597</v>
      </c>
      <c r="D644" s="3" t="s">
        <v>2010</v>
      </c>
      <c r="E644" s="3" t="s">
        <v>2011</v>
      </c>
      <c r="F644" s="3" t="s">
        <v>2012</v>
      </c>
      <c r="G644" s="3" t="s">
        <v>2013</v>
      </c>
      <c r="H644" s="3" t="s">
        <v>1703</v>
      </c>
      <c r="I644" s="4">
        <v>1.0</v>
      </c>
      <c r="J644" s="4">
        <v>1.0</v>
      </c>
      <c r="K644" s="3" t="s">
        <v>72</v>
      </c>
      <c r="L644" s="3" t="s">
        <v>2014</v>
      </c>
      <c r="M644" s="3" t="s">
        <v>2015</v>
      </c>
      <c r="N644" s="3" t="s">
        <v>22</v>
      </c>
      <c r="O644" s="5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" t="s">
        <v>14</v>
      </c>
      <c r="B645" s="3" t="s">
        <v>2009</v>
      </c>
      <c r="C645" s="36" t="s">
        <v>3597</v>
      </c>
      <c r="D645" s="3" t="s">
        <v>2010</v>
      </c>
      <c r="E645" s="3" t="s">
        <v>2011</v>
      </c>
      <c r="F645" s="3" t="s">
        <v>2012</v>
      </c>
      <c r="G645" s="3" t="s">
        <v>1060</v>
      </c>
      <c r="H645" s="3" t="s">
        <v>1060</v>
      </c>
      <c r="I645" s="4">
        <v>2.0</v>
      </c>
      <c r="J645" s="4">
        <v>2.0</v>
      </c>
      <c r="K645" s="3"/>
      <c r="L645" s="3" t="s">
        <v>2014</v>
      </c>
      <c r="M645" s="3" t="s">
        <v>2015</v>
      </c>
      <c r="N645" s="3" t="s">
        <v>22</v>
      </c>
      <c r="O645" s="5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" t="s">
        <v>14</v>
      </c>
      <c r="B646" s="3" t="s">
        <v>2009</v>
      </c>
      <c r="C646" s="36" t="s">
        <v>3597</v>
      </c>
      <c r="D646" s="3" t="s">
        <v>2010</v>
      </c>
      <c r="E646" s="3" t="s">
        <v>2011</v>
      </c>
      <c r="F646" s="3" t="s">
        <v>2012</v>
      </c>
      <c r="G646" s="3" t="s">
        <v>1426</v>
      </c>
      <c r="H646" s="3" t="s">
        <v>1426</v>
      </c>
      <c r="I646" s="4">
        <v>3.0</v>
      </c>
      <c r="J646" s="4">
        <v>3.0</v>
      </c>
      <c r="K646" s="3"/>
      <c r="L646" s="3" t="s">
        <v>2014</v>
      </c>
      <c r="M646" s="3" t="s">
        <v>2015</v>
      </c>
      <c r="N646" s="3" t="s">
        <v>22</v>
      </c>
      <c r="O646" s="5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" t="s">
        <v>14</v>
      </c>
      <c r="B647" s="3" t="s">
        <v>2016</v>
      </c>
      <c r="C647" s="36" t="s">
        <v>3620</v>
      </c>
      <c r="D647" s="3" t="s">
        <v>2017</v>
      </c>
      <c r="E647" s="3" t="s">
        <v>2018</v>
      </c>
      <c r="F647" s="3" t="s">
        <v>2019</v>
      </c>
      <c r="G647" s="3" t="s">
        <v>848</v>
      </c>
      <c r="H647" s="3" t="s">
        <v>987</v>
      </c>
      <c r="I647" s="4">
        <v>1.0</v>
      </c>
      <c r="J647" s="4">
        <v>1.0</v>
      </c>
      <c r="K647" s="3" t="s">
        <v>80</v>
      </c>
      <c r="L647" s="3" t="s">
        <v>2020</v>
      </c>
      <c r="M647" s="3" t="s">
        <v>2021</v>
      </c>
      <c r="N647" s="3" t="s">
        <v>22</v>
      </c>
      <c r="O647" s="5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" t="s">
        <v>14</v>
      </c>
      <c r="B648" s="3" t="s">
        <v>2016</v>
      </c>
      <c r="C648" s="36" t="s">
        <v>3620</v>
      </c>
      <c r="D648" s="3" t="s">
        <v>2017</v>
      </c>
      <c r="E648" s="3" t="s">
        <v>2018</v>
      </c>
      <c r="F648" s="3" t="s">
        <v>2019</v>
      </c>
      <c r="G648" s="3" t="s">
        <v>1491</v>
      </c>
      <c r="H648" s="3" t="s">
        <v>575</v>
      </c>
      <c r="I648" s="4">
        <v>2.0</v>
      </c>
      <c r="J648" s="4">
        <v>2.0</v>
      </c>
      <c r="K648" s="3"/>
      <c r="L648" s="3" t="s">
        <v>2020</v>
      </c>
      <c r="M648" s="3" t="s">
        <v>2021</v>
      </c>
      <c r="N648" s="3" t="s">
        <v>22</v>
      </c>
      <c r="O648" s="5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" t="s">
        <v>14</v>
      </c>
      <c r="B649" s="3" t="s">
        <v>2016</v>
      </c>
      <c r="C649" s="36" t="s">
        <v>3620</v>
      </c>
      <c r="D649" s="3" t="s">
        <v>2017</v>
      </c>
      <c r="E649" s="3" t="s">
        <v>2018</v>
      </c>
      <c r="F649" s="3" t="s">
        <v>2019</v>
      </c>
      <c r="G649" s="3" t="s">
        <v>2022</v>
      </c>
      <c r="H649" s="3" t="s">
        <v>2023</v>
      </c>
      <c r="I649" s="4">
        <v>3.0</v>
      </c>
      <c r="J649" s="4">
        <v>3.0</v>
      </c>
      <c r="K649" s="3"/>
      <c r="L649" s="3" t="s">
        <v>2020</v>
      </c>
      <c r="M649" s="3" t="s">
        <v>2021</v>
      </c>
      <c r="N649" s="3" t="s">
        <v>22</v>
      </c>
      <c r="O649" s="5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" t="s">
        <v>14</v>
      </c>
      <c r="B650" s="3" t="s">
        <v>2016</v>
      </c>
      <c r="C650" s="36" t="s">
        <v>3620</v>
      </c>
      <c r="D650" s="3" t="s">
        <v>2017</v>
      </c>
      <c r="E650" s="3" t="s">
        <v>2018</v>
      </c>
      <c r="F650" s="3" t="s">
        <v>2019</v>
      </c>
      <c r="G650" s="3" t="s">
        <v>36</v>
      </c>
      <c r="H650" s="3" t="s">
        <v>2024</v>
      </c>
      <c r="I650" s="4" t="s">
        <v>36</v>
      </c>
      <c r="J650" s="4">
        <v>4.0</v>
      </c>
      <c r="K650" s="3"/>
      <c r="L650" s="3" t="s">
        <v>2020</v>
      </c>
      <c r="M650" s="3" t="s">
        <v>2021</v>
      </c>
      <c r="N650" s="3" t="s">
        <v>22</v>
      </c>
      <c r="O650" s="5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" t="s">
        <v>14</v>
      </c>
      <c r="B651" s="3" t="s">
        <v>2016</v>
      </c>
      <c r="C651" s="36" t="s">
        <v>3620</v>
      </c>
      <c r="D651" s="3" t="s">
        <v>2017</v>
      </c>
      <c r="E651" s="3" t="s">
        <v>2018</v>
      </c>
      <c r="F651" s="3" t="s">
        <v>2019</v>
      </c>
      <c r="G651" s="17" t="s">
        <v>36</v>
      </c>
      <c r="H651" s="3" t="s">
        <v>128</v>
      </c>
      <c r="I651" s="4" t="s">
        <v>36</v>
      </c>
      <c r="J651" s="4">
        <v>5.0</v>
      </c>
      <c r="K651" s="3"/>
      <c r="L651" s="3" t="s">
        <v>2020</v>
      </c>
      <c r="M651" s="3" t="s">
        <v>2021</v>
      </c>
      <c r="N651" s="3" t="s">
        <v>22</v>
      </c>
      <c r="O651" s="5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" t="s">
        <v>14</v>
      </c>
      <c r="B652" s="3" t="s">
        <v>984</v>
      </c>
      <c r="C652" s="33" t="s">
        <v>3610</v>
      </c>
      <c r="D652" s="3" t="s">
        <v>2025</v>
      </c>
      <c r="E652" s="3" t="s">
        <v>984</v>
      </c>
      <c r="F652" s="3" t="s">
        <v>2026</v>
      </c>
      <c r="G652" s="3" t="s">
        <v>984</v>
      </c>
      <c r="H652" s="3" t="s">
        <v>984</v>
      </c>
      <c r="I652" s="4">
        <v>1.0</v>
      </c>
      <c r="J652" s="4">
        <v>1.0</v>
      </c>
      <c r="K652" s="3" t="s">
        <v>80</v>
      </c>
      <c r="L652" s="3" t="s">
        <v>2027</v>
      </c>
      <c r="M652" s="3" t="s">
        <v>2028</v>
      </c>
      <c r="N652" s="3" t="s">
        <v>22</v>
      </c>
      <c r="O652" s="5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" t="s">
        <v>14</v>
      </c>
      <c r="B653" s="3" t="s">
        <v>984</v>
      </c>
      <c r="C653" s="33" t="s">
        <v>3610</v>
      </c>
      <c r="D653" s="3" t="s">
        <v>2025</v>
      </c>
      <c r="E653" s="3" t="s">
        <v>984</v>
      </c>
      <c r="F653" s="3" t="s">
        <v>2026</v>
      </c>
      <c r="G653" s="3" t="s">
        <v>36</v>
      </c>
      <c r="H653" s="3" t="s">
        <v>1137</v>
      </c>
      <c r="I653" s="4" t="s">
        <v>36</v>
      </c>
      <c r="J653" s="4">
        <v>2.0</v>
      </c>
      <c r="K653" s="3"/>
      <c r="L653" s="3" t="s">
        <v>2027</v>
      </c>
      <c r="M653" s="3" t="s">
        <v>2028</v>
      </c>
      <c r="N653" s="3" t="s">
        <v>22</v>
      </c>
      <c r="O653" s="5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" t="s">
        <v>14</v>
      </c>
      <c r="B654" s="3" t="s">
        <v>2029</v>
      </c>
      <c r="C654" s="36" t="s">
        <v>3621</v>
      </c>
      <c r="D654" s="3" t="s">
        <v>2030</v>
      </c>
      <c r="E654" s="3" t="s">
        <v>2031</v>
      </c>
      <c r="F654" s="3" t="s">
        <v>2032</v>
      </c>
      <c r="G654" s="3" t="s">
        <v>128</v>
      </c>
      <c r="H654" s="17" t="s">
        <v>36</v>
      </c>
      <c r="I654" s="4">
        <v>1.0</v>
      </c>
      <c r="J654" s="17" t="s">
        <v>36</v>
      </c>
      <c r="K654" s="3"/>
      <c r="L654" s="3" t="s">
        <v>2033</v>
      </c>
      <c r="M654" s="3" t="s">
        <v>1514</v>
      </c>
      <c r="N654" s="3" t="s">
        <v>22</v>
      </c>
      <c r="O654" s="5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" t="s">
        <v>14</v>
      </c>
      <c r="B655" s="3" t="s">
        <v>2029</v>
      </c>
      <c r="C655" s="36" t="s">
        <v>3621</v>
      </c>
      <c r="D655" s="3" t="s">
        <v>2030</v>
      </c>
      <c r="E655" s="3" t="s">
        <v>2031</v>
      </c>
      <c r="F655" s="3" t="s">
        <v>2032</v>
      </c>
      <c r="G655" s="3" t="s">
        <v>2034</v>
      </c>
      <c r="H655" s="3" t="s">
        <v>899</v>
      </c>
      <c r="I655" s="4">
        <v>2.0</v>
      </c>
      <c r="J655" s="4">
        <v>1.0</v>
      </c>
      <c r="K655" s="3"/>
      <c r="L655" s="3" t="s">
        <v>2033</v>
      </c>
      <c r="M655" s="3" t="s">
        <v>1514</v>
      </c>
      <c r="N655" s="3" t="s">
        <v>22</v>
      </c>
      <c r="O655" s="5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" t="s">
        <v>14</v>
      </c>
      <c r="B656" s="3" t="s">
        <v>2029</v>
      </c>
      <c r="C656" s="36" t="s">
        <v>3621</v>
      </c>
      <c r="D656" s="3" t="s">
        <v>2030</v>
      </c>
      <c r="E656" s="3" t="s">
        <v>2031</v>
      </c>
      <c r="F656" s="3" t="s">
        <v>2032</v>
      </c>
      <c r="G656" s="3" t="s">
        <v>36</v>
      </c>
      <c r="H656" s="3" t="s">
        <v>591</v>
      </c>
      <c r="I656" s="4" t="s">
        <v>36</v>
      </c>
      <c r="J656" s="4">
        <v>2.0</v>
      </c>
      <c r="K656" s="3"/>
      <c r="L656" s="3" t="s">
        <v>2033</v>
      </c>
      <c r="M656" s="3" t="s">
        <v>1514</v>
      </c>
      <c r="N656" s="3" t="s">
        <v>22</v>
      </c>
      <c r="O656" s="5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" t="s">
        <v>14</v>
      </c>
      <c r="B657" s="3" t="s">
        <v>2035</v>
      </c>
      <c r="C657" s="33" t="s">
        <v>3592</v>
      </c>
      <c r="D657" s="3" t="s">
        <v>2036</v>
      </c>
      <c r="E657" s="3" t="s">
        <v>2037</v>
      </c>
      <c r="F657" s="3" t="s">
        <v>2038</v>
      </c>
      <c r="G657" s="3" t="s">
        <v>219</v>
      </c>
      <c r="H657" s="3" t="s">
        <v>219</v>
      </c>
      <c r="I657" s="4">
        <v>1.0</v>
      </c>
      <c r="J657" s="4">
        <v>1.0</v>
      </c>
      <c r="K657" s="3"/>
      <c r="L657" s="3" t="s">
        <v>2039</v>
      </c>
      <c r="M657" s="3" t="s">
        <v>2040</v>
      </c>
      <c r="N657" s="3" t="s">
        <v>22</v>
      </c>
      <c r="O657" s="5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" t="s">
        <v>14</v>
      </c>
      <c r="B658" s="3" t="s">
        <v>2035</v>
      </c>
      <c r="C658" s="33" t="s">
        <v>3592</v>
      </c>
      <c r="D658" s="3" t="s">
        <v>2036</v>
      </c>
      <c r="E658" s="3" t="s">
        <v>2037</v>
      </c>
      <c r="F658" s="3" t="s">
        <v>2038</v>
      </c>
      <c r="G658" s="3" t="s">
        <v>1982</v>
      </c>
      <c r="H658" s="3" t="s">
        <v>1983</v>
      </c>
      <c r="I658" s="4">
        <v>2.0</v>
      </c>
      <c r="J658" s="4">
        <v>2.0</v>
      </c>
      <c r="K658" s="3"/>
      <c r="L658" s="3" t="s">
        <v>2039</v>
      </c>
      <c r="M658" s="3" t="s">
        <v>2040</v>
      </c>
      <c r="N658" s="3" t="s">
        <v>22</v>
      </c>
      <c r="O658" s="5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" t="s">
        <v>14</v>
      </c>
      <c r="B659" s="3" t="s">
        <v>2041</v>
      </c>
      <c r="C659" s="33" t="s">
        <v>3600</v>
      </c>
      <c r="D659" s="3" t="s">
        <v>2042</v>
      </c>
      <c r="E659" s="3" t="s">
        <v>2043</v>
      </c>
      <c r="F659" s="3" t="s">
        <v>2044</v>
      </c>
      <c r="G659" s="3" t="s">
        <v>976</v>
      </c>
      <c r="H659" s="3" t="s">
        <v>977</v>
      </c>
      <c r="I659" s="4">
        <v>1.0</v>
      </c>
      <c r="J659" s="4">
        <v>1.0</v>
      </c>
      <c r="K659" s="3"/>
      <c r="L659" s="3" t="s">
        <v>2045</v>
      </c>
      <c r="M659" s="3" t="s">
        <v>2046</v>
      </c>
      <c r="N659" s="3" t="s">
        <v>22</v>
      </c>
      <c r="O659" s="5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" t="s">
        <v>14</v>
      </c>
      <c r="B660" s="3" t="s">
        <v>2041</v>
      </c>
      <c r="C660" s="33" t="s">
        <v>3600</v>
      </c>
      <c r="D660" s="3" t="s">
        <v>2042</v>
      </c>
      <c r="E660" s="3" t="s">
        <v>2043</v>
      </c>
      <c r="F660" s="3" t="s">
        <v>2044</v>
      </c>
      <c r="G660" s="3" t="s">
        <v>238</v>
      </c>
      <c r="H660" s="3" t="s">
        <v>238</v>
      </c>
      <c r="I660" s="4">
        <v>2.0</v>
      </c>
      <c r="J660" s="4">
        <v>2.0</v>
      </c>
      <c r="K660" s="3"/>
      <c r="L660" s="3" t="s">
        <v>2045</v>
      </c>
      <c r="M660" s="3" t="s">
        <v>2046</v>
      </c>
      <c r="N660" s="3" t="s">
        <v>22</v>
      </c>
      <c r="O660" s="5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" t="s">
        <v>14</v>
      </c>
      <c r="B661" s="3" t="s">
        <v>2047</v>
      </c>
      <c r="C661" s="33" t="s">
        <v>3600</v>
      </c>
      <c r="D661" s="3" t="s">
        <v>2048</v>
      </c>
      <c r="E661" s="3" t="s">
        <v>2049</v>
      </c>
      <c r="F661" s="3" t="s">
        <v>2050</v>
      </c>
      <c r="G661" s="3" t="s">
        <v>2051</v>
      </c>
      <c r="H661" s="3" t="s">
        <v>2052</v>
      </c>
      <c r="I661" s="4">
        <v>1.0</v>
      </c>
      <c r="J661" s="4">
        <v>1.0</v>
      </c>
      <c r="K661" s="3"/>
      <c r="L661" s="3" t="s">
        <v>2053</v>
      </c>
      <c r="M661" s="3" t="s">
        <v>2054</v>
      </c>
      <c r="N661" s="3" t="s">
        <v>22</v>
      </c>
      <c r="O661" s="5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" t="s">
        <v>14</v>
      </c>
      <c r="B662" s="3" t="s">
        <v>2047</v>
      </c>
      <c r="C662" s="33" t="s">
        <v>3600</v>
      </c>
      <c r="D662" s="3" t="s">
        <v>2048</v>
      </c>
      <c r="E662" s="3" t="s">
        <v>2049</v>
      </c>
      <c r="F662" s="3" t="s">
        <v>2050</v>
      </c>
      <c r="G662" s="3" t="s">
        <v>143</v>
      </c>
      <c r="H662" s="3" t="s">
        <v>143</v>
      </c>
      <c r="I662" s="4">
        <v>2.0</v>
      </c>
      <c r="J662" s="4">
        <v>2.0</v>
      </c>
      <c r="K662" s="3"/>
      <c r="L662" s="3" t="s">
        <v>2053</v>
      </c>
      <c r="M662" s="3" t="s">
        <v>2054</v>
      </c>
      <c r="N662" s="3" t="s">
        <v>22</v>
      </c>
      <c r="O662" s="5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5" t="s">
        <v>14</v>
      </c>
      <c r="B663" s="15" t="s">
        <v>2055</v>
      </c>
      <c r="C663" s="36" t="s">
        <v>3608</v>
      </c>
      <c r="D663" s="15" t="s">
        <v>2056</v>
      </c>
      <c r="E663" s="15" t="s">
        <v>2057</v>
      </c>
      <c r="F663" s="15" t="s">
        <v>2058</v>
      </c>
      <c r="G663" s="15" t="s">
        <v>30</v>
      </c>
      <c r="H663" s="15" t="s">
        <v>49</v>
      </c>
      <c r="I663" s="18">
        <v>1.0</v>
      </c>
      <c r="J663" s="18">
        <v>1.0</v>
      </c>
      <c r="K663" s="15" t="s">
        <v>80</v>
      </c>
      <c r="L663" s="15" t="s">
        <v>2059</v>
      </c>
      <c r="M663" s="15" t="s">
        <v>2060</v>
      </c>
      <c r="N663" s="15" t="s">
        <v>22</v>
      </c>
      <c r="O663" s="20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5" t="s">
        <v>14</v>
      </c>
      <c r="B664" s="15" t="s">
        <v>2055</v>
      </c>
      <c r="C664" s="36" t="s">
        <v>3608</v>
      </c>
      <c r="D664" s="15" t="s">
        <v>2056</v>
      </c>
      <c r="E664" s="15" t="s">
        <v>2057</v>
      </c>
      <c r="F664" s="15" t="s">
        <v>2058</v>
      </c>
      <c r="G664" s="15" t="s">
        <v>481</v>
      </c>
      <c r="H664" s="15" t="s">
        <v>2061</v>
      </c>
      <c r="I664" s="18">
        <v>2.0</v>
      </c>
      <c r="J664" s="18">
        <v>2.0</v>
      </c>
      <c r="K664" s="15"/>
      <c r="L664" s="15" t="s">
        <v>2059</v>
      </c>
      <c r="M664" s="15" t="s">
        <v>2060</v>
      </c>
      <c r="N664" s="15" t="s">
        <v>22</v>
      </c>
      <c r="O664" s="20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5" t="s">
        <v>14</v>
      </c>
      <c r="B665" s="15" t="s">
        <v>2055</v>
      </c>
      <c r="C665" s="36" t="s">
        <v>3608</v>
      </c>
      <c r="D665" s="15" t="s">
        <v>2056</v>
      </c>
      <c r="E665" s="15" t="s">
        <v>2057</v>
      </c>
      <c r="F665" s="15" t="s">
        <v>2058</v>
      </c>
      <c r="G665" s="15" t="s">
        <v>36</v>
      </c>
      <c r="H665" s="15" t="s">
        <v>49</v>
      </c>
      <c r="I665" s="18" t="s">
        <v>36</v>
      </c>
      <c r="J665" s="18">
        <v>3.0</v>
      </c>
      <c r="K665" s="15"/>
      <c r="L665" s="15" t="s">
        <v>2059</v>
      </c>
      <c r="M665" s="15" t="s">
        <v>2060</v>
      </c>
      <c r="N665" s="15" t="s">
        <v>22</v>
      </c>
      <c r="O665" s="20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3" t="s">
        <v>14</v>
      </c>
      <c r="B666" s="3" t="s">
        <v>2062</v>
      </c>
      <c r="C666" s="33" t="s">
        <v>3613</v>
      </c>
      <c r="D666" s="6" t="s">
        <v>2063</v>
      </c>
      <c r="E666" s="3" t="s">
        <v>2064</v>
      </c>
      <c r="F666" s="3" t="s">
        <v>2065</v>
      </c>
      <c r="G666" s="3" t="s">
        <v>19</v>
      </c>
      <c r="H666" s="3" t="s">
        <v>996</v>
      </c>
      <c r="I666" s="4">
        <v>1.0</v>
      </c>
      <c r="J666" s="4">
        <v>1.0</v>
      </c>
      <c r="K666" s="3"/>
      <c r="L666" s="3" t="s">
        <v>2066</v>
      </c>
      <c r="M666" s="3" t="s">
        <v>2067</v>
      </c>
      <c r="N666" s="3" t="s">
        <v>22</v>
      </c>
      <c r="O666" s="5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" t="s">
        <v>14</v>
      </c>
      <c r="B667" s="3" t="s">
        <v>2062</v>
      </c>
      <c r="C667" s="33" t="s">
        <v>3613</v>
      </c>
      <c r="D667" s="6" t="s">
        <v>2063</v>
      </c>
      <c r="E667" s="3" t="s">
        <v>2064</v>
      </c>
      <c r="F667" s="3" t="s">
        <v>2065</v>
      </c>
      <c r="G667" s="3" t="s">
        <v>1647</v>
      </c>
      <c r="H667" s="3" t="s">
        <v>425</v>
      </c>
      <c r="I667" s="4">
        <v>2.0</v>
      </c>
      <c r="J667" s="4">
        <v>2.0</v>
      </c>
      <c r="K667" s="3"/>
      <c r="L667" s="3" t="s">
        <v>2066</v>
      </c>
      <c r="M667" s="3" t="s">
        <v>2067</v>
      </c>
      <c r="N667" s="3" t="s">
        <v>22</v>
      </c>
      <c r="O667" s="5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" t="s">
        <v>14</v>
      </c>
      <c r="B668" s="3" t="s">
        <v>2062</v>
      </c>
      <c r="C668" s="33" t="s">
        <v>3613</v>
      </c>
      <c r="D668" s="6" t="s">
        <v>2063</v>
      </c>
      <c r="E668" s="3" t="s">
        <v>2064</v>
      </c>
      <c r="F668" s="3" t="s">
        <v>2065</v>
      </c>
      <c r="G668" s="3" t="s">
        <v>425</v>
      </c>
      <c r="H668" s="3" t="s">
        <v>36</v>
      </c>
      <c r="I668" s="4">
        <v>3.0</v>
      </c>
      <c r="J668" s="4" t="s">
        <v>36</v>
      </c>
      <c r="K668" s="3"/>
      <c r="L668" s="3" t="s">
        <v>2066</v>
      </c>
      <c r="M668" s="3" t="s">
        <v>2067</v>
      </c>
      <c r="N668" s="3" t="s">
        <v>22</v>
      </c>
      <c r="O668" s="5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" t="s">
        <v>14</v>
      </c>
      <c r="B669" s="3" t="s">
        <v>2068</v>
      </c>
      <c r="C669" s="36" t="s">
        <v>3621</v>
      </c>
      <c r="D669" s="3" t="s">
        <v>2069</v>
      </c>
      <c r="E669" s="3" t="s">
        <v>2070</v>
      </c>
      <c r="F669" s="3" t="s">
        <v>2071</v>
      </c>
      <c r="G669" s="3" t="s">
        <v>128</v>
      </c>
      <c r="H669" s="17" t="s">
        <v>36</v>
      </c>
      <c r="I669" s="4">
        <v>1.0</v>
      </c>
      <c r="J669" s="4" t="s">
        <v>36</v>
      </c>
      <c r="K669" s="3"/>
      <c r="L669" s="3" t="s">
        <v>2072</v>
      </c>
      <c r="M669" s="3" t="s">
        <v>2073</v>
      </c>
      <c r="N669" s="3" t="s">
        <v>22</v>
      </c>
      <c r="O669" s="5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" t="s">
        <v>14</v>
      </c>
      <c r="B670" s="3" t="s">
        <v>2068</v>
      </c>
      <c r="C670" s="36" t="s">
        <v>3621</v>
      </c>
      <c r="D670" s="3" t="s">
        <v>2069</v>
      </c>
      <c r="E670" s="3" t="s">
        <v>2070</v>
      </c>
      <c r="F670" s="3" t="s">
        <v>2071</v>
      </c>
      <c r="G670" s="3" t="s">
        <v>2074</v>
      </c>
      <c r="H670" s="3" t="s">
        <v>1248</v>
      </c>
      <c r="I670" s="4">
        <v>2.0</v>
      </c>
      <c r="J670" s="4">
        <v>1.0</v>
      </c>
      <c r="K670" s="3"/>
      <c r="L670" s="3"/>
      <c r="M670" s="3"/>
      <c r="N670" s="3"/>
      <c r="O670" s="5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" t="s">
        <v>14</v>
      </c>
      <c r="B671" s="3" t="s">
        <v>2068</v>
      </c>
      <c r="C671" s="36" t="s">
        <v>3621</v>
      </c>
      <c r="D671" s="3" t="s">
        <v>2069</v>
      </c>
      <c r="E671" s="3" t="s">
        <v>2070</v>
      </c>
      <c r="F671" s="3" t="s">
        <v>2071</v>
      </c>
      <c r="G671" s="17" t="s">
        <v>36</v>
      </c>
      <c r="H671" s="3" t="s">
        <v>591</v>
      </c>
      <c r="I671" s="4" t="s">
        <v>36</v>
      </c>
      <c r="J671" s="4">
        <v>2.0</v>
      </c>
      <c r="K671" s="3"/>
      <c r="L671" s="3" t="s">
        <v>2072</v>
      </c>
      <c r="M671" s="3" t="s">
        <v>2073</v>
      </c>
      <c r="N671" s="3" t="s">
        <v>22</v>
      </c>
      <c r="O671" s="5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5" t="s">
        <v>14</v>
      </c>
      <c r="B672" s="15" t="s">
        <v>2075</v>
      </c>
      <c r="C672" s="36" t="s">
        <v>3593</v>
      </c>
      <c r="D672" s="15" t="s">
        <v>2076</v>
      </c>
      <c r="E672" s="15" t="s">
        <v>2077</v>
      </c>
      <c r="F672" s="15" t="s">
        <v>2078</v>
      </c>
      <c r="G672" s="15"/>
      <c r="H672" s="15"/>
      <c r="I672" s="18"/>
      <c r="J672" s="18"/>
      <c r="K672" s="15"/>
      <c r="L672" s="15" t="s">
        <v>2079</v>
      </c>
      <c r="M672" s="15" t="s">
        <v>2080</v>
      </c>
      <c r="N672" s="15" t="s">
        <v>22</v>
      </c>
      <c r="O672" s="15" t="s">
        <v>560</v>
      </c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3" t="s">
        <v>14</v>
      </c>
      <c r="B673" s="3" t="s">
        <v>2081</v>
      </c>
      <c r="C673" s="33" t="s">
        <v>3596</v>
      </c>
      <c r="D673" s="3" t="s">
        <v>2082</v>
      </c>
      <c r="E673" s="3" t="s">
        <v>2081</v>
      </c>
      <c r="F673" s="3" t="s">
        <v>2083</v>
      </c>
      <c r="G673" s="3" t="s">
        <v>2081</v>
      </c>
      <c r="H673" s="3" t="s">
        <v>2084</v>
      </c>
      <c r="I673" s="4">
        <v>1.0</v>
      </c>
      <c r="J673" s="4">
        <v>1.0</v>
      </c>
      <c r="K673" s="3" t="s">
        <v>80</v>
      </c>
      <c r="L673" s="3" t="s">
        <v>2085</v>
      </c>
      <c r="M673" s="3" t="s">
        <v>2086</v>
      </c>
      <c r="N673" s="3" t="s">
        <v>22</v>
      </c>
      <c r="O673" s="5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" t="s">
        <v>14</v>
      </c>
      <c r="B674" s="3" t="s">
        <v>2081</v>
      </c>
      <c r="C674" s="33" t="s">
        <v>3596</v>
      </c>
      <c r="D674" s="3" t="s">
        <v>2082</v>
      </c>
      <c r="E674" s="3" t="s">
        <v>2081</v>
      </c>
      <c r="F674" s="3" t="s">
        <v>2083</v>
      </c>
      <c r="G674" s="3" t="s">
        <v>36</v>
      </c>
      <c r="H674" s="3" t="s">
        <v>128</v>
      </c>
      <c r="I674" s="4" t="s">
        <v>36</v>
      </c>
      <c r="J674" s="4">
        <v>2.0</v>
      </c>
      <c r="K674" s="3"/>
      <c r="L674" s="3" t="s">
        <v>2085</v>
      </c>
      <c r="M674" s="3" t="s">
        <v>2086</v>
      </c>
      <c r="N674" s="3" t="s">
        <v>22</v>
      </c>
      <c r="O674" s="5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5" t="s">
        <v>14</v>
      </c>
      <c r="B675" s="15" t="s">
        <v>2087</v>
      </c>
      <c r="C675" s="36" t="s">
        <v>3611</v>
      </c>
      <c r="D675" s="15" t="s">
        <v>2088</v>
      </c>
      <c r="E675" s="15" t="s">
        <v>2089</v>
      </c>
      <c r="F675" s="15" t="s">
        <v>2090</v>
      </c>
      <c r="G675" s="15"/>
      <c r="H675" s="15"/>
      <c r="I675" s="18"/>
      <c r="J675" s="18"/>
      <c r="K675" s="15"/>
      <c r="L675" s="15" t="s">
        <v>2091</v>
      </c>
      <c r="M675" s="15" t="s">
        <v>1209</v>
      </c>
      <c r="N675" s="15" t="s">
        <v>22</v>
      </c>
      <c r="O675" s="15" t="s">
        <v>560</v>
      </c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5" t="s">
        <v>14</v>
      </c>
      <c r="B676" s="15" t="s">
        <v>2092</v>
      </c>
      <c r="C676" s="33" t="s">
        <v>3622</v>
      </c>
      <c r="D676" s="15" t="s">
        <v>2093</v>
      </c>
      <c r="E676" s="15" t="s">
        <v>2094</v>
      </c>
      <c r="F676" s="15" t="s">
        <v>2095</v>
      </c>
      <c r="G676" s="15" t="s">
        <v>845</v>
      </c>
      <c r="H676" s="15" t="s">
        <v>845</v>
      </c>
      <c r="I676" s="18">
        <v>1.0</v>
      </c>
      <c r="J676" s="18">
        <v>1.0</v>
      </c>
      <c r="K676" s="15" t="s">
        <v>80</v>
      </c>
      <c r="L676" s="15" t="s">
        <v>2096</v>
      </c>
      <c r="M676" s="15" t="s">
        <v>2097</v>
      </c>
      <c r="N676" s="15" t="s">
        <v>22</v>
      </c>
      <c r="O676" s="20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5" t="s">
        <v>14</v>
      </c>
      <c r="B677" s="15" t="s">
        <v>2092</v>
      </c>
      <c r="C677" s="33" t="s">
        <v>3622</v>
      </c>
      <c r="D677" s="15" t="s">
        <v>2093</v>
      </c>
      <c r="E677" s="15" t="s">
        <v>2092</v>
      </c>
      <c r="F677" s="15" t="s">
        <v>2095</v>
      </c>
      <c r="G677" s="15" t="s">
        <v>2098</v>
      </c>
      <c r="H677" s="15" t="s">
        <v>482</v>
      </c>
      <c r="I677" s="18">
        <v>2.0</v>
      </c>
      <c r="J677" s="18">
        <v>2.0</v>
      </c>
      <c r="K677" s="15"/>
      <c r="L677" s="15" t="s">
        <v>2096</v>
      </c>
      <c r="M677" s="15" t="s">
        <v>2097</v>
      </c>
      <c r="N677" s="15" t="s">
        <v>22</v>
      </c>
      <c r="O677" s="20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3" t="s">
        <v>14</v>
      </c>
      <c r="B678" s="3" t="s">
        <v>2099</v>
      </c>
      <c r="C678" s="36" t="s">
        <v>3595</v>
      </c>
      <c r="D678" s="3" t="s">
        <v>2100</v>
      </c>
      <c r="E678" s="3" t="s">
        <v>2101</v>
      </c>
      <c r="F678" s="3" t="s">
        <v>2102</v>
      </c>
      <c r="G678" s="3" t="s">
        <v>108</v>
      </c>
      <c r="H678" s="3" t="s">
        <v>175</v>
      </c>
      <c r="I678" s="4">
        <v>1.0</v>
      </c>
      <c r="J678" s="4">
        <v>1.0</v>
      </c>
      <c r="K678" s="3"/>
      <c r="L678" s="3" t="s">
        <v>2103</v>
      </c>
      <c r="M678" s="3" t="s">
        <v>2104</v>
      </c>
      <c r="N678" s="3" t="s">
        <v>22</v>
      </c>
      <c r="O678" s="5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" t="s">
        <v>14</v>
      </c>
      <c r="B679" s="3" t="s">
        <v>2099</v>
      </c>
      <c r="C679" s="36" t="s">
        <v>3595</v>
      </c>
      <c r="D679" s="3" t="s">
        <v>2100</v>
      </c>
      <c r="E679" s="3" t="s">
        <v>2101</v>
      </c>
      <c r="F679" s="3" t="s">
        <v>2102</v>
      </c>
      <c r="G679" s="3" t="s">
        <v>2105</v>
      </c>
      <c r="H679" s="3" t="s">
        <v>2106</v>
      </c>
      <c r="I679" s="4">
        <v>2.0</v>
      </c>
      <c r="J679" s="4">
        <v>2.0</v>
      </c>
      <c r="K679" s="3"/>
      <c r="L679" s="3" t="s">
        <v>2103</v>
      </c>
      <c r="M679" s="3" t="s">
        <v>2104</v>
      </c>
      <c r="N679" s="3" t="s">
        <v>22</v>
      </c>
      <c r="O679" s="5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5" t="s">
        <v>14</v>
      </c>
      <c r="B680" s="15" t="s">
        <v>2107</v>
      </c>
      <c r="C680" s="36" t="s">
        <v>3607</v>
      </c>
      <c r="D680" s="15" t="s">
        <v>2108</v>
      </c>
      <c r="E680" s="15" t="s">
        <v>2109</v>
      </c>
      <c r="F680" s="15" t="s">
        <v>2110</v>
      </c>
      <c r="G680" s="15"/>
      <c r="H680" s="15"/>
      <c r="I680" s="18"/>
      <c r="J680" s="18"/>
      <c r="K680" s="15"/>
      <c r="L680" s="15" t="s">
        <v>2111</v>
      </c>
      <c r="M680" s="15" t="s">
        <v>2112</v>
      </c>
      <c r="N680" s="15" t="s">
        <v>22</v>
      </c>
      <c r="O680" s="15" t="s">
        <v>560</v>
      </c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5" t="s">
        <v>14</v>
      </c>
      <c r="B681" s="15" t="s">
        <v>2113</v>
      </c>
      <c r="C681" s="36" t="s">
        <v>3623</v>
      </c>
      <c r="D681" s="15" t="s">
        <v>2114</v>
      </c>
      <c r="E681" s="15" t="s">
        <v>2115</v>
      </c>
      <c r="F681" s="15" t="s">
        <v>2116</v>
      </c>
      <c r="G681" s="15"/>
      <c r="H681" s="15"/>
      <c r="I681" s="18"/>
      <c r="J681" s="18"/>
      <c r="K681" s="15"/>
      <c r="L681" s="15" t="s">
        <v>2117</v>
      </c>
      <c r="M681" s="15" t="s">
        <v>2118</v>
      </c>
      <c r="N681" s="15" t="s">
        <v>22</v>
      </c>
      <c r="O681" s="15" t="s">
        <v>560</v>
      </c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3" t="s">
        <v>14</v>
      </c>
      <c r="B682" s="3" t="s">
        <v>2119</v>
      </c>
      <c r="C682" s="33" t="s">
        <v>3600</v>
      </c>
      <c r="D682" s="3" t="s">
        <v>2120</v>
      </c>
      <c r="E682" s="3" t="s">
        <v>2121</v>
      </c>
      <c r="F682" s="3" t="s">
        <v>2122</v>
      </c>
      <c r="G682" s="3" t="s">
        <v>2123</v>
      </c>
      <c r="H682" s="3" t="s">
        <v>2124</v>
      </c>
      <c r="I682" s="4">
        <v>1.0</v>
      </c>
      <c r="J682" s="4">
        <v>1.0</v>
      </c>
      <c r="K682" s="3" t="s">
        <v>72</v>
      </c>
      <c r="L682" s="3" t="s">
        <v>2125</v>
      </c>
      <c r="M682" s="3" t="s">
        <v>2126</v>
      </c>
      <c r="N682" s="3" t="s">
        <v>22</v>
      </c>
      <c r="O682" s="5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" t="s">
        <v>14</v>
      </c>
      <c r="B683" s="3" t="s">
        <v>2119</v>
      </c>
      <c r="C683" s="33" t="s">
        <v>3600</v>
      </c>
      <c r="D683" s="3" t="s">
        <v>2120</v>
      </c>
      <c r="E683" s="3" t="s">
        <v>2121</v>
      </c>
      <c r="F683" s="3" t="s">
        <v>2122</v>
      </c>
      <c r="G683" s="3" t="s">
        <v>276</v>
      </c>
      <c r="H683" s="3" t="s">
        <v>2127</v>
      </c>
      <c r="I683" s="4">
        <v>2.0</v>
      </c>
      <c r="J683" s="4">
        <v>2.0</v>
      </c>
      <c r="K683" s="3"/>
      <c r="L683" s="3" t="s">
        <v>2125</v>
      </c>
      <c r="M683" s="3" t="s">
        <v>2126</v>
      </c>
      <c r="N683" s="3" t="s">
        <v>22</v>
      </c>
      <c r="O683" s="5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" t="s">
        <v>14</v>
      </c>
      <c r="B684" s="3" t="s">
        <v>2128</v>
      </c>
      <c r="C684" s="36" t="s">
        <v>3608</v>
      </c>
      <c r="D684" s="3" t="s">
        <v>2129</v>
      </c>
      <c r="E684" s="3" t="s">
        <v>2130</v>
      </c>
      <c r="F684" s="3" t="s">
        <v>2131</v>
      </c>
      <c r="G684" s="3" t="s">
        <v>128</v>
      </c>
      <c r="H684" s="3" t="s">
        <v>2132</v>
      </c>
      <c r="I684" s="4">
        <v>1.0</v>
      </c>
      <c r="J684" s="4">
        <v>1.0</v>
      </c>
      <c r="K684" s="3" t="s">
        <v>2133</v>
      </c>
      <c r="L684" s="3" t="s">
        <v>2134</v>
      </c>
      <c r="M684" s="3" t="s">
        <v>2135</v>
      </c>
      <c r="N684" s="3" t="s">
        <v>22</v>
      </c>
      <c r="O684" s="5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" t="s">
        <v>14</v>
      </c>
      <c r="B685" s="3" t="s">
        <v>2128</v>
      </c>
      <c r="C685" s="36" t="s">
        <v>3608</v>
      </c>
      <c r="D685" s="3" t="s">
        <v>2129</v>
      </c>
      <c r="E685" s="3" t="s">
        <v>2130</v>
      </c>
      <c r="F685" s="3" t="s">
        <v>2131</v>
      </c>
      <c r="G685" s="3" t="s">
        <v>2136</v>
      </c>
      <c r="H685" s="3" t="s">
        <v>49</v>
      </c>
      <c r="I685" s="4">
        <v>2.0</v>
      </c>
      <c r="J685" s="4">
        <v>2.0</v>
      </c>
      <c r="K685" s="3"/>
      <c r="L685" s="3" t="s">
        <v>2134</v>
      </c>
      <c r="M685" s="3" t="s">
        <v>2135</v>
      </c>
      <c r="N685" s="3" t="s">
        <v>22</v>
      </c>
      <c r="O685" s="5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" t="s">
        <v>14</v>
      </c>
      <c r="B686" s="3" t="s">
        <v>2137</v>
      </c>
      <c r="C686" s="36" t="s">
        <v>3607</v>
      </c>
      <c r="D686" s="3" t="s">
        <v>2138</v>
      </c>
      <c r="E686" s="3" t="s">
        <v>2139</v>
      </c>
      <c r="F686" s="3" t="s">
        <v>2140</v>
      </c>
      <c r="G686" s="3" t="s">
        <v>287</v>
      </c>
      <c r="H686" s="3" t="s">
        <v>2141</v>
      </c>
      <c r="I686" s="4">
        <v>1.0</v>
      </c>
      <c r="J686" s="4">
        <v>1.0</v>
      </c>
      <c r="K686" s="3"/>
      <c r="L686" s="3" t="s">
        <v>2142</v>
      </c>
      <c r="M686" s="3" t="s">
        <v>2143</v>
      </c>
      <c r="N686" s="3" t="s">
        <v>22</v>
      </c>
      <c r="O686" s="5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" t="s">
        <v>14</v>
      </c>
      <c r="B687" s="3" t="s">
        <v>2137</v>
      </c>
      <c r="C687" s="36" t="s">
        <v>3607</v>
      </c>
      <c r="D687" s="3" t="s">
        <v>2138</v>
      </c>
      <c r="E687" s="3" t="s">
        <v>2139</v>
      </c>
      <c r="F687" s="3" t="s">
        <v>2140</v>
      </c>
      <c r="G687" s="3" t="s">
        <v>624</v>
      </c>
      <c r="H687" s="3" t="s">
        <v>75</v>
      </c>
      <c r="I687" s="4">
        <v>2.0</v>
      </c>
      <c r="J687" s="4">
        <v>2.0</v>
      </c>
      <c r="K687" s="3"/>
      <c r="L687" s="3" t="s">
        <v>2142</v>
      </c>
      <c r="M687" s="3" t="s">
        <v>2143</v>
      </c>
      <c r="N687" s="3" t="s">
        <v>22</v>
      </c>
      <c r="O687" s="5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" t="s">
        <v>14</v>
      </c>
      <c r="B688" s="3" t="s">
        <v>2144</v>
      </c>
      <c r="C688" s="36" t="s">
        <v>3608</v>
      </c>
      <c r="D688" s="3" t="s">
        <v>1211</v>
      </c>
      <c r="E688" s="3" t="s">
        <v>2145</v>
      </c>
      <c r="F688" s="3" t="s">
        <v>1211</v>
      </c>
      <c r="G688" s="3" t="s">
        <v>29</v>
      </c>
      <c r="H688" s="17" t="s">
        <v>36</v>
      </c>
      <c r="I688" s="4">
        <v>1.0</v>
      </c>
      <c r="J688" s="4">
        <v>1.0</v>
      </c>
      <c r="K688" s="3"/>
      <c r="L688" s="3" t="s">
        <v>2146</v>
      </c>
      <c r="M688" s="3" t="s">
        <v>2147</v>
      </c>
      <c r="N688" s="3" t="s">
        <v>22</v>
      </c>
      <c r="O688" s="5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" t="s">
        <v>14</v>
      </c>
      <c r="B689" s="3" t="s">
        <v>2144</v>
      </c>
      <c r="C689" s="36" t="s">
        <v>3608</v>
      </c>
      <c r="D689" s="3" t="s">
        <v>1211</v>
      </c>
      <c r="E689" s="3" t="s">
        <v>2145</v>
      </c>
      <c r="F689" s="3" t="s">
        <v>1211</v>
      </c>
      <c r="G689" s="3" t="s">
        <v>661</v>
      </c>
      <c r="H689" s="3" t="s">
        <v>1211</v>
      </c>
      <c r="I689" s="4">
        <v>2.0</v>
      </c>
      <c r="J689" s="4" t="s">
        <v>36</v>
      </c>
      <c r="K689" s="3"/>
      <c r="L689" s="3" t="s">
        <v>2146</v>
      </c>
      <c r="M689" s="3" t="s">
        <v>2147</v>
      </c>
      <c r="N689" s="3" t="s">
        <v>22</v>
      </c>
      <c r="O689" s="5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5" t="s">
        <v>14</v>
      </c>
      <c r="B690" s="15" t="s">
        <v>2148</v>
      </c>
      <c r="C690" s="36" t="s">
        <v>3607</v>
      </c>
      <c r="D690" s="15" t="s">
        <v>2149</v>
      </c>
      <c r="E690" s="15" t="s">
        <v>2150</v>
      </c>
      <c r="F690" s="15" t="s">
        <v>2149</v>
      </c>
      <c r="G690" s="15" t="s">
        <v>471</v>
      </c>
      <c r="H690" s="15" t="s">
        <v>36</v>
      </c>
      <c r="I690" s="18">
        <v>1.0</v>
      </c>
      <c r="J690" s="18" t="s">
        <v>36</v>
      </c>
      <c r="K690" s="15"/>
      <c r="L690" s="15" t="s">
        <v>2151</v>
      </c>
      <c r="M690" s="15" t="s">
        <v>2152</v>
      </c>
      <c r="N690" s="15" t="s">
        <v>22</v>
      </c>
      <c r="O690" s="20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5" t="s">
        <v>14</v>
      </c>
      <c r="B691" s="15" t="s">
        <v>2148</v>
      </c>
      <c r="C691" s="36" t="s">
        <v>3607</v>
      </c>
      <c r="D691" s="15" t="s">
        <v>2149</v>
      </c>
      <c r="E691" s="15" t="s">
        <v>2150</v>
      </c>
      <c r="F691" s="15" t="s">
        <v>2149</v>
      </c>
      <c r="G691" s="15" t="s">
        <v>2149</v>
      </c>
      <c r="H691" s="15" t="s">
        <v>2149</v>
      </c>
      <c r="I691" s="18">
        <v>2.0</v>
      </c>
      <c r="J691" s="18">
        <v>1.0</v>
      </c>
      <c r="K691" s="15"/>
      <c r="L691" s="15" t="s">
        <v>2151</v>
      </c>
      <c r="M691" s="15" t="s">
        <v>2152</v>
      </c>
      <c r="N691" s="15" t="s">
        <v>22</v>
      </c>
      <c r="O691" s="20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3" t="s">
        <v>14</v>
      </c>
      <c r="B692" s="3" t="s">
        <v>2153</v>
      </c>
      <c r="C692" s="36" t="s">
        <v>3608</v>
      </c>
      <c r="D692" s="3" t="s">
        <v>2154</v>
      </c>
      <c r="E692" s="3" t="s">
        <v>2155</v>
      </c>
      <c r="F692" s="3" t="s">
        <v>2156</v>
      </c>
      <c r="G692" s="3" t="s">
        <v>29</v>
      </c>
      <c r="H692" s="3" t="s">
        <v>36</v>
      </c>
      <c r="I692" s="4">
        <v>1.0</v>
      </c>
      <c r="J692" s="25" t="s">
        <v>36</v>
      </c>
      <c r="K692" s="3"/>
      <c r="L692" s="3" t="s">
        <v>2157</v>
      </c>
      <c r="M692" s="3" t="s">
        <v>2158</v>
      </c>
      <c r="N692" s="3" t="s">
        <v>22</v>
      </c>
      <c r="O692" s="5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" t="s">
        <v>14</v>
      </c>
      <c r="B693" s="3" t="s">
        <v>2153</v>
      </c>
      <c r="C693" s="36" t="s">
        <v>3608</v>
      </c>
      <c r="D693" s="3" t="s">
        <v>2154</v>
      </c>
      <c r="E693" s="3" t="s">
        <v>2155</v>
      </c>
      <c r="F693" s="3" t="s">
        <v>2156</v>
      </c>
      <c r="G693" s="3" t="s">
        <v>2159</v>
      </c>
      <c r="H693" s="3" t="s">
        <v>344</v>
      </c>
      <c r="I693" s="4">
        <v>2.0</v>
      </c>
      <c r="J693" s="4">
        <v>1.0</v>
      </c>
      <c r="K693" s="3"/>
      <c r="L693" s="3" t="s">
        <v>2157</v>
      </c>
      <c r="M693" s="3" t="s">
        <v>2158</v>
      </c>
      <c r="N693" s="3" t="s">
        <v>22</v>
      </c>
      <c r="O693" s="5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" t="s">
        <v>14</v>
      </c>
      <c r="B694" s="3" t="s">
        <v>2153</v>
      </c>
      <c r="C694" s="36" t="s">
        <v>3608</v>
      </c>
      <c r="D694" s="3" t="s">
        <v>2154</v>
      </c>
      <c r="E694" s="3" t="s">
        <v>2155</v>
      </c>
      <c r="F694" s="3" t="s">
        <v>2156</v>
      </c>
      <c r="G694" s="3" t="s">
        <v>36</v>
      </c>
      <c r="H694" s="3" t="s">
        <v>128</v>
      </c>
      <c r="I694" s="4" t="s">
        <v>36</v>
      </c>
      <c r="J694" s="4">
        <v>2.0</v>
      </c>
      <c r="K694" s="3"/>
      <c r="L694" s="3" t="s">
        <v>2157</v>
      </c>
      <c r="M694" s="3" t="s">
        <v>2158</v>
      </c>
      <c r="N694" s="3" t="s">
        <v>22</v>
      </c>
      <c r="O694" s="5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" t="s">
        <v>14</v>
      </c>
      <c r="B695" s="3" t="s">
        <v>2160</v>
      </c>
      <c r="C695" s="36" t="s">
        <v>3607</v>
      </c>
      <c r="D695" s="3" t="s">
        <v>2161</v>
      </c>
      <c r="E695" s="3" t="s">
        <v>2162</v>
      </c>
      <c r="F695" s="3" t="s">
        <v>2161</v>
      </c>
      <c r="G695" s="3" t="s">
        <v>471</v>
      </c>
      <c r="H695" s="17" t="s">
        <v>36</v>
      </c>
      <c r="I695" s="4">
        <v>1.0</v>
      </c>
      <c r="J695" s="4" t="s">
        <v>36</v>
      </c>
      <c r="K695" s="3"/>
      <c r="L695" s="3" t="s">
        <v>2163</v>
      </c>
      <c r="M695" s="3" t="s">
        <v>2164</v>
      </c>
      <c r="N695" s="3" t="s">
        <v>22</v>
      </c>
      <c r="O695" s="5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" t="s">
        <v>14</v>
      </c>
      <c r="B696" s="3" t="s">
        <v>2160</v>
      </c>
      <c r="C696" s="36" t="s">
        <v>3607</v>
      </c>
      <c r="D696" s="3" t="s">
        <v>2161</v>
      </c>
      <c r="E696" s="3" t="s">
        <v>2162</v>
      </c>
      <c r="F696" s="3" t="s">
        <v>2161</v>
      </c>
      <c r="G696" s="3" t="s">
        <v>614</v>
      </c>
      <c r="H696" s="3" t="s">
        <v>2161</v>
      </c>
      <c r="I696" s="4">
        <v>2.0</v>
      </c>
      <c r="J696" s="4">
        <v>1.0</v>
      </c>
      <c r="K696" s="3"/>
      <c r="L696" s="3" t="s">
        <v>2163</v>
      </c>
      <c r="M696" s="3" t="s">
        <v>2164</v>
      </c>
      <c r="N696" s="3" t="s">
        <v>22</v>
      </c>
      <c r="O696" s="5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5" t="s">
        <v>14</v>
      </c>
      <c r="B697" s="15" t="s">
        <v>2165</v>
      </c>
      <c r="C697" s="36" t="s">
        <v>3593</v>
      </c>
      <c r="D697" s="15" t="s">
        <v>2166</v>
      </c>
      <c r="E697" s="15" t="s">
        <v>2167</v>
      </c>
      <c r="F697" s="15" t="s">
        <v>2168</v>
      </c>
      <c r="G697" s="15" t="s">
        <v>128</v>
      </c>
      <c r="H697" s="15" t="s">
        <v>36</v>
      </c>
      <c r="I697" s="18">
        <v>1.0</v>
      </c>
      <c r="J697" s="18" t="s">
        <v>36</v>
      </c>
      <c r="K697" s="15"/>
      <c r="L697" s="15" t="s">
        <v>2169</v>
      </c>
      <c r="M697" s="15" t="s">
        <v>2170</v>
      </c>
      <c r="N697" s="15" t="s">
        <v>22</v>
      </c>
      <c r="O697" s="20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5" t="s">
        <v>14</v>
      </c>
      <c r="B698" s="15" t="s">
        <v>2165</v>
      </c>
      <c r="C698" s="36" t="s">
        <v>3593</v>
      </c>
      <c r="D698" s="15" t="s">
        <v>2166</v>
      </c>
      <c r="E698" s="15" t="s">
        <v>2167</v>
      </c>
      <c r="F698" s="15" t="s">
        <v>2168</v>
      </c>
      <c r="G698" s="15" t="s">
        <v>436</v>
      </c>
      <c r="H698" s="15" t="s">
        <v>436</v>
      </c>
      <c r="I698" s="18">
        <v>2.0</v>
      </c>
      <c r="J698" s="18">
        <v>1.0</v>
      </c>
      <c r="K698" s="15"/>
      <c r="L698" s="15" t="s">
        <v>2169</v>
      </c>
      <c r="M698" s="15" t="s">
        <v>2170</v>
      </c>
      <c r="N698" s="15" t="s">
        <v>22</v>
      </c>
      <c r="O698" s="20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5" t="s">
        <v>14</v>
      </c>
      <c r="B699" s="15" t="s">
        <v>2165</v>
      </c>
      <c r="C699" s="36" t="s">
        <v>3593</v>
      </c>
      <c r="D699" s="15" t="s">
        <v>2166</v>
      </c>
      <c r="E699" s="15" t="s">
        <v>2167</v>
      </c>
      <c r="F699" s="15" t="s">
        <v>2168</v>
      </c>
      <c r="G699" s="15" t="s">
        <v>425</v>
      </c>
      <c r="H699" s="15" t="s">
        <v>425</v>
      </c>
      <c r="I699" s="18">
        <v>3.0</v>
      </c>
      <c r="J699" s="18">
        <v>2.0</v>
      </c>
      <c r="K699" s="15"/>
      <c r="L699" s="15" t="s">
        <v>2169</v>
      </c>
      <c r="M699" s="15" t="s">
        <v>2170</v>
      </c>
      <c r="N699" s="15" t="s">
        <v>22</v>
      </c>
      <c r="O699" s="20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3" t="s">
        <v>14</v>
      </c>
      <c r="B700" s="3" t="s">
        <v>2171</v>
      </c>
      <c r="C700" s="36" t="s">
        <v>3605</v>
      </c>
      <c r="D700" s="3" t="s">
        <v>2172</v>
      </c>
      <c r="E700" s="3" t="s">
        <v>2173</v>
      </c>
      <c r="F700" s="3" t="s">
        <v>2174</v>
      </c>
      <c r="G700" s="3" t="s">
        <v>2175</v>
      </c>
      <c r="H700" s="3" t="s">
        <v>2176</v>
      </c>
      <c r="I700" s="4">
        <v>1.0</v>
      </c>
      <c r="J700" s="4">
        <v>1.0</v>
      </c>
      <c r="K700" s="3" t="s">
        <v>80</v>
      </c>
      <c r="L700" s="3" t="s">
        <v>2177</v>
      </c>
      <c r="M700" s="3" t="s">
        <v>2178</v>
      </c>
      <c r="N700" s="3" t="s">
        <v>22</v>
      </c>
      <c r="O700" s="5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" t="s">
        <v>14</v>
      </c>
      <c r="B701" s="3" t="s">
        <v>2171</v>
      </c>
      <c r="C701" s="36" t="s">
        <v>3605</v>
      </c>
      <c r="D701" s="3" t="s">
        <v>2172</v>
      </c>
      <c r="E701" s="3" t="s">
        <v>2173</v>
      </c>
      <c r="F701" s="3" t="s">
        <v>2174</v>
      </c>
      <c r="G701" s="3" t="s">
        <v>36</v>
      </c>
      <c r="H701" s="3" t="s">
        <v>1429</v>
      </c>
      <c r="I701" s="4" t="s">
        <v>36</v>
      </c>
      <c r="J701" s="4">
        <v>2.0</v>
      </c>
      <c r="K701" s="3"/>
      <c r="L701" s="3" t="s">
        <v>2177</v>
      </c>
      <c r="M701" s="3" t="s">
        <v>2178</v>
      </c>
      <c r="N701" s="3" t="s">
        <v>22</v>
      </c>
      <c r="O701" s="5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" t="s">
        <v>14</v>
      </c>
      <c r="B702" s="3" t="s">
        <v>2171</v>
      </c>
      <c r="C702" s="36" t="s">
        <v>3605</v>
      </c>
      <c r="D702" s="3" t="s">
        <v>2172</v>
      </c>
      <c r="E702" s="3" t="s">
        <v>2173</v>
      </c>
      <c r="F702" s="3" t="s">
        <v>2174</v>
      </c>
      <c r="G702" s="3" t="s">
        <v>997</v>
      </c>
      <c r="H702" s="3" t="s">
        <v>24</v>
      </c>
      <c r="I702" s="4">
        <v>2.0</v>
      </c>
      <c r="J702" s="4">
        <v>3.0</v>
      </c>
      <c r="K702" s="3"/>
      <c r="L702" s="3" t="s">
        <v>2177</v>
      </c>
      <c r="M702" s="3" t="s">
        <v>2178</v>
      </c>
      <c r="N702" s="3" t="s">
        <v>22</v>
      </c>
      <c r="O702" s="5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" t="s">
        <v>14</v>
      </c>
      <c r="B703" s="3" t="s">
        <v>2179</v>
      </c>
      <c r="C703" s="36" t="s">
        <v>3593</v>
      </c>
      <c r="D703" s="3" t="s">
        <v>2180</v>
      </c>
      <c r="E703" s="3" t="s">
        <v>2181</v>
      </c>
      <c r="F703" s="3" t="s">
        <v>2180</v>
      </c>
      <c r="G703" s="3" t="s">
        <v>128</v>
      </c>
      <c r="H703" s="17" t="s">
        <v>36</v>
      </c>
      <c r="I703" s="4">
        <v>1.0</v>
      </c>
      <c r="J703" s="4" t="s">
        <v>36</v>
      </c>
      <c r="K703" s="3"/>
      <c r="L703" s="3" t="s">
        <v>2182</v>
      </c>
      <c r="M703" s="3" t="s">
        <v>2183</v>
      </c>
      <c r="N703" s="3" t="s">
        <v>22</v>
      </c>
      <c r="O703" s="5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" t="s">
        <v>14</v>
      </c>
      <c r="B704" s="3" t="s">
        <v>2179</v>
      </c>
      <c r="C704" s="36" t="s">
        <v>3593</v>
      </c>
      <c r="D704" s="3" t="s">
        <v>2180</v>
      </c>
      <c r="E704" s="3" t="s">
        <v>2181</v>
      </c>
      <c r="F704" s="3" t="s">
        <v>2180</v>
      </c>
      <c r="G704" s="3" t="s">
        <v>250</v>
      </c>
      <c r="H704" s="3" t="s">
        <v>2180</v>
      </c>
      <c r="I704" s="4">
        <v>2.0</v>
      </c>
      <c r="J704" s="4">
        <v>1.0</v>
      </c>
      <c r="K704" s="3"/>
      <c r="L704" s="3" t="s">
        <v>2182</v>
      </c>
      <c r="M704" s="3" t="s">
        <v>2183</v>
      </c>
      <c r="N704" s="3" t="s">
        <v>22</v>
      </c>
      <c r="O704" s="5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" t="s">
        <v>14</v>
      </c>
      <c r="B705" s="3" t="s">
        <v>2179</v>
      </c>
      <c r="C705" s="36" t="s">
        <v>3593</v>
      </c>
      <c r="D705" s="3" t="s">
        <v>2180</v>
      </c>
      <c r="E705" s="3" t="s">
        <v>2181</v>
      </c>
      <c r="F705" s="3" t="s">
        <v>2180</v>
      </c>
      <c r="G705" s="3" t="s">
        <v>245</v>
      </c>
      <c r="H705" s="3" t="s">
        <v>36</v>
      </c>
      <c r="I705" s="4">
        <v>3.0</v>
      </c>
      <c r="J705" s="4" t="s">
        <v>36</v>
      </c>
      <c r="K705" s="3"/>
      <c r="L705" s="3" t="s">
        <v>2182</v>
      </c>
      <c r="M705" s="3" t="s">
        <v>2183</v>
      </c>
      <c r="N705" s="3" t="s">
        <v>22</v>
      </c>
      <c r="O705" s="5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" t="s">
        <v>14</v>
      </c>
      <c r="B706" s="3" t="s">
        <v>2184</v>
      </c>
      <c r="C706" s="36" t="s">
        <v>3624</v>
      </c>
      <c r="D706" s="3" t="s">
        <v>2185</v>
      </c>
      <c r="E706" s="3" t="s">
        <v>2186</v>
      </c>
      <c r="F706" s="3" t="s">
        <v>2187</v>
      </c>
      <c r="G706" s="3" t="s">
        <v>301</v>
      </c>
      <c r="H706" s="3" t="s">
        <v>301</v>
      </c>
      <c r="I706" s="4">
        <v>1.0</v>
      </c>
      <c r="J706" s="4">
        <v>1.0</v>
      </c>
      <c r="K706" s="3" t="s">
        <v>72</v>
      </c>
      <c r="L706" s="3" t="s">
        <v>2188</v>
      </c>
      <c r="M706" s="3" t="s">
        <v>2189</v>
      </c>
      <c r="N706" s="3" t="s">
        <v>22</v>
      </c>
      <c r="O706" s="5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" t="s">
        <v>14</v>
      </c>
      <c r="B707" s="3" t="s">
        <v>2184</v>
      </c>
      <c r="C707" s="36" t="s">
        <v>3624</v>
      </c>
      <c r="D707" s="3" t="s">
        <v>2185</v>
      </c>
      <c r="E707" s="3" t="s">
        <v>2186</v>
      </c>
      <c r="F707" s="3" t="s">
        <v>2187</v>
      </c>
      <c r="G707" s="3" t="s">
        <v>2023</v>
      </c>
      <c r="H707" s="3" t="s">
        <v>2190</v>
      </c>
      <c r="I707" s="4">
        <v>2.0</v>
      </c>
      <c r="J707" s="4">
        <v>2.0</v>
      </c>
      <c r="K707" s="3"/>
      <c r="L707" s="3" t="s">
        <v>2188</v>
      </c>
      <c r="M707" s="3" t="s">
        <v>2189</v>
      </c>
      <c r="N707" s="3" t="s">
        <v>22</v>
      </c>
      <c r="O707" s="5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" t="s">
        <v>14</v>
      </c>
      <c r="B708" s="3" t="s">
        <v>2184</v>
      </c>
      <c r="C708" s="36" t="s">
        <v>3624</v>
      </c>
      <c r="D708" s="3" t="s">
        <v>2185</v>
      </c>
      <c r="E708" s="3" t="s">
        <v>2186</v>
      </c>
      <c r="F708" s="3" t="s">
        <v>2187</v>
      </c>
      <c r="G708" s="3" t="s">
        <v>1426</v>
      </c>
      <c r="H708" s="3" t="s">
        <v>1426</v>
      </c>
      <c r="I708" s="4">
        <v>3.0</v>
      </c>
      <c r="J708" s="4">
        <v>3.0</v>
      </c>
      <c r="K708" s="3"/>
      <c r="L708" s="3" t="s">
        <v>2188</v>
      </c>
      <c r="M708" s="3" t="s">
        <v>2189</v>
      </c>
      <c r="N708" s="3" t="s">
        <v>22</v>
      </c>
      <c r="O708" s="5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" t="s">
        <v>14</v>
      </c>
      <c r="B709" s="3" t="s">
        <v>2191</v>
      </c>
      <c r="C709" s="36" t="s">
        <v>3593</v>
      </c>
      <c r="D709" s="3" t="s">
        <v>2192</v>
      </c>
      <c r="E709" s="3" t="s">
        <v>2193</v>
      </c>
      <c r="F709" s="3" t="s">
        <v>2194</v>
      </c>
      <c r="G709" s="3" t="s">
        <v>128</v>
      </c>
      <c r="H709" s="17" t="s">
        <v>36</v>
      </c>
      <c r="I709" s="4">
        <v>1.0</v>
      </c>
      <c r="J709" s="4" t="s">
        <v>36</v>
      </c>
      <c r="K709" s="3"/>
      <c r="L709" s="3" t="s">
        <v>2195</v>
      </c>
      <c r="M709" s="3" t="s">
        <v>2196</v>
      </c>
      <c r="N709" s="3" t="s">
        <v>22</v>
      </c>
      <c r="O709" s="5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" t="s">
        <v>14</v>
      </c>
      <c r="B710" s="3" t="s">
        <v>2191</v>
      </c>
      <c r="C710" s="36" t="s">
        <v>3593</v>
      </c>
      <c r="D710" s="3" t="s">
        <v>2192</v>
      </c>
      <c r="E710" s="3" t="s">
        <v>2193</v>
      </c>
      <c r="F710" s="3" t="s">
        <v>2194</v>
      </c>
      <c r="G710" s="3" t="s">
        <v>261</v>
      </c>
      <c r="H710" s="3" t="s">
        <v>2197</v>
      </c>
      <c r="I710" s="4">
        <v>2.0</v>
      </c>
      <c r="J710" s="4">
        <v>1.0</v>
      </c>
      <c r="K710" s="3"/>
      <c r="L710" s="3" t="s">
        <v>2195</v>
      </c>
      <c r="M710" s="3" t="s">
        <v>2196</v>
      </c>
      <c r="N710" s="3" t="s">
        <v>22</v>
      </c>
      <c r="O710" s="5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" t="s">
        <v>14</v>
      </c>
      <c r="B711" s="3" t="s">
        <v>2191</v>
      </c>
      <c r="C711" s="36" t="s">
        <v>3593</v>
      </c>
      <c r="D711" s="3" t="s">
        <v>2192</v>
      </c>
      <c r="E711" s="3" t="s">
        <v>2193</v>
      </c>
      <c r="F711" s="3" t="s">
        <v>2194</v>
      </c>
      <c r="G711" s="3" t="s">
        <v>724</v>
      </c>
      <c r="H711" s="3" t="s">
        <v>724</v>
      </c>
      <c r="I711" s="4">
        <v>3.0</v>
      </c>
      <c r="J711" s="4">
        <v>2.0</v>
      </c>
      <c r="K711" s="3"/>
      <c r="L711" s="3" t="s">
        <v>2195</v>
      </c>
      <c r="M711" s="3" t="s">
        <v>2196</v>
      </c>
      <c r="N711" s="3" t="s">
        <v>22</v>
      </c>
      <c r="O711" s="5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" t="s">
        <v>14</v>
      </c>
      <c r="B712" s="3" t="s">
        <v>2023</v>
      </c>
      <c r="C712" s="33" t="s">
        <v>3610</v>
      </c>
      <c r="D712" s="3" t="s">
        <v>2198</v>
      </c>
      <c r="E712" s="3" t="s">
        <v>2023</v>
      </c>
      <c r="F712" s="3" t="s">
        <v>2199</v>
      </c>
      <c r="G712" s="3" t="s">
        <v>2023</v>
      </c>
      <c r="H712" s="3" t="s">
        <v>1040</v>
      </c>
      <c r="I712" s="4">
        <v>1.0</v>
      </c>
      <c r="J712" s="4">
        <v>1.0</v>
      </c>
      <c r="K712" s="3" t="s">
        <v>80</v>
      </c>
      <c r="L712" s="3" t="s">
        <v>2200</v>
      </c>
      <c r="M712" s="3" t="s">
        <v>2201</v>
      </c>
      <c r="N712" s="3" t="s">
        <v>22</v>
      </c>
      <c r="O712" s="5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" t="s">
        <v>14</v>
      </c>
      <c r="B713" s="3" t="s">
        <v>2023</v>
      </c>
      <c r="C713" s="33" t="s">
        <v>3610</v>
      </c>
      <c r="D713" s="3" t="s">
        <v>2198</v>
      </c>
      <c r="E713" s="3" t="s">
        <v>2023</v>
      </c>
      <c r="F713" s="3" t="s">
        <v>2199</v>
      </c>
      <c r="G713" s="3" t="s">
        <v>36</v>
      </c>
      <c r="H713" s="3" t="s">
        <v>668</v>
      </c>
      <c r="I713" s="4" t="s">
        <v>36</v>
      </c>
      <c r="J713" s="4">
        <v>2.0</v>
      </c>
      <c r="K713" s="3"/>
      <c r="L713" s="3" t="s">
        <v>2200</v>
      </c>
      <c r="M713" s="3" t="s">
        <v>2201</v>
      </c>
      <c r="N713" s="3" t="s">
        <v>22</v>
      </c>
      <c r="O713" s="5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" t="s">
        <v>14</v>
      </c>
      <c r="B714" s="3" t="s">
        <v>2202</v>
      </c>
      <c r="C714" s="36" t="s">
        <v>3597</v>
      </c>
      <c r="D714" s="3" t="s">
        <v>2203</v>
      </c>
      <c r="E714" s="3" t="s">
        <v>2204</v>
      </c>
      <c r="F714" s="3" t="s">
        <v>2205</v>
      </c>
      <c r="G714" s="3" t="s">
        <v>2206</v>
      </c>
      <c r="H714" s="3" t="s">
        <v>2207</v>
      </c>
      <c r="I714" s="4">
        <v>1.0</v>
      </c>
      <c r="J714" s="4">
        <v>1.0</v>
      </c>
      <c r="K714" s="3"/>
      <c r="L714" s="3" t="s">
        <v>2208</v>
      </c>
      <c r="M714" s="3" t="s">
        <v>2209</v>
      </c>
      <c r="N714" s="3" t="s">
        <v>22</v>
      </c>
      <c r="O714" s="5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" t="s">
        <v>14</v>
      </c>
      <c r="B715" s="3" t="s">
        <v>2202</v>
      </c>
      <c r="C715" s="36" t="s">
        <v>3597</v>
      </c>
      <c r="D715" s="3" t="s">
        <v>2203</v>
      </c>
      <c r="E715" s="3" t="s">
        <v>2204</v>
      </c>
      <c r="F715" s="3" t="s">
        <v>2205</v>
      </c>
      <c r="G715" s="3" t="s">
        <v>1429</v>
      </c>
      <c r="H715" s="3" t="s">
        <v>222</v>
      </c>
      <c r="I715" s="4">
        <v>2.0</v>
      </c>
      <c r="J715" s="4">
        <v>2.0</v>
      </c>
      <c r="K715" s="3"/>
      <c r="L715" s="3" t="s">
        <v>2208</v>
      </c>
      <c r="M715" s="3" t="s">
        <v>2209</v>
      </c>
      <c r="N715" s="3" t="s">
        <v>22</v>
      </c>
      <c r="O715" s="5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" t="s">
        <v>14</v>
      </c>
      <c r="B716" s="3" t="s">
        <v>2202</v>
      </c>
      <c r="C716" s="36" t="s">
        <v>3597</v>
      </c>
      <c r="D716" s="3" t="s">
        <v>2203</v>
      </c>
      <c r="E716" s="3" t="s">
        <v>2204</v>
      </c>
      <c r="F716" s="3" t="s">
        <v>2205</v>
      </c>
      <c r="G716" s="3" t="s">
        <v>36</v>
      </c>
      <c r="H716" s="3" t="s">
        <v>19</v>
      </c>
      <c r="I716" s="4" t="s">
        <v>36</v>
      </c>
      <c r="J716" s="4">
        <v>3.0</v>
      </c>
      <c r="K716" s="3"/>
      <c r="L716" s="3" t="s">
        <v>2208</v>
      </c>
      <c r="M716" s="3" t="s">
        <v>2209</v>
      </c>
      <c r="N716" s="3" t="s">
        <v>22</v>
      </c>
      <c r="O716" s="5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" t="s">
        <v>14</v>
      </c>
      <c r="B717" s="3" t="s">
        <v>2202</v>
      </c>
      <c r="C717" s="36" t="s">
        <v>3597</v>
      </c>
      <c r="D717" s="3" t="s">
        <v>2203</v>
      </c>
      <c r="E717" s="3" t="s">
        <v>2204</v>
      </c>
      <c r="F717" s="3" t="s">
        <v>2205</v>
      </c>
      <c r="G717" s="3" t="s">
        <v>116</v>
      </c>
      <c r="H717" s="3" t="s">
        <v>116</v>
      </c>
      <c r="I717" s="4">
        <v>3.0</v>
      </c>
      <c r="J717" s="4">
        <v>4.0</v>
      </c>
      <c r="K717" s="3"/>
      <c r="L717" s="3" t="s">
        <v>2208</v>
      </c>
      <c r="M717" s="3" t="s">
        <v>2209</v>
      </c>
      <c r="N717" s="3" t="s">
        <v>22</v>
      </c>
      <c r="O717" s="5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" t="s">
        <v>14</v>
      </c>
      <c r="B718" s="3" t="s">
        <v>2210</v>
      </c>
      <c r="C718" s="36" t="s">
        <v>3593</v>
      </c>
      <c r="D718" s="3" t="s">
        <v>2211</v>
      </c>
      <c r="E718" s="3" t="s">
        <v>2212</v>
      </c>
      <c r="F718" s="3" t="s">
        <v>2213</v>
      </c>
      <c r="G718" s="3" t="s">
        <v>128</v>
      </c>
      <c r="H718" s="17" t="s">
        <v>36</v>
      </c>
      <c r="I718" s="4">
        <v>1.0</v>
      </c>
      <c r="J718" s="4" t="s">
        <v>36</v>
      </c>
      <c r="K718" s="3"/>
      <c r="L718" s="3" t="s">
        <v>2214</v>
      </c>
      <c r="M718" s="3" t="s">
        <v>2215</v>
      </c>
      <c r="N718" s="3" t="s">
        <v>22</v>
      </c>
      <c r="O718" s="5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" t="s">
        <v>14</v>
      </c>
      <c r="B719" s="3" t="s">
        <v>2210</v>
      </c>
      <c r="C719" s="36" t="s">
        <v>3593</v>
      </c>
      <c r="D719" s="3" t="s">
        <v>2211</v>
      </c>
      <c r="E719" s="3" t="s">
        <v>2212</v>
      </c>
      <c r="F719" s="3" t="s">
        <v>2213</v>
      </c>
      <c r="G719" s="3" t="s">
        <v>2216</v>
      </c>
      <c r="H719" s="3" t="s">
        <v>2217</v>
      </c>
      <c r="I719" s="4">
        <v>2.0</v>
      </c>
      <c r="J719" s="4">
        <v>1.0</v>
      </c>
      <c r="K719" s="3"/>
      <c r="L719" s="3" t="s">
        <v>2214</v>
      </c>
      <c r="M719" s="3" t="s">
        <v>2215</v>
      </c>
      <c r="N719" s="3" t="s">
        <v>22</v>
      </c>
      <c r="O719" s="5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" t="s">
        <v>14</v>
      </c>
      <c r="B720" s="3" t="s">
        <v>2210</v>
      </c>
      <c r="C720" s="36" t="s">
        <v>3593</v>
      </c>
      <c r="D720" s="3" t="s">
        <v>2211</v>
      </c>
      <c r="E720" s="3" t="s">
        <v>2212</v>
      </c>
      <c r="F720" s="3" t="s">
        <v>2213</v>
      </c>
      <c r="G720" s="3" t="s">
        <v>784</v>
      </c>
      <c r="H720" s="3" t="s">
        <v>784</v>
      </c>
      <c r="I720" s="4">
        <v>3.0</v>
      </c>
      <c r="J720" s="4">
        <v>2.0</v>
      </c>
      <c r="K720" s="3"/>
      <c r="L720" s="3" t="s">
        <v>2214</v>
      </c>
      <c r="M720" s="3" t="s">
        <v>2215</v>
      </c>
      <c r="N720" s="3" t="s">
        <v>22</v>
      </c>
      <c r="O720" s="5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" t="s">
        <v>14</v>
      </c>
      <c r="B721" s="3" t="s">
        <v>2218</v>
      </c>
      <c r="C721" s="36" t="s">
        <v>3607</v>
      </c>
      <c r="D721" s="3" t="s">
        <v>2219</v>
      </c>
      <c r="E721" s="3" t="s">
        <v>2220</v>
      </c>
      <c r="F721" s="3" t="s">
        <v>2219</v>
      </c>
      <c r="G721" s="3" t="s">
        <v>30</v>
      </c>
      <c r="H721" s="17" t="s">
        <v>36</v>
      </c>
      <c r="I721" s="4">
        <v>1.0</v>
      </c>
      <c r="J721" s="4" t="s">
        <v>36</v>
      </c>
      <c r="K721" s="3"/>
      <c r="L721" s="3" t="s">
        <v>2221</v>
      </c>
      <c r="M721" s="3" t="s">
        <v>2222</v>
      </c>
      <c r="N721" s="3" t="s">
        <v>22</v>
      </c>
      <c r="O721" s="5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" t="s">
        <v>14</v>
      </c>
      <c r="B722" s="3" t="s">
        <v>2218</v>
      </c>
      <c r="C722" s="36" t="s">
        <v>3607</v>
      </c>
      <c r="D722" s="3" t="s">
        <v>2219</v>
      </c>
      <c r="E722" s="3" t="s">
        <v>2220</v>
      </c>
      <c r="F722" s="3" t="s">
        <v>2219</v>
      </c>
      <c r="G722" s="3" t="s">
        <v>1346</v>
      </c>
      <c r="H722" s="3" t="s">
        <v>2219</v>
      </c>
      <c r="I722" s="4">
        <v>2.0</v>
      </c>
      <c r="J722" s="4">
        <v>1.0</v>
      </c>
      <c r="K722" s="3"/>
      <c r="L722" s="3" t="s">
        <v>2221</v>
      </c>
      <c r="M722" s="3" t="s">
        <v>2222</v>
      </c>
      <c r="N722" s="3" t="s">
        <v>22</v>
      </c>
      <c r="O722" s="5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5" t="s">
        <v>14</v>
      </c>
      <c r="B723" s="15" t="s">
        <v>2223</v>
      </c>
      <c r="C723" s="36" t="s">
        <v>3595</v>
      </c>
      <c r="D723" s="15" t="s">
        <v>2224</v>
      </c>
      <c r="E723" s="15" t="s">
        <v>2225</v>
      </c>
      <c r="F723" s="15" t="s">
        <v>2226</v>
      </c>
      <c r="G723" s="15" t="s">
        <v>2227</v>
      </c>
      <c r="H723" s="15" t="s">
        <v>2227</v>
      </c>
      <c r="I723" s="18">
        <v>1.0</v>
      </c>
      <c r="J723" s="18">
        <v>1.0</v>
      </c>
      <c r="K723" s="15" t="s">
        <v>80</v>
      </c>
      <c r="L723" s="15" t="s">
        <v>2228</v>
      </c>
      <c r="M723" s="15" t="s">
        <v>2229</v>
      </c>
      <c r="N723" s="15" t="s">
        <v>22</v>
      </c>
      <c r="O723" s="20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5" t="s">
        <v>14</v>
      </c>
      <c r="B724" s="15" t="s">
        <v>2223</v>
      </c>
      <c r="C724" s="36" t="s">
        <v>3595</v>
      </c>
      <c r="D724" s="15" t="s">
        <v>2224</v>
      </c>
      <c r="E724" s="15" t="s">
        <v>2225</v>
      </c>
      <c r="F724" s="15" t="s">
        <v>2226</v>
      </c>
      <c r="G724" s="15" t="s">
        <v>984</v>
      </c>
      <c r="H724" s="15" t="s">
        <v>2230</v>
      </c>
      <c r="I724" s="18">
        <v>2.0</v>
      </c>
      <c r="J724" s="18">
        <v>2.0</v>
      </c>
      <c r="K724" s="15"/>
      <c r="L724" s="15" t="s">
        <v>2228</v>
      </c>
      <c r="M724" s="15" t="s">
        <v>2229</v>
      </c>
      <c r="N724" s="15" t="s">
        <v>22</v>
      </c>
      <c r="O724" s="20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3" t="s">
        <v>14</v>
      </c>
      <c r="B725" s="3" t="s">
        <v>2231</v>
      </c>
      <c r="C725" s="36" t="s">
        <v>3620</v>
      </c>
      <c r="D725" s="3" t="s">
        <v>2232</v>
      </c>
      <c r="E725" s="3" t="s">
        <v>2233</v>
      </c>
      <c r="F725" s="3" t="s">
        <v>2234</v>
      </c>
      <c r="G725" s="3" t="s">
        <v>108</v>
      </c>
      <c r="H725" s="3" t="s">
        <v>2235</v>
      </c>
      <c r="I725" s="4">
        <v>1.0</v>
      </c>
      <c r="J725" s="4">
        <v>1.0</v>
      </c>
      <c r="K725" s="3" t="s">
        <v>80</v>
      </c>
      <c r="L725" s="3" t="s">
        <v>2236</v>
      </c>
      <c r="M725" s="3" t="s">
        <v>2237</v>
      </c>
      <c r="N725" s="3" t="s">
        <v>22</v>
      </c>
      <c r="O725" s="5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" t="s">
        <v>14</v>
      </c>
      <c r="B726" s="3" t="s">
        <v>2231</v>
      </c>
      <c r="C726" s="36" t="s">
        <v>3620</v>
      </c>
      <c r="D726" s="3" t="s">
        <v>2232</v>
      </c>
      <c r="E726" s="3" t="s">
        <v>2233</v>
      </c>
      <c r="F726" s="3" t="s">
        <v>2234</v>
      </c>
      <c r="G726" s="3" t="s">
        <v>1573</v>
      </c>
      <c r="H726" s="3" t="s">
        <v>1573</v>
      </c>
      <c r="I726" s="4">
        <v>2.0</v>
      </c>
      <c r="J726" s="4">
        <v>2.0</v>
      </c>
      <c r="K726" s="3"/>
      <c r="L726" s="3" t="s">
        <v>2236</v>
      </c>
      <c r="M726" s="3" t="s">
        <v>2237</v>
      </c>
      <c r="N726" s="3" t="s">
        <v>22</v>
      </c>
      <c r="O726" s="5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" t="s">
        <v>14</v>
      </c>
      <c r="B727" s="3" t="s">
        <v>2231</v>
      </c>
      <c r="C727" s="36" t="s">
        <v>3620</v>
      </c>
      <c r="D727" s="3" t="s">
        <v>2232</v>
      </c>
      <c r="E727" s="3" t="s">
        <v>2233</v>
      </c>
      <c r="F727" s="3" t="s">
        <v>2234</v>
      </c>
      <c r="G727" s="3" t="s">
        <v>36</v>
      </c>
      <c r="H727" s="3" t="s">
        <v>2238</v>
      </c>
      <c r="I727" s="4" t="s">
        <v>36</v>
      </c>
      <c r="J727" s="4">
        <v>3.0</v>
      </c>
      <c r="K727" s="3"/>
      <c r="L727" s="3" t="s">
        <v>2236</v>
      </c>
      <c r="M727" s="3" t="s">
        <v>2237</v>
      </c>
      <c r="N727" s="3" t="s">
        <v>22</v>
      </c>
      <c r="O727" s="5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" t="s">
        <v>14</v>
      </c>
      <c r="B728" s="3" t="s">
        <v>2231</v>
      </c>
      <c r="C728" s="36" t="s">
        <v>3620</v>
      </c>
      <c r="D728" s="3" t="s">
        <v>2232</v>
      </c>
      <c r="E728" s="3" t="s">
        <v>2233</v>
      </c>
      <c r="F728" s="3" t="s">
        <v>2234</v>
      </c>
      <c r="G728" s="3" t="s">
        <v>2239</v>
      </c>
      <c r="H728" s="3" t="s">
        <v>1983</v>
      </c>
      <c r="I728" s="4">
        <v>3.0</v>
      </c>
      <c r="J728" s="4">
        <v>4.0</v>
      </c>
      <c r="K728" s="3"/>
      <c r="L728" s="3" t="s">
        <v>2236</v>
      </c>
      <c r="M728" s="3" t="s">
        <v>2237</v>
      </c>
      <c r="N728" s="3" t="s">
        <v>22</v>
      </c>
      <c r="O728" s="5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" t="s">
        <v>14</v>
      </c>
      <c r="B729" s="3" t="s">
        <v>2240</v>
      </c>
      <c r="C729" s="38" t="s">
        <v>3619</v>
      </c>
      <c r="D729" s="3" t="s">
        <v>2241</v>
      </c>
      <c r="E729" s="6" t="s">
        <v>2242</v>
      </c>
      <c r="F729" s="3" t="s">
        <v>2243</v>
      </c>
      <c r="G729" s="6" t="s">
        <v>233</v>
      </c>
      <c r="H729" s="3" t="s">
        <v>415</v>
      </c>
      <c r="I729" s="4">
        <v>1.0</v>
      </c>
      <c r="J729" s="4">
        <v>1.0</v>
      </c>
      <c r="K729" s="3"/>
      <c r="L729" s="3" t="s">
        <v>2244</v>
      </c>
      <c r="M729" s="3" t="s">
        <v>2245</v>
      </c>
      <c r="N729" s="3" t="s">
        <v>22</v>
      </c>
      <c r="O729" s="5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" t="s">
        <v>14</v>
      </c>
      <c r="B730" s="3" t="s">
        <v>2240</v>
      </c>
      <c r="C730" s="38" t="s">
        <v>3619</v>
      </c>
      <c r="D730" s="3" t="s">
        <v>2241</v>
      </c>
      <c r="E730" s="6" t="s">
        <v>2242</v>
      </c>
      <c r="F730" s="3" t="s">
        <v>2243</v>
      </c>
      <c r="G730" s="6" t="s">
        <v>848</v>
      </c>
      <c r="H730" s="3" t="s">
        <v>175</v>
      </c>
      <c r="I730" s="4">
        <v>2.0</v>
      </c>
      <c r="J730" s="4">
        <v>2.0</v>
      </c>
      <c r="K730" s="3"/>
      <c r="L730" s="3" t="s">
        <v>2244</v>
      </c>
      <c r="M730" s="3" t="s">
        <v>2245</v>
      </c>
      <c r="N730" s="3" t="s">
        <v>22</v>
      </c>
      <c r="O730" s="5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" t="s">
        <v>14</v>
      </c>
      <c r="B731" s="3" t="s">
        <v>2240</v>
      </c>
      <c r="C731" s="38" t="s">
        <v>3619</v>
      </c>
      <c r="D731" s="3" t="s">
        <v>2241</v>
      </c>
      <c r="E731" s="6" t="s">
        <v>2242</v>
      </c>
      <c r="F731" s="3" t="s">
        <v>2243</v>
      </c>
      <c r="G731" s="6" t="s">
        <v>108</v>
      </c>
      <c r="H731" s="3" t="s">
        <v>36</v>
      </c>
      <c r="I731" s="4">
        <v>3.0</v>
      </c>
      <c r="J731" s="4" t="s">
        <v>36</v>
      </c>
      <c r="K731" s="3"/>
      <c r="L731" s="3" t="s">
        <v>2244</v>
      </c>
      <c r="M731" s="3" t="s">
        <v>2245</v>
      </c>
      <c r="N731" s="3" t="s">
        <v>22</v>
      </c>
      <c r="O731" s="5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" t="s">
        <v>14</v>
      </c>
      <c r="B732" s="3" t="s">
        <v>2240</v>
      </c>
      <c r="C732" s="38" t="s">
        <v>3619</v>
      </c>
      <c r="D732" s="3" t="s">
        <v>2241</v>
      </c>
      <c r="E732" s="6" t="s">
        <v>2242</v>
      </c>
      <c r="F732" s="3" t="s">
        <v>2243</v>
      </c>
      <c r="G732" s="6" t="s">
        <v>878</v>
      </c>
      <c r="H732" s="3" t="s">
        <v>879</v>
      </c>
      <c r="I732" s="4">
        <v>4.0</v>
      </c>
      <c r="J732" s="4">
        <v>3.0</v>
      </c>
      <c r="K732" s="3"/>
      <c r="L732" s="3" t="s">
        <v>2244</v>
      </c>
      <c r="M732" s="3" t="s">
        <v>2245</v>
      </c>
      <c r="N732" s="3" t="s">
        <v>22</v>
      </c>
      <c r="O732" s="5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" t="s">
        <v>14</v>
      </c>
      <c r="B733" s="3" t="s">
        <v>2246</v>
      </c>
      <c r="C733" s="33" t="s">
        <v>3600</v>
      </c>
      <c r="D733" s="3" t="s">
        <v>2247</v>
      </c>
      <c r="E733" s="3" t="s">
        <v>2248</v>
      </c>
      <c r="F733" s="3" t="s">
        <v>2249</v>
      </c>
      <c r="G733" s="3" t="s">
        <v>2250</v>
      </c>
      <c r="H733" s="3" t="s">
        <v>668</v>
      </c>
      <c r="I733" s="4">
        <v>1.0</v>
      </c>
      <c r="J733" s="4">
        <v>1.0</v>
      </c>
      <c r="K733" s="3" t="s">
        <v>80</v>
      </c>
      <c r="L733" s="3" t="s">
        <v>2251</v>
      </c>
      <c r="M733" s="3" t="s">
        <v>2252</v>
      </c>
      <c r="N733" s="3" t="s">
        <v>22</v>
      </c>
      <c r="O733" s="5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" t="s">
        <v>14</v>
      </c>
      <c r="B734" s="3" t="s">
        <v>2246</v>
      </c>
      <c r="C734" s="33" t="s">
        <v>3600</v>
      </c>
      <c r="D734" s="3" t="s">
        <v>2247</v>
      </c>
      <c r="E734" s="3" t="s">
        <v>2248</v>
      </c>
      <c r="F734" s="3" t="s">
        <v>2249</v>
      </c>
      <c r="G734" s="3" t="s">
        <v>36</v>
      </c>
      <c r="H734" s="3" t="s">
        <v>845</v>
      </c>
      <c r="I734" s="4" t="s">
        <v>36</v>
      </c>
      <c r="J734" s="4">
        <v>2.0</v>
      </c>
      <c r="K734" s="3"/>
      <c r="L734" s="3" t="s">
        <v>2251</v>
      </c>
      <c r="M734" s="3" t="s">
        <v>2252</v>
      </c>
      <c r="N734" s="3" t="s">
        <v>22</v>
      </c>
      <c r="O734" s="5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" t="s">
        <v>14</v>
      </c>
      <c r="B735" s="3" t="s">
        <v>2246</v>
      </c>
      <c r="C735" s="33" t="s">
        <v>3600</v>
      </c>
      <c r="D735" s="3" t="s">
        <v>2247</v>
      </c>
      <c r="E735" s="3" t="s">
        <v>2248</v>
      </c>
      <c r="F735" s="3" t="s">
        <v>2249</v>
      </c>
      <c r="G735" s="3" t="s">
        <v>75</v>
      </c>
      <c r="H735" s="3" t="s">
        <v>75</v>
      </c>
      <c r="I735" s="4">
        <v>2.0</v>
      </c>
      <c r="J735" s="4">
        <v>3.0</v>
      </c>
      <c r="K735" s="3"/>
      <c r="L735" s="3" t="s">
        <v>2251</v>
      </c>
      <c r="M735" s="3" t="s">
        <v>2252</v>
      </c>
      <c r="N735" s="3" t="s">
        <v>22</v>
      </c>
      <c r="O735" s="5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" t="s">
        <v>14</v>
      </c>
      <c r="B736" s="3" t="s">
        <v>2253</v>
      </c>
      <c r="C736" s="36" t="s">
        <v>3620</v>
      </c>
      <c r="D736" s="3" t="s">
        <v>2254</v>
      </c>
      <c r="E736" s="3" t="s">
        <v>2255</v>
      </c>
      <c r="F736" s="3" t="s">
        <v>2256</v>
      </c>
      <c r="G736" s="3" t="s">
        <v>244</v>
      </c>
      <c r="H736" s="3" t="s">
        <v>402</v>
      </c>
      <c r="I736" s="4">
        <v>1.0</v>
      </c>
      <c r="J736" s="4">
        <v>1.0</v>
      </c>
      <c r="K736" s="3" t="s">
        <v>80</v>
      </c>
      <c r="L736" s="3" t="s">
        <v>2257</v>
      </c>
      <c r="M736" s="3" t="s">
        <v>2258</v>
      </c>
      <c r="N736" s="3" t="s">
        <v>22</v>
      </c>
      <c r="O736" s="5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" t="s">
        <v>14</v>
      </c>
      <c r="B737" s="3" t="s">
        <v>2253</v>
      </c>
      <c r="C737" s="36" t="s">
        <v>3620</v>
      </c>
      <c r="D737" s="3" t="s">
        <v>2254</v>
      </c>
      <c r="E737" s="3" t="s">
        <v>2255</v>
      </c>
      <c r="F737" s="3" t="s">
        <v>2256</v>
      </c>
      <c r="G737" s="3" t="s">
        <v>1541</v>
      </c>
      <c r="H737" s="3" t="s">
        <v>254</v>
      </c>
      <c r="I737" s="4">
        <v>2.0</v>
      </c>
      <c r="J737" s="4">
        <v>2.0</v>
      </c>
      <c r="K737" s="3"/>
      <c r="L737" s="3" t="s">
        <v>2257</v>
      </c>
      <c r="M737" s="3" t="s">
        <v>2258</v>
      </c>
      <c r="N737" s="3" t="s">
        <v>22</v>
      </c>
      <c r="O737" s="5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" t="s">
        <v>14</v>
      </c>
      <c r="B738" s="3" t="s">
        <v>2253</v>
      </c>
      <c r="C738" s="36" t="s">
        <v>3620</v>
      </c>
      <c r="D738" s="3" t="s">
        <v>2254</v>
      </c>
      <c r="E738" s="3" t="s">
        <v>2255</v>
      </c>
      <c r="F738" s="3" t="s">
        <v>2256</v>
      </c>
      <c r="G738" s="3" t="s">
        <v>36</v>
      </c>
      <c r="H738" s="3" t="s">
        <v>2238</v>
      </c>
      <c r="I738" s="4" t="s">
        <v>36</v>
      </c>
      <c r="J738" s="4">
        <v>3.0</v>
      </c>
      <c r="K738" s="3"/>
      <c r="L738" s="3" t="s">
        <v>2257</v>
      </c>
      <c r="M738" s="3" t="s">
        <v>2258</v>
      </c>
      <c r="N738" s="3" t="s">
        <v>22</v>
      </c>
      <c r="O738" s="5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" t="s">
        <v>14</v>
      </c>
      <c r="B739" s="3" t="s">
        <v>2253</v>
      </c>
      <c r="C739" s="36" t="s">
        <v>3620</v>
      </c>
      <c r="D739" s="3" t="s">
        <v>2254</v>
      </c>
      <c r="E739" s="3" t="s">
        <v>2255</v>
      </c>
      <c r="F739" s="3" t="s">
        <v>2256</v>
      </c>
      <c r="G739" s="3" t="s">
        <v>2239</v>
      </c>
      <c r="H739" s="3" t="s">
        <v>1983</v>
      </c>
      <c r="I739" s="4">
        <v>3.0</v>
      </c>
      <c r="J739" s="4">
        <v>4.0</v>
      </c>
      <c r="K739" s="3"/>
      <c r="L739" s="3" t="s">
        <v>2257</v>
      </c>
      <c r="M739" s="3" t="s">
        <v>2258</v>
      </c>
      <c r="N739" s="3" t="s">
        <v>22</v>
      </c>
      <c r="O739" s="5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" t="s">
        <v>14</v>
      </c>
      <c r="B740" s="3" t="s">
        <v>2259</v>
      </c>
      <c r="C740" s="36" t="s">
        <v>3597</v>
      </c>
      <c r="D740" s="3" t="s">
        <v>2260</v>
      </c>
      <c r="E740" s="3" t="s">
        <v>2261</v>
      </c>
      <c r="F740" s="3" t="s">
        <v>2262</v>
      </c>
      <c r="G740" s="3" t="s">
        <v>1754</v>
      </c>
      <c r="H740" s="3" t="s">
        <v>2263</v>
      </c>
      <c r="I740" s="4">
        <v>1.0</v>
      </c>
      <c r="J740" s="4">
        <v>1.0</v>
      </c>
      <c r="K740" s="3"/>
      <c r="L740" s="3" t="s">
        <v>2264</v>
      </c>
      <c r="M740" s="3" t="s">
        <v>2265</v>
      </c>
      <c r="N740" s="3" t="s">
        <v>22</v>
      </c>
      <c r="O740" s="5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" t="s">
        <v>14</v>
      </c>
      <c r="B741" s="3" t="s">
        <v>2259</v>
      </c>
      <c r="C741" s="36" t="s">
        <v>3597</v>
      </c>
      <c r="D741" s="3" t="s">
        <v>2260</v>
      </c>
      <c r="E741" s="3" t="s">
        <v>2261</v>
      </c>
      <c r="F741" s="3" t="s">
        <v>2262</v>
      </c>
      <c r="G741" s="3" t="s">
        <v>1118</v>
      </c>
      <c r="H741" s="3" t="s">
        <v>1118</v>
      </c>
      <c r="I741" s="4">
        <v>2.0</v>
      </c>
      <c r="J741" s="4">
        <v>2.0</v>
      </c>
      <c r="K741" s="3"/>
      <c r="L741" s="3" t="s">
        <v>2264</v>
      </c>
      <c r="M741" s="3" t="s">
        <v>2265</v>
      </c>
      <c r="N741" s="3" t="s">
        <v>22</v>
      </c>
      <c r="O741" s="5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" t="s">
        <v>14</v>
      </c>
      <c r="B742" s="3" t="s">
        <v>2259</v>
      </c>
      <c r="C742" s="36" t="s">
        <v>3597</v>
      </c>
      <c r="D742" s="3" t="s">
        <v>2260</v>
      </c>
      <c r="E742" s="3" t="s">
        <v>2261</v>
      </c>
      <c r="F742" s="3" t="s">
        <v>2262</v>
      </c>
      <c r="G742" s="3" t="s">
        <v>172</v>
      </c>
      <c r="H742" s="3" t="s">
        <v>387</v>
      </c>
      <c r="I742" s="4">
        <v>3.0</v>
      </c>
      <c r="J742" s="4">
        <v>3.0</v>
      </c>
      <c r="K742" s="3"/>
      <c r="L742" s="3" t="s">
        <v>2264</v>
      </c>
      <c r="M742" s="3" t="s">
        <v>2265</v>
      </c>
      <c r="N742" s="3" t="s">
        <v>22</v>
      </c>
      <c r="O742" s="5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" t="s">
        <v>14</v>
      </c>
      <c r="B743" s="3" t="s">
        <v>2266</v>
      </c>
      <c r="C743" s="36" t="s">
        <v>3609</v>
      </c>
      <c r="D743" s="3" t="s">
        <v>2267</v>
      </c>
      <c r="E743" s="3" t="s">
        <v>2268</v>
      </c>
      <c r="F743" s="3" t="s">
        <v>2269</v>
      </c>
      <c r="G743" s="3" t="s">
        <v>349</v>
      </c>
      <c r="H743" s="3" t="s">
        <v>349</v>
      </c>
      <c r="I743" s="4">
        <v>1.0</v>
      </c>
      <c r="J743" s="4">
        <v>1.0</v>
      </c>
      <c r="K743" s="3"/>
      <c r="L743" s="3" t="s">
        <v>2270</v>
      </c>
      <c r="M743" s="3" t="s">
        <v>2271</v>
      </c>
      <c r="N743" s="3" t="s">
        <v>22</v>
      </c>
      <c r="O743" s="5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" t="s">
        <v>14</v>
      </c>
      <c r="B744" s="3" t="s">
        <v>2266</v>
      </c>
      <c r="C744" s="36" t="s">
        <v>3609</v>
      </c>
      <c r="D744" s="3" t="s">
        <v>2267</v>
      </c>
      <c r="E744" s="3" t="s">
        <v>2268</v>
      </c>
      <c r="F744" s="3" t="s">
        <v>2269</v>
      </c>
      <c r="G744" s="3" t="s">
        <v>2272</v>
      </c>
      <c r="H744" s="3" t="s">
        <v>296</v>
      </c>
      <c r="I744" s="4">
        <v>2.0</v>
      </c>
      <c r="J744" s="4">
        <v>2.0</v>
      </c>
      <c r="K744" s="3"/>
      <c r="L744" s="3" t="s">
        <v>2270</v>
      </c>
      <c r="M744" s="3" t="s">
        <v>2271</v>
      </c>
      <c r="N744" s="3" t="s">
        <v>22</v>
      </c>
      <c r="O744" s="5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" t="s">
        <v>14</v>
      </c>
      <c r="B745" s="3" t="s">
        <v>2266</v>
      </c>
      <c r="C745" s="36" t="s">
        <v>3609</v>
      </c>
      <c r="D745" s="3" t="s">
        <v>2267</v>
      </c>
      <c r="E745" s="3" t="s">
        <v>2268</v>
      </c>
      <c r="F745" s="3" t="s">
        <v>2269</v>
      </c>
      <c r="G745" s="3" t="s">
        <v>2273</v>
      </c>
      <c r="H745" s="3" t="s">
        <v>2273</v>
      </c>
      <c r="I745" s="4">
        <v>3.0</v>
      </c>
      <c r="J745" s="4">
        <v>3.0</v>
      </c>
      <c r="K745" s="3"/>
      <c r="L745" s="3" t="s">
        <v>2270</v>
      </c>
      <c r="M745" s="3" t="s">
        <v>2271</v>
      </c>
      <c r="N745" s="3" t="s">
        <v>22</v>
      </c>
      <c r="O745" s="5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" t="s">
        <v>14</v>
      </c>
      <c r="B746" s="3" t="s">
        <v>2274</v>
      </c>
      <c r="C746" s="36" t="s">
        <v>3609</v>
      </c>
      <c r="D746" s="3" t="s">
        <v>2275</v>
      </c>
      <c r="E746" s="3" t="s">
        <v>2276</v>
      </c>
      <c r="F746" s="3" t="s">
        <v>2276</v>
      </c>
      <c r="G746" s="3" t="s">
        <v>349</v>
      </c>
      <c r="H746" s="3" t="s">
        <v>349</v>
      </c>
      <c r="I746" s="4">
        <v>1.0</v>
      </c>
      <c r="J746" s="4">
        <v>1.0</v>
      </c>
      <c r="K746" s="3"/>
      <c r="L746" s="3" t="s">
        <v>2277</v>
      </c>
      <c r="M746" s="3" t="s">
        <v>2278</v>
      </c>
      <c r="N746" s="3" t="s">
        <v>22</v>
      </c>
      <c r="O746" s="5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" t="s">
        <v>14</v>
      </c>
      <c r="B747" s="3" t="s">
        <v>2274</v>
      </c>
      <c r="C747" s="36" t="s">
        <v>3609</v>
      </c>
      <c r="D747" s="3" t="s">
        <v>2275</v>
      </c>
      <c r="E747" s="3" t="s">
        <v>2276</v>
      </c>
      <c r="F747" s="3" t="s">
        <v>2276</v>
      </c>
      <c r="G747" s="3" t="s">
        <v>296</v>
      </c>
      <c r="H747" s="3" t="s">
        <v>296</v>
      </c>
      <c r="I747" s="4">
        <v>2.0</v>
      </c>
      <c r="J747" s="4">
        <v>2.0</v>
      </c>
      <c r="K747" s="3"/>
      <c r="L747" s="3" t="s">
        <v>2277</v>
      </c>
      <c r="M747" s="3" t="s">
        <v>2278</v>
      </c>
      <c r="N747" s="3" t="s">
        <v>22</v>
      </c>
      <c r="O747" s="5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" t="s">
        <v>14</v>
      </c>
      <c r="B748" s="3" t="s">
        <v>2274</v>
      </c>
      <c r="C748" s="36" t="s">
        <v>3609</v>
      </c>
      <c r="D748" s="3" t="s">
        <v>2275</v>
      </c>
      <c r="E748" s="3" t="s">
        <v>2276</v>
      </c>
      <c r="F748" s="3" t="s">
        <v>2276</v>
      </c>
      <c r="G748" s="3" t="s">
        <v>2279</v>
      </c>
      <c r="H748" s="3" t="s">
        <v>2279</v>
      </c>
      <c r="I748" s="4">
        <v>3.0</v>
      </c>
      <c r="J748" s="4">
        <v>3.0</v>
      </c>
      <c r="K748" s="3"/>
      <c r="L748" s="3" t="s">
        <v>2277</v>
      </c>
      <c r="M748" s="3" t="s">
        <v>2278</v>
      </c>
      <c r="N748" s="3" t="s">
        <v>22</v>
      </c>
      <c r="O748" s="5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15" t="s">
        <v>14</v>
      </c>
      <c r="B749" s="15" t="s">
        <v>2280</v>
      </c>
      <c r="C749" s="36" t="s">
        <v>3615</v>
      </c>
      <c r="D749" s="15" t="s">
        <v>2281</v>
      </c>
      <c r="E749" s="15" t="s">
        <v>2282</v>
      </c>
      <c r="F749" s="15" t="s">
        <v>2283</v>
      </c>
      <c r="G749" s="15"/>
      <c r="H749" s="15"/>
      <c r="I749" s="18"/>
      <c r="J749" s="18"/>
      <c r="K749" s="15"/>
      <c r="L749" s="15" t="s">
        <v>2284</v>
      </c>
      <c r="M749" s="15" t="s">
        <v>2285</v>
      </c>
      <c r="N749" s="15" t="s">
        <v>22</v>
      </c>
      <c r="O749" s="15" t="s">
        <v>560</v>
      </c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3" t="s">
        <v>14</v>
      </c>
      <c r="B750" s="3" t="s">
        <v>2286</v>
      </c>
      <c r="C750" s="36" t="s">
        <v>3597</v>
      </c>
      <c r="D750" s="3" t="s">
        <v>2286</v>
      </c>
      <c r="E750" s="3" t="s">
        <v>2287</v>
      </c>
      <c r="F750" s="3" t="s">
        <v>2287</v>
      </c>
      <c r="G750" s="3" t="s">
        <v>425</v>
      </c>
      <c r="H750" s="3" t="s">
        <v>425</v>
      </c>
      <c r="I750" s="4">
        <v>1.0</v>
      </c>
      <c r="J750" s="4">
        <v>1.0</v>
      </c>
      <c r="K750" s="3"/>
      <c r="L750" s="3" t="s">
        <v>2288</v>
      </c>
      <c r="M750" s="3" t="s">
        <v>2289</v>
      </c>
      <c r="N750" s="3" t="s">
        <v>22</v>
      </c>
      <c r="O750" s="5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" t="s">
        <v>14</v>
      </c>
      <c r="B751" s="3" t="s">
        <v>2286</v>
      </c>
      <c r="C751" s="36" t="s">
        <v>3597</v>
      </c>
      <c r="D751" s="3" t="s">
        <v>2286</v>
      </c>
      <c r="E751" s="3" t="s">
        <v>2287</v>
      </c>
      <c r="F751" s="3" t="s">
        <v>2287</v>
      </c>
      <c r="G751" s="3" t="s">
        <v>2290</v>
      </c>
      <c r="H751" s="3" t="s">
        <v>2290</v>
      </c>
      <c r="I751" s="4">
        <v>2.0</v>
      </c>
      <c r="J751" s="4">
        <v>2.0</v>
      </c>
      <c r="K751" s="3"/>
      <c r="L751" s="3" t="s">
        <v>2288</v>
      </c>
      <c r="M751" s="3" t="s">
        <v>2289</v>
      </c>
      <c r="N751" s="3" t="s">
        <v>22</v>
      </c>
      <c r="O751" s="5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" t="s">
        <v>14</v>
      </c>
      <c r="B752" s="3" t="s">
        <v>2286</v>
      </c>
      <c r="C752" s="36" t="s">
        <v>3597</v>
      </c>
      <c r="D752" s="3" t="s">
        <v>2286</v>
      </c>
      <c r="E752" s="3" t="s">
        <v>2287</v>
      </c>
      <c r="F752" s="3" t="s">
        <v>2287</v>
      </c>
      <c r="G752" s="3" t="s">
        <v>116</v>
      </c>
      <c r="H752" s="3" t="s">
        <v>116</v>
      </c>
      <c r="I752" s="4">
        <v>3.0</v>
      </c>
      <c r="J752" s="4">
        <v>3.0</v>
      </c>
      <c r="K752" s="3"/>
      <c r="L752" s="3" t="s">
        <v>2288</v>
      </c>
      <c r="M752" s="3" t="s">
        <v>2289</v>
      </c>
      <c r="N752" s="3" t="s">
        <v>22</v>
      </c>
      <c r="O752" s="5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" t="s">
        <v>14</v>
      </c>
      <c r="B753" s="3" t="s">
        <v>2291</v>
      </c>
      <c r="C753" s="36" t="s">
        <v>3597</v>
      </c>
      <c r="D753" s="3" t="s">
        <v>2291</v>
      </c>
      <c r="E753" s="3" t="s">
        <v>2292</v>
      </c>
      <c r="F753" s="3" t="s">
        <v>2292</v>
      </c>
      <c r="G753" s="3" t="s">
        <v>425</v>
      </c>
      <c r="H753" s="3" t="s">
        <v>425</v>
      </c>
      <c r="I753" s="4">
        <v>1.0</v>
      </c>
      <c r="J753" s="4">
        <v>1.0</v>
      </c>
      <c r="K753" s="3"/>
      <c r="L753" s="3" t="s">
        <v>2293</v>
      </c>
      <c r="M753" s="3" t="s">
        <v>2294</v>
      </c>
      <c r="N753" s="3" t="s">
        <v>22</v>
      </c>
      <c r="O753" s="5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" t="s">
        <v>14</v>
      </c>
      <c r="B754" s="3" t="s">
        <v>2291</v>
      </c>
      <c r="C754" s="36" t="s">
        <v>3597</v>
      </c>
      <c r="D754" s="3" t="s">
        <v>2291</v>
      </c>
      <c r="E754" s="3" t="s">
        <v>2292</v>
      </c>
      <c r="F754" s="3" t="s">
        <v>2292</v>
      </c>
      <c r="G754" s="3" t="s">
        <v>2290</v>
      </c>
      <c r="H754" s="3" t="s">
        <v>2290</v>
      </c>
      <c r="I754" s="4">
        <v>2.0</v>
      </c>
      <c r="J754" s="4">
        <v>2.0</v>
      </c>
      <c r="K754" s="3"/>
      <c r="L754" s="3" t="s">
        <v>2293</v>
      </c>
      <c r="M754" s="3" t="s">
        <v>2294</v>
      </c>
      <c r="N754" s="3" t="s">
        <v>22</v>
      </c>
      <c r="O754" s="5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" t="s">
        <v>14</v>
      </c>
      <c r="B755" s="3" t="s">
        <v>2291</v>
      </c>
      <c r="C755" s="36" t="s">
        <v>3597</v>
      </c>
      <c r="D755" s="3" t="s">
        <v>2291</v>
      </c>
      <c r="E755" s="3" t="s">
        <v>2292</v>
      </c>
      <c r="F755" s="3" t="s">
        <v>2292</v>
      </c>
      <c r="G755" s="3" t="s">
        <v>387</v>
      </c>
      <c r="H755" s="3" t="s">
        <v>387</v>
      </c>
      <c r="I755" s="4">
        <v>3.0</v>
      </c>
      <c r="J755" s="4">
        <v>3.0</v>
      </c>
      <c r="K755" s="3"/>
      <c r="L755" s="3" t="s">
        <v>2293</v>
      </c>
      <c r="M755" s="3" t="s">
        <v>2294</v>
      </c>
      <c r="N755" s="3" t="s">
        <v>22</v>
      </c>
      <c r="O755" s="5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" t="s">
        <v>14</v>
      </c>
      <c r="B756" s="3" t="s">
        <v>2295</v>
      </c>
      <c r="C756" s="36" t="s">
        <v>3595</v>
      </c>
      <c r="D756" s="3" t="s">
        <v>161</v>
      </c>
      <c r="E756" s="3" t="s">
        <v>2296</v>
      </c>
      <c r="F756" s="3" t="s">
        <v>155</v>
      </c>
      <c r="G756" s="3" t="s">
        <v>157</v>
      </c>
      <c r="H756" s="3" t="s">
        <v>158</v>
      </c>
      <c r="I756" s="4">
        <v>1.0</v>
      </c>
      <c r="J756" s="4">
        <v>1.0</v>
      </c>
      <c r="K756" s="3" t="s">
        <v>72</v>
      </c>
      <c r="L756" s="3" t="s">
        <v>2297</v>
      </c>
      <c r="M756" s="3" t="s">
        <v>2298</v>
      </c>
      <c r="N756" s="3" t="s">
        <v>22</v>
      </c>
      <c r="O756" s="5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" t="s">
        <v>14</v>
      </c>
      <c r="B757" s="3" t="s">
        <v>2295</v>
      </c>
      <c r="C757" s="36" t="s">
        <v>3595</v>
      </c>
      <c r="D757" s="3" t="s">
        <v>161</v>
      </c>
      <c r="E757" s="3" t="s">
        <v>2296</v>
      </c>
      <c r="F757" s="3" t="s">
        <v>155</v>
      </c>
      <c r="G757" s="3" t="s">
        <v>451</v>
      </c>
      <c r="H757" s="3" t="s">
        <v>162</v>
      </c>
      <c r="I757" s="4">
        <v>2.0</v>
      </c>
      <c r="J757" s="4">
        <v>2.0</v>
      </c>
      <c r="K757" s="3"/>
      <c r="L757" s="3" t="s">
        <v>2297</v>
      </c>
      <c r="M757" s="3" t="s">
        <v>2298</v>
      </c>
      <c r="N757" s="3" t="s">
        <v>22</v>
      </c>
      <c r="O757" s="5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15" t="s">
        <v>14</v>
      </c>
      <c r="B758" s="15" t="s">
        <v>2299</v>
      </c>
      <c r="C758" s="33" t="s">
        <v>3600</v>
      </c>
      <c r="D758" s="15" t="s">
        <v>2300</v>
      </c>
      <c r="E758" s="15" t="s">
        <v>2301</v>
      </c>
      <c r="F758" s="15" t="s">
        <v>452</v>
      </c>
      <c r="G758" s="15" t="s">
        <v>451</v>
      </c>
      <c r="H758" s="15" t="s">
        <v>1628</v>
      </c>
      <c r="I758" s="18">
        <v>1.0</v>
      </c>
      <c r="J758" s="18">
        <v>1.0</v>
      </c>
      <c r="K758" s="15"/>
      <c r="L758" s="15" t="s">
        <v>2302</v>
      </c>
      <c r="M758" s="15" t="s">
        <v>2303</v>
      </c>
      <c r="N758" s="15" t="s">
        <v>22</v>
      </c>
      <c r="O758" s="20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5" t="s">
        <v>14</v>
      </c>
      <c r="B759" s="15" t="s">
        <v>2299</v>
      </c>
      <c r="C759" s="33" t="s">
        <v>3600</v>
      </c>
      <c r="D759" s="15" t="s">
        <v>2300</v>
      </c>
      <c r="E759" s="15" t="s">
        <v>2301</v>
      </c>
      <c r="F759" s="15" t="s">
        <v>65</v>
      </c>
      <c r="G759" s="15" t="s">
        <v>65</v>
      </c>
      <c r="H759" s="15" t="s">
        <v>162</v>
      </c>
      <c r="I759" s="18">
        <v>2.0</v>
      </c>
      <c r="J759" s="18">
        <v>2.0</v>
      </c>
      <c r="K759" s="15"/>
      <c r="L759" s="15" t="s">
        <v>2302</v>
      </c>
      <c r="M759" s="15" t="s">
        <v>2303</v>
      </c>
      <c r="N759" s="15" t="s">
        <v>22</v>
      </c>
      <c r="O759" s="20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5" t="s">
        <v>14</v>
      </c>
      <c r="B760" s="15" t="s">
        <v>2304</v>
      </c>
      <c r="C760" s="33" t="s">
        <v>3600</v>
      </c>
      <c r="D760" s="15" t="s">
        <v>2305</v>
      </c>
      <c r="E760" s="15" t="s">
        <v>2306</v>
      </c>
      <c r="F760" s="15" t="s">
        <v>2307</v>
      </c>
      <c r="G760" s="15" t="s">
        <v>451</v>
      </c>
      <c r="H760" s="15" t="s">
        <v>452</v>
      </c>
      <c r="I760" s="18">
        <v>1.0</v>
      </c>
      <c r="J760" s="18">
        <v>1.0</v>
      </c>
      <c r="K760" s="15"/>
      <c r="L760" s="15" t="s">
        <v>2308</v>
      </c>
      <c r="M760" s="15" t="s">
        <v>2309</v>
      </c>
      <c r="N760" s="15" t="s">
        <v>22</v>
      </c>
      <c r="O760" s="20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5" t="s">
        <v>14</v>
      </c>
      <c r="B761" s="15" t="s">
        <v>2304</v>
      </c>
      <c r="C761" s="33" t="s">
        <v>3600</v>
      </c>
      <c r="D761" s="15" t="s">
        <v>2305</v>
      </c>
      <c r="E761" s="15" t="s">
        <v>2306</v>
      </c>
      <c r="F761" s="15" t="s">
        <v>2307</v>
      </c>
      <c r="G761" s="15" t="s">
        <v>312</v>
      </c>
      <c r="H761" s="15" t="s">
        <v>312</v>
      </c>
      <c r="I761" s="18">
        <v>2.0</v>
      </c>
      <c r="J761" s="18">
        <v>2.0</v>
      </c>
      <c r="K761" s="15"/>
      <c r="L761" s="15" t="s">
        <v>2308</v>
      </c>
      <c r="M761" s="15" t="s">
        <v>2309</v>
      </c>
      <c r="N761" s="15" t="s">
        <v>22</v>
      </c>
      <c r="O761" s="20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3" t="s">
        <v>14</v>
      </c>
      <c r="B762" s="3" t="s">
        <v>2310</v>
      </c>
      <c r="C762" s="33" t="s">
        <v>3600</v>
      </c>
      <c r="D762" s="3" t="s">
        <v>2311</v>
      </c>
      <c r="E762" s="3" t="s">
        <v>2312</v>
      </c>
      <c r="F762" s="3" t="s">
        <v>2313</v>
      </c>
      <c r="G762" s="3" t="s">
        <v>2314</v>
      </c>
      <c r="H762" s="3" t="s">
        <v>158</v>
      </c>
      <c r="I762" s="4">
        <v>1.0</v>
      </c>
      <c r="J762" s="4">
        <v>1.0</v>
      </c>
      <c r="K762" s="3" t="s">
        <v>80</v>
      </c>
      <c r="L762" s="3" t="s">
        <v>2315</v>
      </c>
      <c r="M762" s="3" t="s">
        <v>2316</v>
      </c>
      <c r="N762" s="3" t="s">
        <v>22</v>
      </c>
      <c r="O762" s="5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" t="s">
        <v>14</v>
      </c>
      <c r="B763" s="3" t="s">
        <v>2310</v>
      </c>
      <c r="C763" s="33" t="s">
        <v>3600</v>
      </c>
      <c r="D763" s="3" t="s">
        <v>2311</v>
      </c>
      <c r="E763" s="3" t="s">
        <v>2312</v>
      </c>
      <c r="F763" s="3" t="s">
        <v>2313</v>
      </c>
      <c r="G763" s="3" t="s">
        <v>36</v>
      </c>
      <c r="H763" s="3" t="s">
        <v>83</v>
      </c>
      <c r="I763" s="4" t="s">
        <v>36</v>
      </c>
      <c r="J763" s="4">
        <v>2.0</v>
      </c>
      <c r="K763" s="3"/>
      <c r="L763" s="3" t="s">
        <v>2315</v>
      </c>
      <c r="M763" s="3" t="s">
        <v>2316</v>
      </c>
      <c r="N763" s="3" t="s">
        <v>22</v>
      </c>
      <c r="O763" s="5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" t="s">
        <v>14</v>
      </c>
      <c r="B764" s="3" t="s">
        <v>2310</v>
      </c>
      <c r="C764" s="33" t="s">
        <v>3600</v>
      </c>
      <c r="D764" s="3" t="s">
        <v>2311</v>
      </c>
      <c r="E764" s="3" t="s">
        <v>2312</v>
      </c>
      <c r="F764" s="3" t="s">
        <v>2313</v>
      </c>
      <c r="G764" s="3" t="s">
        <v>387</v>
      </c>
      <c r="H764" s="3" t="s">
        <v>387</v>
      </c>
      <c r="I764" s="4">
        <v>2.0</v>
      </c>
      <c r="J764" s="4">
        <v>3.0</v>
      </c>
      <c r="K764" s="3"/>
      <c r="L764" s="3" t="s">
        <v>2315</v>
      </c>
      <c r="M764" s="3" t="s">
        <v>2316</v>
      </c>
      <c r="N764" s="3" t="s">
        <v>22</v>
      </c>
      <c r="O764" s="5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15" t="s">
        <v>14</v>
      </c>
      <c r="B765" s="15" t="s">
        <v>2317</v>
      </c>
      <c r="C765" s="33" t="s">
        <v>3600</v>
      </c>
      <c r="D765" s="15" t="s">
        <v>2318</v>
      </c>
      <c r="E765" s="15" t="s">
        <v>2319</v>
      </c>
      <c r="F765" s="15" t="s">
        <v>2320</v>
      </c>
      <c r="G765" s="15" t="s">
        <v>706</v>
      </c>
      <c r="H765" s="15" t="s">
        <v>2321</v>
      </c>
      <c r="I765" s="18">
        <v>1.0</v>
      </c>
      <c r="J765" s="18">
        <v>1.0</v>
      </c>
      <c r="K765" s="15" t="s">
        <v>80</v>
      </c>
      <c r="L765" s="15" t="s">
        <v>2322</v>
      </c>
      <c r="M765" s="15" t="s">
        <v>2323</v>
      </c>
      <c r="N765" s="15" t="s">
        <v>22</v>
      </c>
      <c r="O765" s="20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5" t="s">
        <v>14</v>
      </c>
      <c r="B766" s="15" t="s">
        <v>2317</v>
      </c>
      <c r="C766" s="33" t="s">
        <v>3600</v>
      </c>
      <c r="D766" s="15" t="s">
        <v>2318</v>
      </c>
      <c r="E766" s="15" t="s">
        <v>2319</v>
      </c>
      <c r="F766" s="15" t="s">
        <v>2320</v>
      </c>
      <c r="G766" s="15" t="s">
        <v>157</v>
      </c>
      <c r="H766" s="15" t="s">
        <v>158</v>
      </c>
      <c r="I766" s="18">
        <v>2.0</v>
      </c>
      <c r="J766" s="18">
        <v>2.0</v>
      </c>
      <c r="K766" s="15"/>
      <c r="L766" s="15" t="s">
        <v>2322</v>
      </c>
      <c r="M766" s="15" t="s">
        <v>2323</v>
      </c>
      <c r="N766" s="15" t="s">
        <v>22</v>
      </c>
      <c r="O766" s="20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5" t="s">
        <v>14</v>
      </c>
      <c r="B767" s="15" t="s">
        <v>1542</v>
      </c>
      <c r="C767" s="36" t="s">
        <v>3595</v>
      </c>
      <c r="D767" s="15" t="s">
        <v>2324</v>
      </c>
      <c r="E767" s="15" t="s">
        <v>1544</v>
      </c>
      <c r="F767" s="15" t="s">
        <v>2325</v>
      </c>
      <c r="G767" s="15" t="s">
        <v>1541</v>
      </c>
      <c r="H767" s="15" t="s">
        <v>1396</v>
      </c>
      <c r="I767" s="18">
        <v>1.0</v>
      </c>
      <c r="J767" s="18">
        <v>1.0</v>
      </c>
      <c r="K767" s="15"/>
      <c r="L767" s="15" t="s">
        <v>2326</v>
      </c>
      <c r="M767" s="15" t="s">
        <v>2327</v>
      </c>
      <c r="N767" s="15" t="s">
        <v>22</v>
      </c>
      <c r="O767" s="20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5" t="s">
        <v>14</v>
      </c>
      <c r="B768" s="15" t="s">
        <v>1542</v>
      </c>
      <c r="C768" s="36" t="s">
        <v>3595</v>
      </c>
      <c r="D768" s="15" t="s">
        <v>2324</v>
      </c>
      <c r="E768" s="15" t="s">
        <v>1544</v>
      </c>
      <c r="F768" s="15" t="s">
        <v>2325</v>
      </c>
      <c r="G768" s="15" t="s">
        <v>1396</v>
      </c>
      <c r="H768" s="15" t="s">
        <v>254</v>
      </c>
      <c r="I768" s="18">
        <v>2.0</v>
      </c>
      <c r="J768" s="18">
        <v>2.0</v>
      </c>
      <c r="K768" s="15"/>
      <c r="L768" s="15" t="s">
        <v>2326</v>
      </c>
      <c r="M768" s="15" t="s">
        <v>2327</v>
      </c>
      <c r="N768" s="15" t="s">
        <v>22</v>
      </c>
      <c r="O768" s="20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3" t="s">
        <v>14</v>
      </c>
      <c r="B769" s="3" t="s">
        <v>2328</v>
      </c>
      <c r="C769" s="33" t="s">
        <v>3625</v>
      </c>
      <c r="D769" s="3" t="s">
        <v>2329</v>
      </c>
      <c r="E769" s="3" t="s">
        <v>2330</v>
      </c>
      <c r="F769" s="3" t="s">
        <v>2331</v>
      </c>
      <c r="G769" s="3" t="s">
        <v>268</v>
      </c>
      <c r="H769" s="3" t="s">
        <v>2332</v>
      </c>
      <c r="I769" s="4">
        <v>1.0</v>
      </c>
      <c r="J769" s="4">
        <v>1.0</v>
      </c>
      <c r="K769" s="3"/>
      <c r="L769" s="3" t="s">
        <v>2333</v>
      </c>
      <c r="M769" s="3" t="s">
        <v>2334</v>
      </c>
      <c r="N769" s="3" t="s">
        <v>22</v>
      </c>
      <c r="O769" s="5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" t="s">
        <v>14</v>
      </c>
      <c r="B770" s="3" t="s">
        <v>2328</v>
      </c>
      <c r="C770" s="33" t="s">
        <v>3625</v>
      </c>
      <c r="D770" s="3" t="s">
        <v>2329</v>
      </c>
      <c r="E770" s="3" t="s">
        <v>2330</v>
      </c>
      <c r="F770" s="3" t="s">
        <v>2331</v>
      </c>
      <c r="G770" s="3" t="s">
        <v>29</v>
      </c>
      <c r="H770" s="3" t="s">
        <v>128</v>
      </c>
      <c r="I770" s="4">
        <v>2.0</v>
      </c>
      <c r="J770" s="4">
        <v>2.0</v>
      </c>
      <c r="K770" s="3"/>
      <c r="L770" s="3" t="s">
        <v>2333</v>
      </c>
      <c r="M770" s="3" t="s">
        <v>2334</v>
      </c>
      <c r="N770" s="3" t="s">
        <v>22</v>
      </c>
      <c r="O770" s="5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" t="s">
        <v>14</v>
      </c>
      <c r="B771" s="3" t="s">
        <v>2335</v>
      </c>
      <c r="C771" s="33" t="s">
        <v>3603</v>
      </c>
      <c r="D771" s="3" t="s">
        <v>2336</v>
      </c>
      <c r="E771" s="3" t="s">
        <v>2337</v>
      </c>
      <c r="F771" s="3" t="s">
        <v>2338</v>
      </c>
      <c r="G771" s="3" t="s">
        <v>2339</v>
      </c>
      <c r="H771" s="3" t="s">
        <v>2340</v>
      </c>
      <c r="I771" s="4">
        <v>1.0</v>
      </c>
      <c r="J771" s="4">
        <v>1.0</v>
      </c>
      <c r="K771" s="3" t="s">
        <v>80</v>
      </c>
      <c r="L771" s="3" t="s">
        <v>2341</v>
      </c>
      <c r="M771" s="3" t="s">
        <v>2342</v>
      </c>
      <c r="N771" s="3" t="s">
        <v>22</v>
      </c>
      <c r="O771" s="5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" t="s">
        <v>14</v>
      </c>
      <c r="B772" s="3" t="s">
        <v>2335</v>
      </c>
      <c r="C772" s="33" t="s">
        <v>3603</v>
      </c>
      <c r="D772" s="3" t="s">
        <v>2336</v>
      </c>
      <c r="E772" s="3" t="s">
        <v>2337</v>
      </c>
      <c r="F772" s="3" t="s">
        <v>2338</v>
      </c>
      <c r="G772" s="3" t="s">
        <v>36</v>
      </c>
      <c r="H772" s="3" t="s">
        <v>128</v>
      </c>
      <c r="I772" s="4" t="s">
        <v>36</v>
      </c>
      <c r="J772" s="4">
        <v>2.0</v>
      </c>
      <c r="K772" s="3"/>
      <c r="L772" s="3" t="s">
        <v>2341</v>
      </c>
      <c r="M772" s="3" t="s">
        <v>2342</v>
      </c>
      <c r="N772" s="3" t="s">
        <v>22</v>
      </c>
      <c r="O772" s="5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" t="s">
        <v>14</v>
      </c>
      <c r="B773" s="3" t="s">
        <v>2335</v>
      </c>
      <c r="C773" s="33" t="s">
        <v>3603</v>
      </c>
      <c r="D773" s="3" t="s">
        <v>2336</v>
      </c>
      <c r="E773" s="3" t="s">
        <v>2337</v>
      </c>
      <c r="F773" s="3" t="s">
        <v>2338</v>
      </c>
      <c r="G773" s="3" t="s">
        <v>724</v>
      </c>
      <c r="H773" s="3" t="s">
        <v>724</v>
      </c>
      <c r="I773" s="4">
        <v>2.0</v>
      </c>
      <c r="J773" s="4">
        <v>3.0</v>
      </c>
      <c r="K773" s="3"/>
      <c r="L773" s="3" t="s">
        <v>2341</v>
      </c>
      <c r="M773" s="3" t="s">
        <v>2342</v>
      </c>
      <c r="N773" s="3" t="s">
        <v>22</v>
      </c>
      <c r="O773" s="5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15" t="s">
        <v>14</v>
      </c>
      <c r="B774" s="15" t="s">
        <v>2343</v>
      </c>
      <c r="C774" s="36" t="s">
        <v>3607</v>
      </c>
      <c r="D774" s="15" t="s">
        <v>2344</v>
      </c>
      <c r="E774" s="15" t="s">
        <v>2345</v>
      </c>
      <c r="F774" s="15" t="s">
        <v>2344</v>
      </c>
      <c r="G774" s="15"/>
      <c r="H774" s="15"/>
      <c r="I774" s="18"/>
      <c r="J774" s="18"/>
      <c r="K774" s="15"/>
      <c r="L774" s="15" t="s">
        <v>2346</v>
      </c>
      <c r="M774" s="15" t="s">
        <v>2347</v>
      </c>
      <c r="N774" s="15" t="s">
        <v>22</v>
      </c>
      <c r="O774" s="15" t="s">
        <v>560</v>
      </c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3" t="s">
        <v>14</v>
      </c>
      <c r="B775" s="3" t="s">
        <v>2348</v>
      </c>
      <c r="C775" s="33" t="s">
        <v>3592</v>
      </c>
      <c r="D775" s="3" t="s">
        <v>2349</v>
      </c>
      <c r="E775" s="3" t="s">
        <v>2350</v>
      </c>
      <c r="F775" s="3" t="s">
        <v>2351</v>
      </c>
      <c r="G775" s="3" t="s">
        <v>2352</v>
      </c>
      <c r="H775" s="3" t="s">
        <v>2352</v>
      </c>
      <c r="I775" s="4">
        <v>1.0</v>
      </c>
      <c r="J775" s="4">
        <v>1.0</v>
      </c>
      <c r="K775" s="3"/>
      <c r="L775" s="3" t="s">
        <v>2353</v>
      </c>
      <c r="M775" s="3" t="s">
        <v>2354</v>
      </c>
      <c r="N775" s="3" t="s">
        <v>22</v>
      </c>
      <c r="O775" s="5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" t="s">
        <v>14</v>
      </c>
      <c r="B776" s="3" t="s">
        <v>2348</v>
      </c>
      <c r="C776" s="33" t="s">
        <v>3592</v>
      </c>
      <c r="D776" s="3" t="s">
        <v>2349</v>
      </c>
      <c r="E776" s="3" t="s">
        <v>2350</v>
      </c>
      <c r="F776" s="3" t="s">
        <v>2351</v>
      </c>
      <c r="G776" s="3" t="s">
        <v>197</v>
      </c>
      <c r="H776" s="3" t="s">
        <v>503</v>
      </c>
      <c r="I776" s="4">
        <v>2.0</v>
      </c>
      <c r="J776" s="4">
        <v>2.0</v>
      </c>
      <c r="K776" s="3"/>
      <c r="L776" s="3" t="s">
        <v>2353</v>
      </c>
      <c r="M776" s="3" t="s">
        <v>2354</v>
      </c>
      <c r="N776" s="3" t="s">
        <v>22</v>
      </c>
      <c r="O776" s="5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" t="s">
        <v>14</v>
      </c>
      <c r="B777" s="3" t="s">
        <v>2355</v>
      </c>
      <c r="C777" s="33" t="s">
        <v>3592</v>
      </c>
      <c r="D777" s="3" t="s">
        <v>2356</v>
      </c>
      <c r="E777" s="3" t="s">
        <v>2357</v>
      </c>
      <c r="F777" s="3" t="s">
        <v>2358</v>
      </c>
      <c r="G777" s="3" t="s">
        <v>845</v>
      </c>
      <c r="H777" s="3" t="s">
        <v>2352</v>
      </c>
      <c r="I777" s="4">
        <v>1.0</v>
      </c>
      <c r="J777" s="4">
        <v>1.0</v>
      </c>
      <c r="K777" s="3"/>
      <c r="L777" s="3" t="s">
        <v>2359</v>
      </c>
      <c r="M777" s="3" t="s">
        <v>2360</v>
      </c>
      <c r="N777" s="3" t="s">
        <v>22</v>
      </c>
      <c r="O777" s="5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" t="s">
        <v>14</v>
      </c>
      <c r="B778" s="3" t="s">
        <v>2355</v>
      </c>
      <c r="C778" s="33" t="s">
        <v>3592</v>
      </c>
      <c r="D778" s="3" t="s">
        <v>2356</v>
      </c>
      <c r="E778" s="3" t="s">
        <v>2357</v>
      </c>
      <c r="F778" s="3" t="s">
        <v>2358</v>
      </c>
      <c r="G778" s="3" t="s">
        <v>2361</v>
      </c>
      <c r="H778" s="3" t="s">
        <v>2362</v>
      </c>
      <c r="I778" s="4">
        <v>2.0</v>
      </c>
      <c r="J778" s="4">
        <v>2.0</v>
      </c>
      <c r="K778" s="3"/>
      <c r="L778" s="3" t="s">
        <v>2359</v>
      </c>
      <c r="M778" s="3" t="s">
        <v>2360</v>
      </c>
      <c r="N778" s="3" t="s">
        <v>22</v>
      </c>
      <c r="O778" s="5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" t="s">
        <v>14</v>
      </c>
      <c r="B779" s="3" t="s">
        <v>308</v>
      </c>
      <c r="C779" s="33" t="s">
        <v>3610</v>
      </c>
      <c r="D779" s="3" t="s">
        <v>308</v>
      </c>
      <c r="E779" s="3" t="s">
        <v>308</v>
      </c>
      <c r="F779" s="3" t="s">
        <v>308</v>
      </c>
      <c r="G779" s="3" t="s">
        <v>308</v>
      </c>
      <c r="H779" s="3" t="s">
        <v>308</v>
      </c>
      <c r="I779" s="4">
        <v>1.0</v>
      </c>
      <c r="J779" s="4">
        <v>1.0</v>
      </c>
      <c r="K779" s="3"/>
      <c r="L779" s="3" t="s">
        <v>2363</v>
      </c>
      <c r="M779" s="3" t="s">
        <v>2364</v>
      </c>
      <c r="N779" s="3" t="s">
        <v>22</v>
      </c>
      <c r="O779" s="5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" t="s">
        <v>14</v>
      </c>
      <c r="B780" s="3" t="s">
        <v>2365</v>
      </c>
      <c r="C780" s="33" t="s">
        <v>3600</v>
      </c>
      <c r="D780" s="3" t="s">
        <v>2366</v>
      </c>
      <c r="E780" s="3" t="s">
        <v>2367</v>
      </c>
      <c r="F780" s="3" t="s">
        <v>2368</v>
      </c>
      <c r="G780" s="3" t="s">
        <v>961</v>
      </c>
      <c r="H780" s="3" t="s">
        <v>420</v>
      </c>
      <c r="I780" s="4">
        <v>1.0</v>
      </c>
      <c r="J780" s="4">
        <v>1.0</v>
      </c>
      <c r="K780" s="3"/>
      <c r="L780" s="3" t="s">
        <v>2369</v>
      </c>
      <c r="M780" s="3" t="s">
        <v>2370</v>
      </c>
      <c r="N780" s="3" t="s">
        <v>22</v>
      </c>
      <c r="O780" s="5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" t="s">
        <v>14</v>
      </c>
      <c r="B781" s="3" t="s">
        <v>2365</v>
      </c>
      <c r="C781" s="33" t="s">
        <v>3600</v>
      </c>
      <c r="D781" s="3" t="s">
        <v>2366</v>
      </c>
      <c r="E781" s="3" t="s">
        <v>2367</v>
      </c>
      <c r="F781" s="3" t="s">
        <v>2368</v>
      </c>
      <c r="G781" s="3" t="s">
        <v>158</v>
      </c>
      <c r="H781" s="3" t="s">
        <v>610</v>
      </c>
      <c r="I781" s="4">
        <v>2.0</v>
      </c>
      <c r="J781" s="4">
        <v>2.0</v>
      </c>
      <c r="K781" s="3"/>
      <c r="L781" s="3" t="s">
        <v>2369</v>
      </c>
      <c r="M781" s="3" t="s">
        <v>2370</v>
      </c>
      <c r="N781" s="3" t="s">
        <v>22</v>
      </c>
      <c r="O781" s="5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" t="s">
        <v>14</v>
      </c>
      <c r="B782" s="3" t="s">
        <v>2371</v>
      </c>
      <c r="C782" s="33" t="s">
        <v>3600</v>
      </c>
      <c r="D782" s="3" t="s">
        <v>2372</v>
      </c>
      <c r="E782" s="3" t="s">
        <v>2373</v>
      </c>
      <c r="F782" s="3" t="s">
        <v>2374</v>
      </c>
      <c r="G782" s="3" t="s">
        <v>2375</v>
      </c>
      <c r="H782" s="3" t="s">
        <v>2376</v>
      </c>
      <c r="I782" s="4">
        <v>1.0</v>
      </c>
      <c r="J782" s="4">
        <v>1.0</v>
      </c>
      <c r="K782" s="3" t="s">
        <v>72</v>
      </c>
      <c r="L782" s="3" t="s">
        <v>2377</v>
      </c>
      <c r="M782" s="3" t="s">
        <v>2378</v>
      </c>
      <c r="N782" s="3" t="s">
        <v>22</v>
      </c>
      <c r="O782" s="5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" t="s">
        <v>14</v>
      </c>
      <c r="B783" s="3" t="s">
        <v>2371</v>
      </c>
      <c r="C783" s="33" t="s">
        <v>3600</v>
      </c>
      <c r="D783" s="3" t="s">
        <v>2372</v>
      </c>
      <c r="E783" s="3" t="s">
        <v>2373</v>
      </c>
      <c r="F783" s="3" t="s">
        <v>2374</v>
      </c>
      <c r="G783" s="3" t="s">
        <v>55</v>
      </c>
      <c r="H783" s="3" t="s">
        <v>784</v>
      </c>
      <c r="I783" s="4">
        <v>2.0</v>
      </c>
      <c r="J783" s="4">
        <v>2.0</v>
      </c>
      <c r="K783" s="3"/>
      <c r="L783" s="3" t="s">
        <v>2377</v>
      </c>
      <c r="M783" s="3" t="s">
        <v>2378</v>
      </c>
      <c r="N783" s="3" t="s">
        <v>22</v>
      </c>
      <c r="O783" s="5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" t="s">
        <v>14</v>
      </c>
      <c r="B784" s="3" t="s">
        <v>2379</v>
      </c>
      <c r="C784" s="33" t="s">
        <v>3600</v>
      </c>
      <c r="D784" s="3" t="s">
        <v>2372</v>
      </c>
      <c r="E784" s="3" t="s">
        <v>2380</v>
      </c>
      <c r="F784" s="3" t="s">
        <v>2374</v>
      </c>
      <c r="G784" s="3" t="s">
        <v>2381</v>
      </c>
      <c r="H784" s="3" t="s">
        <v>2376</v>
      </c>
      <c r="I784" s="4">
        <v>1.0</v>
      </c>
      <c r="J784" s="4">
        <v>1.0</v>
      </c>
      <c r="K784" s="3" t="s">
        <v>72</v>
      </c>
      <c r="L784" s="3" t="s">
        <v>2377</v>
      </c>
      <c r="M784" s="3" t="s">
        <v>2378</v>
      </c>
      <c r="N784" s="3" t="s">
        <v>22</v>
      </c>
      <c r="O784" s="5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" t="s">
        <v>14</v>
      </c>
      <c r="B785" s="3" t="s">
        <v>2379</v>
      </c>
      <c r="C785" s="33" t="s">
        <v>3600</v>
      </c>
      <c r="D785" s="3" t="s">
        <v>2372</v>
      </c>
      <c r="E785" s="3" t="s">
        <v>2380</v>
      </c>
      <c r="F785" s="3" t="s">
        <v>2374</v>
      </c>
      <c r="G785" s="3" t="s">
        <v>784</v>
      </c>
      <c r="H785" s="3" t="s">
        <v>784</v>
      </c>
      <c r="I785" s="4">
        <v>2.0</v>
      </c>
      <c r="J785" s="4">
        <v>2.0</v>
      </c>
      <c r="K785" s="3"/>
      <c r="L785" s="3" t="s">
        <v>2377</v>
      </c>
      <c r="M785" s="3" t="s">
        <v>2378</v>
      </c>
      <c r="N785" s="3" t="s">
        <v>22</v>
      </c>
      <c r="O785" s="5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" t="s">
        <v>14</v>
      </c>
      <c r="B786" s="3" t="s">
        <v>2382</v>
      </c>
      <c r="C786" s="33" t="s">
        <v>3600</v>
      </c>
      <c r="D786" s="3" t="s">
        <v>2382</v>
      </c>
      <c r="E786" s="3" t="s">
        <v>2383</v>
      </c>
      <c r="F786" s="3" t="s">
        <v>2383</v>
      </c>
      <c r="G786" s="3" t="s">
        <v>280</v>
      </c>
      <c r="H786" s="3" t="s">
        <v>280</v>
      </c>
      <c r="I786" s="4">
        <v>1.0</v>
      </c>
      <c r="J786" s="4">
        <v>1.0</v>
      </c>
      <c r="K786" s="3"/>
      <c r="L786" s="3" t="s">
        <v>2384</v>
      </c>
      <c r="M786" s="3" t="s">
        <v>2385</v>
      </c>
      <c r="N786" s="3" t="s">
        <v>22</v>
      </c>
      <c r="O786" s="5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" t="s">
        <v>14</v>
      </c>
      <c r="B787" s="3" t="s">
        <v>2382</v>
      </c>
      <c r="C787" s="33" t="s">
        <v>3600</v>
      </c>
      <c r="D787" s="3" t="s">
        <v>2382</v>
      </c>
      <c r="E787" s="3" t="s">
        <v>2383</v>
      </c>
      <c r="F787" s="3" t="s">
        <v>2383</v>
      </c>
      <c r="G787" s="3" t="s">
        <v>116</v>
      </c>
      <c r="H787" s="3" t="s">
        <v>116</v>
      </c>
      <c r="I787" s="4">
        <v>2.0</v>
      </c>
      <c r="J787" s="4">
        <v>2.0</v>
      </c>
      <c r="K787" s="3"/>
      <c r="L787" s="3" t="s">
        <v>2384</v>
      </c>
      <c r="M787" s="3" t="s">
        <v>2385</v>
      </c>
      <c r="N787" s="3" t="s">
        <v>22</v>
      </c>
      <c r="O787" s="5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" t="s">
        <v>14</v>
      </c>
      <c r="B788" s="3" t="s">
        <v>2386</v>
      </c>
      <c r="C788" s="33" t="s">
        <v>3610</v>
      </c>
      <c r="D788" s="3" t="s">
        <v>2387</v>
      </c>
      <c r="E788" s="3" t="s">
        <v>2386</v>
      </c>
      <c r="F788" s="3" t="s">
        <v>2387</v>
      </c>
      <c r="G788" s="3" t="s">
        <v>2386</v>
      </c>
      <c r="H788" s="3" t="s">
        <v>2387</v>
      </c>
      <c r="I788" s="4">
        <v>1.0</v>
      </c>
      <c r="J788" s="4">
        <v>1.0</v>
      </c>
      <c r="K788" s="3"/>
      <c r="L788" s="3" t="s">
        <v>2388</v>
      </c>
      <c r="M788" s="3" t="s">
        <v>2389</v>
      </c>
      <c r="N788" s="3" t="s">
        <v>22</v>
      </c>
      <c r="O788" s="5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" t="s">
        <v>14</v>
      </c>
      <c r="B789" s="3" t="s">
        <v>2390</v>
      </c>
      <c r="C789" s="33" t="s">
        <v>3600</v>
      </c>
      <c r="D789" s="3" t="s">
        <v>2391</v>
      </c>
      <c r="E789" s="3" t="s">
        <v>2392</v>
      </c>
      <c r="F789" s="3" t="s">
        <v>2393</v>
      </c>
      <c r="G789" s="3" t="s">
        <v>2124</v>
      </c>
      <c r="H789" s="3" t="s">
        <v>2394</v>
      </c>
      <c r="I789" s="4">
        <v>1.0</v>
      </c>
      <c r="J789" s="4">
        <v>1.0</v>
      </c>
      <c r="K789" s="3" t="s">
        <v>72</v>
      </c>
      <c r="L789" s="3" t="s">
        <v>2395</v>
      </c>
      <c r="M789" s="3" t="s">
        <v>2396</v>
      </c>
      <c r="N789" s="3" t="s">
        <v>22</v>
      </c>
      <c r="O789" s="5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" t="s">
        <v>14</v>
      </c>
      <c r="B790" s="3" t="s">
        <v>2390</v>
      </c>
      <c r="C790" s="33" t="s">
        <v>3600</v>
      </c>
      <c r="D790" s="3" t="s">
        <v>2391</v>
      </c>
      <c r="E790" s="3" t="s">
        <v>2392</v>
      </c>
      <c r="F790" s="3" t="s">
        <v>2393</v>
      </c>
      <c r="G790" s="3" t="s">
        <v>175</v>
      </c>
      <c r="H790" s="3" t="s">
        <v>175</v>
      </c>
      <c r="I790" s="4">
        <v>2.0</v>
      </c>
      <c r="J790" s="4">
        <v>2.0</v>
      </c>
      <c r="K790" s="3"/>
      <c r="L790" s="3" t="s">
        <v>2395</v>
      </c>
      <c r="M790" s="3" t="s">
        <v>2396</v>
      </c>
      <c r="N790" s="3" t="s">
        <v>22</v>
      </c>
      <c r="O790" s="5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" t="s">
        <v>14</v>
      </c>
      <c r="B791" s="3" t="s">
        <v>2397</v>
      </c>
      <c r="C791" s="33" t="s">
        <v>3600</v>
      </c>
      <c r="D791" s="3" t="s">
        <v>2398</v>
      </c>
      <c r="E791" s="3" t="s">
        <v>2399</v>
      </c>
      <c r="F791" s="3" t="s">
        <v>2400</v>
      </c>
      <c r="G791" s="3" t="s">
        <v>1919</v>
      </c>
      <c r="H791" s="3" t="s">
        <v>1599</v>
      </c>
      <c r="I791" s="4">
        <v>1.0</v>
      </c>
      <c r="J791" s="4">
        <v>1.0</v>
      </c>
      <c r="K791" s="3"/>
      <c r="L791" s="3" t="s">
        <v>2401</v>
      </c>
      <c r="M791" s="3" t="s">
        <v>2402</v>
      </c>
      <c r="N791" s="3" t="s">
        <v>22</v>
      </c>
      <c r="O791" s="5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" t="s">
        <v>14</v>
      </c>
      <c r="B792" s="3" t="s">
        <v>2397</v>
      </c>
      <c r="C792" s="33" t="s">
        <v>3600</v>
      </c>
      <c r="D792" s="3" t="s">
        <v>2398</v>
      </c>
      <c r="E792" s="3" t="s">
        <v>2399</v>
      </c>
      <c r="F792" s="3" t="s">
        <v>2400</v>
      </c>
      <c r="G792" s="3" t="s">
        <v>262</v>
      </c>
      <c r="H792" s="3" t="s">
        <v>1269</v>
      </c>
      <c r="I792" s="4">
        <v>2.0</v>
      </c>
      <c r="J792" s="4">
        <v>2.0</v>
      </c>
      <c r="K792" s="3"/>
      <c r="L792" s="3" t="s">
        <v>2401</v>
      </c>
      <c r="M792" s="3" t="s">
        <v>2402</v>
      </c>
      <c r="N792" s="3" t="s">
        <v>22</v>
      </c>
      <c r="O792" s="5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" t="s">
        <v>14</v>
      </c>
      <c r="B793" s="3" t="s">
        <v>2403</v>
      </c>
      <c r="C793" s="33" t="s">
        <v>3600</v>
      </c>
      <c r="D793" s="3" t="s">
        <v>2404</v>
      </c>
      <c r="E793" s="3" t="s">
        <v>2405</v>
      </c>
      <c r="F793" s="3" t="s">
        <v>2406</v>
      </c>
      <c r="G793" s="3" t="s">
        <v>1919</v>
      </c>
      <c r="H793" s="3" t="s">
        <v>1919</v>
      </c>
      <c r="I793" s="4">
        <v>1.0</v>
      </c>
      <c r="J793" s="4">
        <v>1.0</v>
      </c>
      <c r="K793" s="3"/>
      <c r="L793" s="3" t="s">
        <v>2407</v>
      </c>
      <c r="M793" s="3" t="s">
        <v>2408</v>
      </c>
      <c r="N793" s="3" t="s">
        <v>22</v>
      </c>
      <c r="O793" s="5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" t="s">
        <v>14</v>
      </c>
      <c r="B794" s="3" t="s">
        <v>2403</v>
      </c>
      <c r="C794" s="33" t="s">
        <v>3600</v>
      </c>
      <c r="D794" s="3" t="s">
        <v>2404</v>
      </c>
      <c r="E794" s="3" t="s">
        <v>2405</v>
      </c>
      <c r="F794" s="3" t="s">
        <v>2406</v>
      </c>
      <c r="G794" s="3" t="s">
        <v>419</v>
      </c>
      <c r="H794" s="3" t="s">
        <v>425</v>
      </c>
      <c r="I794" s="4">
        <v>2.0</v>
      </c>
      <c r="J794" s="4">
        <v>2.0</v>
      </c>
      <c r="K794" s="3"/>
      <c r="L794" s="3" t="s">
        <v>2407</v>
      </c>
      <c r="M794" s="3" t="s">
        <v>2408</v>
      </c>
      <c r="N794" s="3" t="s">
        <v>22</v>
      </c>
      <c r="O794" s="5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" t="s">
        <v>14</v>
      </c>
      <c r="B795" s="3" t="s">
        <v>2409</v>
      </c>
      <c r="C795" s="33" t="s">
        <v>3600</v>
      </c>
      <c r="D795" s="3" t="s">
        <v>2410</v>
      </c>
      <c r="E795" s="3" t="s">
        <v>2411</v>
      </c>
      <c r="F795" s="3" t="s">
        <v>2412</v>
      </c>
      <c r="G795" s="3" t="s">
        <v>2413</v>
      </c>
      <c r="H795" s="3" t="s">
        <v>2414</v>
      </c>
      <c r="I795" s="4">
        <v>1.0</v>
      </c>
      <c r="J795" s="4">
        <v>1.0</v>
      </c>
      <c r="K795" s="3"/>
      <c r="L795" s="3" t="s">
        <v>2415</v>
      </c>
      <c r="M795" s="3" t="s">
        <v>2416</v>
      </c>
      <c r="N795" s="3" t="s">
        <v>22</v>
      </c>
      <c r="O795" s="5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" t="s">
        <v>14</v>
      </c>
      <c r="B796" s="3" t="s">
        <v>2409</v>
      </c>
      <c r="C796" s="33" t="s">
        <v>3600</v>
      </c>
      <c r="D796" s="3" t="s">
        <v>2410</v>
      </c>
      <c r="E796" s="3" t="s">
        <v>2411</v>
      </c>
      <c r="F796" s="3" t="s">
        <v>2412</v>
      </c>
      <c r="G796" s="3" t="s">
        <v>233</v>
      </c>
      <c r="H796" s="3" t="s">
        <v>712</v>
      </c>
      <c r="I796" s="4">
        <v>2.0</v>
      </c>
      <c r="J796" s="4">
        <v>2.0</v>
      </c>
      <c r="K796" s="3"/>
      <c r="L796" s="3" t="s">
        <v>2415</v>
      </c>
      <c r="M796" s="3" t="s">
        <v>2416</v>
      </c>
      <c r="N796" s="3" t="s">
        <v>22</v>
      </c>
      <c r="O796" s="5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" t="s">
        <v>14</v>
      </c>
      <c r="B797" s="3" t="s">
        <v>2051</v>
      </c>
      <c r="C797" s="33" t="s">
        <v>3610</v>
      </c>
      <c r="D797" s="3" t="s">
        <v>2417</v>
      </c>
      <c r="E797" s="3" t="s">
        <v>2051</v>
      </c>
      <c r="F797" s="3" t="s">
        <v>2418</v>
      </c>
      <c r="G797" s="3" t="s">
        <v>2051</v>
      </c>
      <c r="H797" s="3" t="s">
        <v>987</v>
      </c>
      <c r="I797" s="4">
        <v>1.0</v>
      </c>
      <c r="J797" s="4">
        <v>1.0</v>
      </c>
      <c r="K797" s="3" t="s">
        <v>80</v>
      </c>
      <c r="L797" s="3" t="s">
        <v>2419</v>
      </c>
      <c r="M797" s="3" t="s">
        <v>2420</v>
      </c>
      <c r="N797" s="3" t="s">
        <v>22</v>
      </c>
      <c r="O797" s="5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" t="s">
        <v>14</v>
      </c>
      <c r="B798" s="3" t="s">
        <v>2051</v>
      </c>
      <c r="C798" s="33" t="s">
        <v>3610</v>
      </c>
      <c r="D798" s="3" t="s">
        <v>2417</v>
      </c>
      <c r="E798" s="3" t="s">
        <v>2051</v>
      </c>
      <c r="F798" s="3" t="s">
        <v>2418</v>
      </c>
      <c r="G798" s="3" t="s">
        <v>36</v>
      </c>
      <c r="H798" s="3" t="s">
        <v>2421</v>
      </c>
      <c r="I798" s="4" t="s">
        <v>36</v>
      </c>
      <c r="J798" s="4">
        <v>2.0</v>
      </c>
      <c r="K798" s="3"/>
      <c r="L798" s="3" t="s">
        <v>2419</v>
      </c>
      <c r="M798" s="3" t="s">
        <v>2420</v>
      </c>
      <c r="N798" s="3" t="s">
        <v>22</v>
      </c>
      <c r="O798" s="5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" t="s">
        <v>14</v>
      </c>
      <c r="B799" s="3" t="s">
        <v>2422</v>
      </c>
      <c r="C799" s="33" t="s">
        <v>3600</v>
      </c>
      <c r="D799" s="3" t="s">
        <v>2422</v>
      </c>
      <c r="E799" s="3" t="s">
        <v>2423</v>
      </c>
      <c r="F799" s="3" t="s">
        <v>2423</v>
      </c>
      <c r="G799" s="3" t="s">
        <v>2424</v>
      </c>
      <c r="H799" s="3" t="s">
        <v>2424</v>
      </c>
      <c r="I799" s="4">
        <v>1.0</v>
      </c>
      <c r="J799" s="4">
        <v>1.0</v>
      </c>
      <c r="K799" s="3"/>
      <c r="L799" s="3" t="s">
        <v>2425</v>
      </c>
      <c r="M799" s="3" t="s">
        <v>2426</v>
      </c>
      <c r="N799" s="3" t="s">
        <v>22</v>
      </c>
      <c r="O799" s="5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" t="s">
        <v>14</v>
      </c>
      <c r="B800" s="3" t="s">
        <v>2422</v>
      </c>
      <c r="C800" s="33" t="s">
        <v>3600</v>
      </c>
      <c r="D800" s="3" t="s">
        <v>2422</v>
      </c>
      <c r="E800" s="3" t="s">
        <v>2423</v>
      </c>
      <c r="F800" s="3" t="s">
        <v>2423</v>
      </c>
      <c r="G800" s="3" t="s">
        <v>387</v>
      </c>
      <c r="H800" s="3" t="s">
        <v>387</v>
      </c>
      <c r="I800" s="4">
        <v>2.0</v>
      </c>
      <c r="J800" s="4">
        <v>2.0</v>
      </c>
      <c r="K800" s="3"/>
      <c r="L800" s="3" t="s">
        <v>2425</v>
      </c>
      <c r="M800" s="3" t="s">
        <v>2426</v>
      </c>
      <c r="N800" s="3" t="s">
        <v>22</v>
      </c>
      <c r="O800" s="5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15" t="s">
        <v>14</v>
      </c>
      <c r="B801" s="15" t="s">
        <v>2427</v>
      </c>
      <c r="C801" s="33" t="s">
        <v>3592</v>
      </c>
      <c r="D801" s="15" t="s">
        <v>2428</v>
      </c>
      <c r="E801" s="15" t="s">
        <v>2429</v>
      </c>
      <c r="F801" s="15" t="s">
        <v>2430</v>
      </c>
      <c r="G801" s="15"/>
      <c r="H801" s="15"/>
      <c r="I801" s="18"/>
      <c r="J801" s="18"/>
      <c r="K801" s="15"/>
      <c r="L801" s="15" t="s">
        <v>2431</v>
      </c>
      <c r="M801" s="15" t="s">
        <v>2432</v>
      </c>
      <c r="N801" s="15" t="s">
        <v>22</v>
      </c>
      <c r="O801" s="15" t="s">
        <v>560</v>
      </c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3" t="s">
        <v>14</v>
      </c>
      <c r="B802" s="3" t="s">
        <v>2433</v>
      </c>
      <c r="C802" s="33" t="s">
        <v>3600</v>
      </c>
      <c r="D802" s="3" t="s">
        <v>2434</v>
      </c>
      <c r="E802" s="3" t="s">
        <v>2435</v>
      </c>
      <c r="F802" s="3" t="s">
        <v>2436</v>
      </c>
      <c r="G802" s="3" t="s">
        <v>361</v>
      </c>
      <c r="H802" s="3" t="s">
        <v>62</v>
      </c>
      <c r="I802" s="4">
        <v>1.0</v>
      </c>
      <c r="J802" s="4">
        <v>1.0</v>
      </c>
      <c r="K802" s="3" t="s">
        <v>80</v>
      </c>
      <c r="L802" s="3" t="s">
        <v>2437</v>
      </c>
      <c r="M802" s="3" t="s">
        <v>2438</v>
      </c>
      <c r="N802" s="3" t="s">
        <v>22</v>
      </c>
      <c r="O802" s="5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" t="s">
        <v>14</v>
      </c>
      <c r="B803" s="3" t="s">
        <v>2433</v>
      </c>
      <c r="C803" s="33" t="s">
        <v>3600</v>
      </c>
      <c r="D803" s="3" t="s">
        <v>2434</v>
      </c>
      <c r="E803" s="3" t="s">
        <v>2435</v>
      </c>
      <c r="F803" s="3" t="s">
        <v>2436</v>
      </c>
      <c r="G803" s="3" t="s">
        <v>36</v>
      </c>
      <c r="H803" s="3" t="s">
        <v>115</v>
      </c>
      <c r="I803" s="4" t="s">
        <v>36</v>
      </c>
      <c r="J803" s="4">
        <v>2.0</v>
      </c>
      <c r="K803" s="3"/>
      <c r="L803" s="3" t="s">
        <v>2437</v>
      </c>
      <c r="M803" s="3" t="s">
        <v>2438</v>
      </c>
      <c r="N803" s="3" t="s">
        <v>22</v>
      </c>
      <c r="O803" s="5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" t="s">
        <v>14</v>
      </c>
      <c r="B804" s="3" t="s">
        <v>2433</v>
      </c>
      <c r="C804" s="33" t="s">
        <v>3600</v>
      </c>
      <c r="D804" s="3" t="s">
        <v>2434</v>
      </c>
      <c r="E804" s="3" t="s">
        <v>2435</v>
      </c>
      <c r="F804" s="3" t="s">
        <v>2436</v>
      </c>
      <c r="G804" s="3" t="s">
        <v>784</v>
      </c>
      <c r="H804" s="3" t="s">
        <v>784</v>
      </c>
      <c r="I804" s="4">
        <v>2.0</v>
      </c>
      <c r="J804" s="4">
        <v>3.0</v>
      </c>
      <c r="K804" s="3"/>
      <c r="L804" s="3" t="s">
        <v>2437</v>
      </c>
      <c r="M804" s="3" t="s">
        <v>2438</v>
      </c>
      <c r="N804" s="3" t="s">
        <v>22</v>
      </c>
      <c r="O804" s="5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15" t="s">
        <v>14</v>
      </c>
      <c r="B805" s="15" t="s">
        <v>2439</v>
      </c>
      <c r="C805" s="36" t="s">
        <v>3598</v>
      </c>
      <c r="D805" s="15" t="s">
        <v>2440</v>
      </c>
      <c r="E805" s="15" t="s">
        <v>2441</v>
      </c>
      <c r="F805" s="15" t="s">
        <v>2442</v>
      </c>
      <c r="G805" s="15" t="s">
        <v>2443</v>
      </c>
      <c r="H805" s="15" t="s">
        <v>394</v>
      </c>
      <c r="I805" s="18">
        <v>1.0</v>
      </c>
      <c r="J805" s="18">
        <v>1.0</v>
      </c>
      <c r="K805" s="15" t="s">
        <v>80</v>
      </c>
      <c r="L805" s="15" t="s">
        <v>2444</v>
      </c>
      <c r="M805" s="15" t="s">
        <v>2445</v>
      </c>
      <c r="N805" s="15" t="s">
        <v>22</v>
      </c>
      <c r="O805" s="20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5" t="s">
        <v>14</v>
      </c>
      <c r="B806" s="15" t="s">
        <v>2439</v>
      </c>
      <c r="C806" s="36" t="s">
        <v>3598</v>
      </c>
      <c r="D806" s="15" t="s">
        <v>2440</v>
      </c>
      <c r="E806" s="15" t="s">
        <v>2441</v>
      </c>
      <c r="F806" s="15" t="s">
        <v>2442</v>
      </c>
      <c r="G806" s="15" t="s">
        <v>2443</v>
      </c>
      <c r="H806" s="15" t="s">
        <v>62</v>
      </c>
      <c r="I806" s="18">
        <v>2.0</v>
      </c>
      <c r="J806" s="18">
        <v>2.0</v>
      </c>
      <c r="K806" s="15"/>
      <c r="L806" s="15" t="s">
        <v>2444</v>
      </c>
      <c r="M806" s="15" t="s">
        <v>2445</v>
      </c>
      <c r="N806" s="15" t="s">
        <v>22</v>
      </c>
      <c r="O806" s="20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5" t="s">
        <v>14</v>
      </c>
      <c r="B807" s="15" t="s">
        <v>2439</v>
      </c>
      <c r="C807" s="36" t="s">
        <v>3598</v>
      </c>
      <c r="D807" s="15" t="s">
        <v>2440</v>
      </c>
      <c r="E807" s="15" t="s">
        <v>2441</v>
      </c>
      <c r="F807" s="15" t="s">
        <v>2442</v>
      </c>
      <c r="G807" s="15" t="s">
        <v>1118</v>
      </c>
      <c r="H807" s="15" t="s">
        <v>36</v>
      </c>
      <c r="I807" s="18">
        <v>3.0</v>
      </c>
      <c r="J807" s="18" t="s">
        <v>36</v>
      </c>
      <c r="K807" s="15"/>
      <c r="L807" s="15" t="s">
        <v>2444</v>
      </c>
      <c r="M807" s="15" t="s">
        <v>2445</v>
      </c>
      <c r="N807" s="15" t="s">
        <v>22</v>
      </c>
      <c r="O807" s="20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5" t="s">
        <v>14</v>
      </c>
      <c r="B808" s="15" t="s">
        <v>2439</v>
      </c>
      <c r="C808" s="36" t="s">
        <v>3598</v>
      </c>
      <c r="D808" s="15" t="s">
        <v>2440</v>
      </c>
      <c r="E808" s="15" t="s">
        <v>2441</v>
      </c>
      <c r="F808" s="15" t="s">
        <v>2442</v>
      </c>
      <c r="G808" s="15" t="s">
        <v>387</v>
      </c>
      <c r="H808" s="15" t="s">
        <v>387</v>
      </c>
      <c r="I808" s="18">
        <v>4.0</v>
      </c>
      <c r="J808" s="18">
        <v>3.0</v>
      </c>
      <c r="K808" s="15"/>
      <c r="L808" s="15" t="s">
        <v>2444</v>
      </c>
      <c r="M808" s="15" t="s">
        <v>2445</v>
      </c>
      <c r="N808" s="15" t="s">
        <v>22</v>
      </c>
      <c r="O808" s="20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5" t="s">
        <v>14</v>
      </c>
      <c r="B809" s="15" t="s">
        <v>2446</v>
      </c>
      <c r="C809" s="33" t="s">
        <v>3600</v>
      </c>
      <c r="D809" s="15" t="s">
        <v>684</v>
      </c>
      <c r="E809" s="15" t="s">
        <v>2447</v>
      </c>
      <c r="F809" s="15" t="s">
        <v>686</v>
      </c>
      <c r="G809" s="15"/>
      <c r="H809" s="15"/>
      <c r="I809" s="18"/>
      <c r="J809" s="18"/>
      <c r="K809" s="15"/>
      <c r="L809" s="15" t="s">
        <v>687</v>
      </c>
      <c r="M809" s="15" t="s">
        <v>2448</v>
      </c>
      <c r="N809" s="15" t="s">
        <v>22</v>
      </c>
      <c r="O809" s="15" t="s">
        <v>560</v>
      </c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3" t="s">
        <v>14</v>
      </c>
      <c r="B810" s="3" t="s">
        <v>2449</v>
      </c>
      <c r="C810" s="36" t="s">
        <v>3595</v>
      </c>
      <c r="D810" s="3" t="s">
        <v>2450</v>
      </c>
      <c r="E810" s="3" t="s">
        <v>2451</v>
      </c>
      <c r="F810" s="3" t="s">
        <v>2452</v>
      </c>
      <c r="G810" s="3" t="s">
        <v>2453</v>
      </c>
      <c r="H810" s="3" t="s">
        <v>2453</v>
      </c>
      <c r="I810" s="4">
        <v>1.0</v>
      </c>
      <c r="J810" s="4">
        <v>1.0</v>
      </c>
      <c r="K810" s="3"/>
      <c r="L810" s="3" t="s">
        <v>2454</v>
      </c>
      <c r="M810" s="3" t="s">
        <v>2455</v>
      </c>
      <c r="N810" s="3" t="s">
        <v>22</v>
      </c>
      <c r="O810" s="5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" t="s">
        <v>14</v>
      </c>
      <c r="B811" s="3" t="s">
        <v>2449</v>
      </c>
      <c r="C811" s="36" t="s">
        <v>3595</v>
      </c>
      <c r="D811" s="3" t="s">
        <v>2450</v>
      </c>
      <c r="E811" s="3" t="s">
        <v>2451</v>
      </c>
      <c r="F811" s="3" t="s">
        <v>2452</v>
      </c>
      <c r="G811" s="3" t="s">
        <v>370</v>
      </c>
      <c r="H811" s="3" t="s">
        <v>369</v>
      </c>
      <c r="I811" s="4">
        <v>2.0</v>
      </c>
      <c r="J811" s="4">
        <v>2.0</v>
      </c>
      <c r="K811" s="3"/>
      <c r="L811" s="3" t="s">
        <v>2454</v>
      </c>
      <c r="M811" s="3" t="s">
        <v>2455</v>
      </c>
      <c r="N811" s="3" t="s">
        <v>22</v>
      </c>
      <c r="O811" s="5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" t="s">
        <v>14</v>
      </c>
      <c r="B812" s="3" t="s">
        <v>2456</v>
      </c>
      <c r="C812" s="36" t="s">
        <v>3597</v>
      </c>
      <c r="D812" s="3" t="s">
        <v>2457</v>
      </c>
      <c r="E812" s="3" t="s">
        <v>2458</v>
      </c>
      <c r="F812" s="3" t="s">
        <v>2459</v>
      </c>
      <c r="G812" s="3" t="s">
        <v>2453</v>
      </c>
      <c r="H812" s="3" t="s">
        <v>143</v>
      </c>
      <c r="I812" s="4">
        <v>1.0</v>
      </c>
      <c r="J812" s="4">
        <v>1.0</v>
      </c>
      <c r="K812" s="3" t="s">
        <v>72</v>
      </c>
      <c r="L812" s="3" t="s">
        <v>2460</v>
      </c>
      <c r="M812" s="3" t="s">
        <v>2461</v>
      </c>
      <c r="N812" s="3" t="s">
        <v>22</v>
      </c>
      <c r="O812" s="5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" t="s">
        <v>14</v>
      </c>
      <c r="B813" s="3" t="s">
        <v>2456</v>
      </c>
      <c r="C813" s="36" t="s">
        <v>3597</v>
      </c>
      <c r="D813" s="3" t="s">
        <v>2457</v>
      </c>
      <c r="E813" s="3" t="s">
        <v>2458</v>
      </c>
      <c r="F813" s="3" t="s">
        <v>2459</v>
      </c>
      <c r="G813" s="3" t="s">
        <v>1868</v>
      </c>
      <c r="H813" s="3" t="s">
        <v>1868</v>
      </c>
      <c r="I813" s="4">
        <v>2.0</v>
      </c>
      <c r="J813" s="4">
        <v>2.0</v>
      </c>
      <c r="K813" s="3"/>
      <c r="L813" s="3" t="s">
        <v>2460</v>
      </c>
      <c r="M813" s="3" t="s">
        <v>2461</v>
      </c>
      <c r="N813" s="3" t="s">
        <v>22</v>
      </c>
      <c r="O813" s="5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" t="s">
        <v>14</v>
      </c>
      <c r="B814" s="3" t="s">
        <v>2456</v>
      </c>
      <c r="C814" s="36" t="s">
        <v>3597</v>
      </c>
      <c r="D814" s="3" t="s">
        <v>2457</v>
      </c>
      <c r="E814" s="3" t="s">
        <v>2458</v>
      </c>
      <c r="F814" s="3" t="s">
        <v>2459</v>
      </c>
      <c r="G814" s="3" t="s">
        <v>784</v>
      </c>
      <c r="H814" s="3" t="s">
        <v>784</v>
      </c>
      <c r="I814" s="4">
        <v>3.0</v>
      </c>
      <c r="J814" s="4">
        <v>3.0</v>
      </c>
      <c r="K814" s="3"/>
      <c r="L814" s="3" t="s">
        <v>2460</v>
      </c>
      <c r="M814" s="3" t="s">
        <v>2461</v>
      </c>
      <c r="N814" s="3" t="s">
        <v>22</v>
      </c>
      <c r="O814" s="5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" t="s">
        <v>14</v>
      </c>
      <c r="B815" s="3" t="s">
        <v>2462</v>
      </c>
      <c r="C815" s="33" t="s">
        <v>3600</v>
      </c>
      <c r="D815" s="3" t="s">
        <v>2463</v>
      </c>
      <c r="E815" s="3" t="s">
        <v>2464</v>
      </c>
      <c r="F815" s="3" t="s">
        <v>2465</v>
      </c>
      <c r="G815" s="3" t="s">
        <v>2466</v>
      </c>
      <c r="H815" s="3" t="s">
        <v>172</v>
      </c>
      <c r="I815" s="4">
        <v>1.0</v>
      </c>
      <c r="J815" s="4">
        <v>1.0</v>
      </c>
      <c r="K815" s="3" t="s">
        <v>80</v>
      </c>
      <c r="L815" s="3" t="s">
        <v>2467</v>
      </c>
      <c r="M815" s="3" t="s">
        <v>2468</v>
      </c>
      <c r="N815" s="3" t="s">
        <v>22</v>
      </c>
      <c r="O815" s="5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" t="s">
        <v>14</v>
      </c>
      <c r="B816" s="3" t="s">
        <v>2462</v>
      </c>
      <c r="C816" s="33" t="s">
        <v>3600</v>
      </c>
      <c r="D816" s="3" t="s">
        <v>2463</v>
      </c>
      <c r="E816" s="3" t="s">
        <v>2464</v>
      </c>
      <c r="F816" s="3" t="s">
        <v>2465</v>
      </c>
      <c r="G816" s="3" t="s">
        <v>36</v>
      </c>
      <c r="H816" s="3" t="s">
        <v>2061</v>
      </c>
      <c r="I816" s="4" t="s">
        <v>36</v>
      </c>
      <c r="J816" s="4">
        <v>2.0</v>
      </c>
      <c r="K816" s="3"/>
      <c r="L816" s="3" t="s">
        <v>2467</v>
      </c>
      <c r="M816" s="3" t="s">
        <v>2468</v>
      </c>
      <c r="N816" s="3" t="s">
        <v>22</v>
      </c>
      <c r="O816" s="5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" t="s">
        <v>14</v>
      </c>
      <c r="B817" s="3" t="s">
        <v>2462</v>
      </c>
      <c r="C817" s="33" t="s">
        <v>3600</v>
      </c>
      <c r="D817" s="3" t="s">
        <v>2463</v>
      </c>
      <c r="E817" s="3" t="s">
        <v>2464</v>
      </c>
      <c r="F817" s="3" t="s">
        <v>2465</v>
      </c>
      <c r="G817" s="3" t="s">
        <v>784</v>
      </c>
      <c r="H817" s="3" t="s">
        <v>784</v>
      </c>
      <c r="I817" s="4">
        <v>2.0</v>
      </c>
      <c r="J817" s="4">
        <v>3.0</v>
      </c>
      <c r="K817" s="3"/>
      <c r="L817" s="3" t="s">
        <v>2467</v>
      </c>
      <c r="M817" s="3" t="s">
        <v>2468</v>
      </c>
      <c r="N817" s="3" t="s">
        <v>22</v>
      </c>
      <c r="O817" s="5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" t="s">
        <v>14</v>
      </c>
      <c r="B818" s="3" t="s">
        <v>2469</v>
      </c>
      <c r="C818" s="36" t="s">
        <v>3593</v>
      </c>
      <c r="D818" s="3" t="s">
        <v>2470</v>
      </c>
      <c r="E818" s="3" t="s">
        <v>2471</v>
      </c>
      <c r="F818" s="3" t="s">
        <v>2472</v>
      </c>
      <c r="G818" s="3" t="s">
        <v>128</v>
      </c>
      <c r="H818" s="17" t="s">
        <v>36</v>
      </c>
      <c r="I818" s="4">
        <v>1.0</v>
      </c>
      <c r="J818" s="4" t="s">
        <v>36</v>
      </c>
      <c r="K818" s="3"/>
      <c r="L818" s="3" t="s">
        <v>2473</v>
      </c>
      <c r="M818" s="3" t="s">
        <v>2474</v>
      </c>
      <c r="N818" s="3" t="s">
        <v>22</v>
      </c>
      <c r="O818" s="5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" t="s">
        <v>14</v>
      </c>
      <c r="B819" s="3" t="s">
        <v>2469</v>
      </c>
      <c r="C819" s="36" t="s">
        <v>3593</v>
      </c>
      <c r="D819" s="3" t="s">
        <v>2470</v>
      </c>
      <c r="E819" s="3" t="s">
        <v>2471</v>
      </c>
      <c r="F819" s="3" t="s">
        <v>2472</v>
      </c>
      <c r="G819" s="3" t="s">
        <v>878</v>
      </c>
      <c r="H819" s="3" t="s">
        <v>2475</v>
      </c>
      <c r="I819" s="4">
        <v>2.0</v>
      </c>
      <c r="J819" s="4">
        <v>1.0</v>
      </c>
      <c r="K819" s="3"/>
      <c r="L819" s="3" t="s">
        <v>2473</v>
      </c>
      <c r="M819" s="3" t="s">
        <v>2474</v>
      </c>
      <c r="N819" s="3" t="s">
        <v>22</v>
      </c>
      <c r="O819" s="5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" t="s">
        <v>14</v>
      </c>
      <c r="B820" s="3" t="s">
        <v>2469</v>
      </c>
      <c r="C820" s="36" t="s">
        <v>3593</v>
      </c>
      <c r="D820" s="3" t="s">
        <v>2470</v>
      </c>
      <c r="E820" s="3" t="s">
        <v>2471</v>
      </c>
      <c r="F820" s="3" t="s">
        <v>2472</v>
      </c>
      <c r="G820" s="3" t="s">
        <v>2227</v>
      </c>
      <c r="H820" s="3" t="s">
        <v>387</v>
      </c>
      <c r="I820" s="4">
        <v>3.0</v>
      </c>
      <c r="J820" s="4">
        <v>2.0</v>
      </c>
      <c r="K820" s="3"/>
      <c r="L820" s="3" t="s">
        <v>2473</v>
      </c>
      <c r="M820" s="3" t="s">
        <v>2474</v>
      </c>
      <c r="N820" s="3" t="s">
        <v>22</v>
      </c>
      <c r="O820" s="5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" t="s">
        <v>14</v>
      </c>
      <c r="B821" s="3" t="s">
        <v>2476</v>
      </c>
      <c r="C821" s="33" t="s">
        <v>3600</v>
      </c>
      <c r="D821" s="3" t="s">
        <v>2476</v>
      </c>
      <c r="E821" s="3" t="s">
        <v>2477</v>
      </c>
      <c r="F821" s="3" t="s">
        <v>2477</v>
      </c>
      <c r="G821" s="3" t="s">
        <v>2478</v>
      </c>
      <c r="H821" s="3" t="s">
        <v>2478</v>
      </c>
      <c r="I821" s="4">
        <v>1.0</v>
      </c>
      <c r="J821" s="4">
        <v>1.0</v>
      </c>
      <c r="K821" s="3"/>
      <c r="L821" s="3" t="s">
        <v>2479</v>
      </c>
      <c r="M821" s="3" t="s">
        <v>2480</v>
      </c>
      <c r="N821" s="3" t="s">
        <v>22</v>
      </c>
      <c r="O821" s="5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" t="s">
        <v>14</v>
      </c>
      <c r="B822" s="3" t="s">
        <v>2476</v>
      </c>
      <c r="C822" s="33" t="s">
        <v>3600</v>
      </c>
      <c r="D822" s="3" t="s">
        <v>2476</v>
      </c>
      <c r="E822" s="3" t="s">
        <v>2477</v>
      </c>
      <c r="F822" s="3" t="s">
        <v>2477</v>
      </c>
      <c r="G822" s="3" t="s">
        <v>23</v>
      </c>
      <c r="H822" s="3" t="s">
        <v>23</v>
      </c>
      <c r="I822" s="4">
        <v>2.0</v>
      </c>
      <c r="J822" s="4">
        <v>2.0</v>
      </c>
      <c r="K822" s="3"/>
      <c r="L822" s="3" t="s">
        <v>2479</v>
      </c>
      <c r="M822" s="3" t="s">
        <v>2480</v>
      </c>
      <c r="N822" s="3" t="s">
        <v>22</v>
      </c>
      <c r="O822" s="5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" t="s">
        <v>14</v>
      </c>
      <c r="B823" s="3" t="s">
        <v>2481</v>
      </c>
      <c r="C823" s="33" t="s">
        <v>3600</v>
      </c>
      <c r="D823" s="3" t="s">
        <v>2482</v>
      </c>
      <c r="E823" s="3" t="s">
        <v>2483</v>
      </c>
      <c r="F823" s="3" t="s">
        <v>2484</v>
      </c>
      <c r="G823" s="3" t="s">
        <v>1146</v>
      </c>
      <c r="H823" s="3" t="s">
        <v>2485</v>
      </c>
      <c r="I823" s="4">
        <v>1.0</v>
      </c>
      <c r="J823" s="4">
        <v>1.0</v>
      </c>
      <c r="K823" s="3"/>
      <c r="L823" s="3" t="s">
        <v>2486</v>
      </c>
      <c r="M823" s="3" t="s">
        <v>2487</v>
      </c>
      <c r="N823" s="3" t="s">
        <v>22</v>
      </c>
      <c r="O823" s="5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" t="s">
        <v>14</v>
      </c>
      <c r="B824" s="3" t="s">
        <v>2481</v>
      </c>
      <c r="C824" s="33" t="s">
        <v>3600</v>
      </c>
      <c r="D824" s="3" t="s">
        <v>2482</v>
      </c>
      <c r="E824" s="3" t="s">
        <v>2483</v>
      </c>
      <c r="F824" s="3" t="s">
        <v>2484</v>
      </c>
      <c r="G824" s="3" t="s">
        <v>425</v>
      </c>
      <c r="H824" s="3" t="s">
        <v>425</v>
      </c>
      <c r="I824" s="4">
        <v>2.0</v>
      </c>
      <c r="J824" s="4">
        <v>2.0</v>
      </c>
      <c r="K824" s="3"/>
      <c r="L824" s="3" t="s">
        <v>2486</v>
      </c>
      <c r="M824" s="3" t="s">
        <v>2487</v>
      </c>
      <c r="N824" s="3" t="s">
        <v>22</v>
      </c>
      <c r="O824" s="5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" t="s">
        <v>14</v>
      </c>
      <c r="B825" s="3" t="s">
        <v>2488</v>
      </c>
      <c r="C825" s="33" t="s">
        <v>3606</v>
      </c>
      <c r="D825" s="3" t="s">
        <v>2489</v>
      </c>
      <c r="E825" s="3" t="s">
        <v>2490</v>
      </c>
      <c r="F825" s="3" t="s">
        <v>2491</v>
      </c>
      <c r="G825" s="3" t="s">
        <v>2492</v>
      </c>
      <c r="H825" s="3" t="s">
        <v>2493</v>
      </c>
      <c r="I825" s="4">
        <v>1.0</v>
      </c>
      <c r="J825" s="4">
        <v>1.0</v>
      </c>
      <c r="K825" s="3"/>
      <c r="L825" s="3" t="s">
        <v>2494</v>
      </c>
      <c r="M825" s="3" t="s">
        <v>2495</v>
      </c>
      <c r="N825" s="3" t="s">
        <v>22</v>
      </c>
      <c r="O825" s="5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" t="s">
        <v>14</v>
      </c>
      <c r="B826" s="3" t="s">
        <v>2488</v>
      </c>
      <c r="C826" s="33" t="s">
        <v>3606</v>
      </c>
      <c r="D826" s="3" t="s">
        <v>2489</v>
      </c>
      <c r="E826" s="3" t="s">
        <v>2490</v>
      </c>
      <c r="F826" s="3" t="s">
        <v>2491</v>
      </c>
      <c r="G826" s="3" t="s">
        <v>425</v>
      </c>
      <c r="H826" s="3" t="s">
        <v>425</v>
      </c>
      <c r="I826" s="4">
        <v>2.0</v>
      </c>
      <c r="J826" s="4">
        <v>2.0</v>
      </c>
      <c r="K826" s="3"/>
      <c r="L826" s="3" t="s">
        <v>2494</v>
      </c>
      <c r="M826" s="3" t="s">
        <v>2495</v>
      </c>
      <c r="N826" s="3" t="s">
        <v>22</v>
      </c>
      <c r="O826" s="5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" t="s">
        <v>14</v>
      </c>
      <c r="B827" s="3" t="s">
        <v>2496</v>
      </c>
      <c r="C827" s="33" t="s">
        <v>3600</v>
      </c>
      <c r="D827" s="3" t="s">
        <v>2497</v>
      </c>
      <c r="E827" s="3" t="s">
        <v>2498</v>
      </c>
      <c r="F827" s="3" t="s">
        <v>2499</v>
      </c>
      <c r="G827" s="3" t="s">
        <v>2500</v>
      </c>
      <c r="H827" s="3" t="s">
        <v>2501</v>
      </c>
      <c r="I827" s="4">
        <v>1.0</v>
      </c>
      <c r="J827" s="4">
        <v>1.0</v>
      </c>
      <c r="K827" s="3"/>
      <c r="L827" s="3" t="s">
        <v>2502</v>
      </c>
      <c r="M827" s="3" t="s">
        <v>2503</v>
      </c>
      <c r="N827" s="3" t="s">
        <v>22</v>
      </c>
      <c r="O827" s="5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" t="s">
        <v>14</v>
      </c>
      <c r="B828" s="3" t="s">
        <v>2496</v>
      </c>
      <c r="C828" s="33" t="s">
        <v>3600</v>
      </c>
      <c r="D828" s="3" t="s">
        <v>2497</v>
      </c>
      <c r="E828" s="3" t="s">
        <v>2498</v>
      </c>
      <c r="F828" s="3" t="s">
        <v>2499</v>
      </c>
      <c r="G828" s="3" t="s">
        <v>55</v>
      </c>
      <c r="H828" s="3" t="s">
        <v>56</v>
      </c>
      <c r="I828" s="4">
        <v>2.0</v>
      </c>
      <c r="J828" s="4">
        <v>2.0</v>
      </c>
      <c r="K828" s="3"/>
      <c r="L828" s="3" t="s">
        <v>2502</v>
      </c>
      <c r="M828" s="3" t="s">
        <v>2503</v>
      </c>
      <c r="N828" s="3" t="s">
        <v>22</v>
      </c>
      <c r="O828" s="5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" t="s">
        <v>14</v>
      </c>
      <c r="B829" s="3" t="s">
        <v>2504</v>
      </c>
      <c r="C829" s="36" t="s">
        <v>3593</v>
      </c>
      <c r="D829" s="3" t="s">
        <v>2505</v>
      </c>
      <c r="E829" s="3" t="s">
        <v>2506</v>
      </c>
      <c r="F829" s="3" t="s">
        <v>2507</v>
      </c>
      <c r="G829" s="3" t="s">
        <v>128</v>
      </c>
      <c r="H829" s="17" t="s">
        <v>36</v>
      </c>
      <c r="I829" s="4">
        <v>1.0</v>
      </c>
      <c r="J829" s="4" t="s">
        <v>36</v>
      </c>
      <c r="K829" s="3"/>
      <c r="L829" s="3" t="s">
        <v>2508</v>
      </c>
      <c r="M829" s="3" t="s">
        <v>2509</v>
      </c>
      <c r="N829" s="3" t="s">
        <v>22</v>
      </c>
      <c r="O829" s="5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" t="s">
        <v>14</v>
      </c>
      <c r="B830" s="3" t="s">
        <v>2504</v>
      </c>
      <c r="C830" s="36" t="s">
        <v>3593</v>
      </c>
      <c r="D830" s="3" t="s">
        <v>2505</v>
      </c>
      <c r="E830" s="3" t="s">
        <v>2506</v>
      </c>
      <c r="F830" s="3" t="s">
        <v>2507</v>
      </c>
      <c r="G830" s="3" t="s">
        <v>1855</v>
      </c>
      <c r="H830" s="3" t="s">
        <v>1855</v>
      </c>
      <c r="I830" s="4">
        <v>2.0</v>
      </c>
      <c r="J830" s="4">
        <v>1.0</v>
      </c>
      <c r="K830" s="3"/>
      <c r="L830" s="3" t="s">
        <v>2508</v>
      </c>
      <c r="M830" s="3" t="s">
        <v>2509</v>
      </c>
      <c r="N830" s="3" t="s">
        <v>22</v>
      </c>
      <c r="O830" s="5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" t="s">
        <v>14</v>
      </c>
      <c r="B831" s="3" t="s">
        <v>2504</v>
      </c>
      <c r="C831" s="36" t="s">
        <v>3593</v>
      </c>
      <c r="D831" s="3" t="s">
        <v>2505</v>
      </c>
      <c r="E831" s="3" t="s">
        <v>2506</v>
      </c>
      <c r="F831" s="3" t="s">
        <v>2507</v>
      </c>
      <c r="G831" s="3" t="s">
        <v>387</v>
      </c>
      <c r="H831" s="3" t="s">
        <v>387</v>
      </c>
      <c r="I831" s="4">
        <v>3.0</v>
      </c>
      <c r="J831" s="4">
        <v>2.0</v>
      </c>
      <c r="K831" s="3"/>
      <c r="L831" s="3" t="s">
        <v>2508</v>
      </c>
      <c r="M831" s="3" t="s">
        <v>2509</v>
      </c>
      <c r="N831" s="3" t="s">
        <v>22</v>
      </c>
      <c r="O831" s="5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15" t="s">
        <v>14</v>
      </c>
      <c r="B832" s="15" t="s">
        <v>2510</v>
      </c>
      <c r="C832" s="36" t="s">
        <v>3593</v>
      </c>
      <c r="D832" s="15" t="s">
        <v>2511</v>
      </c>
      <c r="E832" s="15" t="s">
        <v>2512</v>
      </c>
      <c r="F832" s="15" t="s">
        <v>2513</v>
      </c>
      <c r="G832" s="15" t="s">
        <v>128</v>
      </c>
      <c r="H832" s="15" t="s">
        <v>36</v>
      </c>
      <c r="I832" s="18">
        <v>1.0</v>
      </c>
      <c r="J832" s="18" t="s">
        <v>36</v>
      </c>
      <c r="K832" s="15"/>
      <c r="L832" s="15" t="s">
        <v>2514</v>
      </c>
      <c r="M832" s="15" t="s">
        <v>2515</v>
      </c>
      <c r="N832" s="15" t="s">
        <v>22</v>
      </c>
      <c r="O832" s="20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5" t="s">
        <v>14</v>
      </c>
      <c r="B833" s="15" t="s">
        <v>2510</v>
      </c>
      <c r="C833" s="36" t="s">
        <v>3593</v>
      </c>
      <c r="D833" s="15" t="s">
        <v>2511</v>
      </c>
      <c r="E833" s="15" t="s">
        <v>2512</v>
      </c>
      <c r="F833" s="15" t="s">
        <v>2513</v>
      </c>
      <c r="G833" s="15" t="s">
        <v>629</v>
      </c>
      <c r="H833" s="15" t="s">
        <v>629</v>
      </c>
      <c r="I833" s="18">
        <v>2.0</v>
      </c>
      <c r="J833" s="18">
        <v>1.0</v>
      </c>
      <c r="K833" s="15"/>
      <c r="L833" s="15" t="s">
        <v>2514</v>
      </c>
      <c r="M833" s="15" t="s">
        <v>2515</v>
      </c>
      <c r="N833" s="15" t="s">
        <v>22</v>
      </c>
      <c r="O833" s="20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5" t="s">
        <v>14</v>
      </c>
      <c r="B834" s="15" t="s">
        <v>2510</v>
      </c>
      <c r="C834" s="36" t="s">
        <v>3593</v>
      </c>
      <c r="D834" s="15" t="s">
        <v>2511</v>
      </c>
      <c r="E834" s="15" t="s">
        <v>2512</v>
      </c>
      <c r="F834" s="15" t="s">
        <v>2513</v>
      </c>
      <c r="G834" s="15" t="s">
        <v>98</v>
      </c>
      <c r="H834" s="15" t="s">
        <v>98</v>
      </c>
      <c r="I834" s="18">
        <v>3.0</v>
      </c>
      <c r="J834" s="18">
        <v>2.0</v>
      </c>
      <c r="K834" s="15"/>
      <c r="L834" s="15" t="s">
        <v>2514</v>
      </c>
      <c r="M834" s="15" t="s">
        <v>2515</v>
      </c>
      <c r="N834" s="15" t="s">
        <v>22</v>
      </c>
      <c r="O834" s="20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5" t="s">
        <v>14</v>
      </c>
      <c r="B835" s="15" t="s">
        <v>2516</v>
      </c>
      <c r="C835" s="33" t="s">
        <v>3600</v>
      </c>
      <c r="D835" s="15" t="s">
        <v>2457</v>
      </c>
      <c r="E835" s="15" t="s">
        <v>2517</v>
      </c>
      <c r="F835" s="15" t="s">
        <v>2459</v>
      </c>
      <c r="G835" s="15"/>
      <c r="H835" s="15"/>
      <c r="I835" s="18"/>
      <c r="J835" s="18"/>
      <c r="K835" s="15"/>
      <c r="L835" s="15" t="s">
        <v>2460</v>
      </c>
      <c r="M835" s="15" t="s">
        <v>2461</v>
      </c>
      <c r="N835" s="15" t="s">
        <v>22</v>
      </c>
      <c r="O835" s="15" t="s">
        <v>560</v>
      </c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3" t="s">
        <v>14</v>
      </c>
      <c r="B836" s="3" t="s">
        <v>2518</v>
      </c>
      <c r="C836" s="33" t="s">
        <v>3600</v>
      </c>
      <c r="D836" s="3" t="s">
        <v>2519</v>
      </c>
      <c r="E836" s="3" t="s">
        <v>2520</v>
      </c>
      <c r="F836" s="3" t="s">
        <v>2521</v>
      </c>
      <c r="G836" s="3" t="s">
        <v>353</v>
      </c>
      <c r="H836" s="3" t="s">
        <v>2522</v>
      </c>
      <c r="I836" s="4">
        <v>1.0</v>
      </c>
      <c r="J836" s="4">
        <v>1.0</v>
      </c>
      <c r="K836" s="3"/>
      <c r="L836" s="3" t="s">
        <v>2523</v>
      </c>
      <c r="M836" s="3" t="s">
        <v>74</v>
      </c>
      <c r="N836" s="3" t="s">
        <v>22</v>
      </c>
      <c r="O836" s="5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" t="s">
        <v>14</v>
      </c>
      <c r="B837" s="3" t="s">
        <v>2518</v>
      </c>
      <c r="C837" s="33" t="s">
        <v>3600</v>
      </c>
      <c r="D837" s="3" t="s">
        <v>2519</v>
      </c>
      <c r="E837" s="3" t="s">
        <v>2520</v>
      </c>
      <c r="F837" s="3" t="s">
        <v>2521</v>
      </c>
      <c r="G837" s="3" t="s">
        <v>2227</v>
      </c>
      <c r="H837" s="3" t="s">
        <v>101</v>
      </c>
      <c r="I837" s="4">
        <v>2.0</v>
      </c>
      <c r="J837" s="4">
        <v>2.0</v>
      </c>
      <c r="K837" s="3"/>
      <c r="L837" s="3" t="s">
        <v>2523</v>
      </c>
      <c r="M837" s="3" t="s">
        <v>74</v>
      </c>
      <c r="N837" s="3" t="s">
        <v>22</v>
      </c>
      <c r="O837" s="5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15" t="s">
        <v>14</v>
      </c>
      <c r="B838" s="15" t="s">
        <v>2524</v>
      </c>
      <c r="C838" s="36" t="s">
        <v>3626</v>
      </c>
      <c r="D838" s="15" t="s">
        <v>2525</v>
      </c>
      <c r="E838" s="15" t="s">
        <v>2526</v>
      </c>
      <c r="F838" s="15" t="s">
        <v>2527</v>
      </c>
      <c r="G838" s="15" t="s">
        <v>108</v>
      </c>
      <c r="H838" s="15" t="s">
        <v>175</v>
      </c>
      <c r="I838" s="18">
        <v>1.0</v>
      </c>
      <c r="J838" s="18">
        <v>1.0</v>
      </c>
      <c r="K838" s="15"/>
      <c r="L838" s="15" t="s">
        <v>2528</v>
      </c>
      <c r="M838" s="15" t="s">
        <v>2529</v>
      </c>
      <c r="N838" s="15" t="s">
        <v>22</v>
      </c>
      <c r="O838" s="20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5" t="s">
        <v>14</v>
      </c>
      <c r="B839" s="15" t="s">
        <v>2524</v>
      </c>
      <c r="C839" s="36" t="s">
        <v>3626</v>
      </c>
      <c r="D839" s="15" t="s">
        <v>2525</v>
      </c>
      <c r="E839" s="15" t="s">
        <v>2526</v>
      </c>
      <c r="F839" s="15" t="s">
        <v>2527</v>
      </c>
      <c r="G839" s="15" t="s">
        <v>690</v>
      </c>
      <c r="H839" s="15" t="s">
        <v>690</v>
      </c>
      <c r="I839" s="18">
        <v>2.0</v>
      </c>
      <c r="J839" s="18">
        <v>2.0</v>
      </c>
      <c r="K839" s="15"/>
      <c r="L839" s="15" t="s">
        <v>2528</v>
      </c>
      <c r="M839" s="15" t="s">
        <v>2529</v>
      </c>
      <c r="N839" s="15" t="s">
        <v>22</v>
      </c>
      <c r="O839" s="20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5" t="s">
        <v>14</v>
      </c>
      <c r="B840" s="15" t="s">
        <v>2530</v>
      </c>
      <c r="C840" s="33" t="s">
        <v>3600</v>
      </c>
      <c r="D840" s="15" t="s">
        <v>2531</v>
      </c>
      <c r="E840" s="15" t="s">
        <v>2532</v>
      </c>
      <c r="F840" s="15" t="s">
        <v>2533</v>
      </c>
      <c r="G840" s="15"/>
      <c r="H840" s="15"/>
      <c r="I840" s="18"/>
      <c r="J840" s="18"/>
      <c r="K840" s="15"/>
      <c r="L840" s="15" t="s">
        <v>2534</v>
      </c>
      <c r="M840" s="15" t="s">
        <v>2529</v>
      </c>
      <c r="N840" s="15" t="s">
        <v>22</v>
      </c>
      <c r="O840" s="15" t="s">
        <v>560</v>
      </c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3" t="s">
        <v>14</v>
      </c>
      <c r="B841" s="3" t="s">
        <v>2535</v>
      </c>
      <c r="C841" s="36" t="s">
        <v>3597</v>
      </c>
      <c r="D841" s="3" t="s">
        <v>2536</v>
      </c>
      <c r="E841" s="3" t="s">
        <v>2537</v>
      </c>
      <c r="F841" s="3" t="s">
        <v>2538</v>
      </c>
      <c r="G841" s="3" t="s">
        <v>425</v>
      </c>
      <c r="H841" s="3" t="s">
        <v>1393</v>
      </c>
      <c r="I841" s="4">
        <v>1.0</v>
      </c>
      <c r="J841" s="4">
        <v>1.0</v>
      </c>
      <c r="K841" s="3"/>
      <c r="L841" s="3" t="s">
        <v>2539</v>
      </c>
      <c r="M841" s="3" t="s">
        <v>2540</v>
      </c>
      <c r="N841" s="3" t="s">
        <v>22</v>
      </c>
      <c r="O841" s="5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" t="s">
        <v>14</v>
      </c>
      <c r="B842" s="3" t="s">
        <v>2535</v>
      </c>
      <c r="C842" s="36" t="s">
        <v>3597</v>
      </c>
      <c r="D842" s="3" t="s">
        <v>2536</v>
      </c>
      <c r="E842" s="3" t="s">
        <v>2537</v>
      </c>
      <c r="F842" s="3" t="s">
        <v>2538</v>
      </c>
      <c r="G842" s="3" t="s">
        <v>1396</v>
      </c>
      <c r="H842" s="3" t="s">
        <v>1396</v>
      </c>
      <c r="I842" s="4">
        <v>2.0</v>
      </c>
      <c r="J842" s="4">
        <v>2.0</v>
      </c>
      <c r="K842" s="3"/>
      <c r="L842" s="3" t="s">
        <v>2539</v>
      </c>
      <c r="M842" s="3" t="s">
        <v>2540</v>
      </c>
      <c r="N842" s="3" t="s">
        <v>22</v>
      </c>
      <c r="O842" s="5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" t="s">
        <v>14</v>
      </c>
      <c r="B843" s="3" t="s">
        <v>2535</v>
      </c>
      <c r="C843" s="36" t="s">
        <v>3597</v>
      </c>
      <c r="D843" s="3" t="s">
        <v>2536</v>
      </c>
      <c r="E843" s="3" t="s">
        <v>2537</v>
      </c>
      <c r="F843" s="3" t="s">
        <v>2538</v>
      </c>
      <c r="G843" s="3" t="s">
        <v>387</v>
      </c>
      <c r="H843" s="3" t="s">
        <v>387</v>
      </c>
      <c r="I843" s="4">
        <v>3.0</v>
      </c>
      <c r="J843" s="4">
        <v>3.0</v>
      </c>
      <c r="K843" s="3"/>
      <c r="L843" s="3" t="s">
        <v>2539</v>
      </c>
      <c r="M843" s="3" t="s">
        <v>2540</v>
      </c>
      <c r="N843" s="3" t="s">
        <v>22</v>
      </c>
      <c r="O843" s="5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" t="s">
        <v>14</v>
      </c>
      <c r="B844" s="3" t="s">
        <v>2541</v>
      </c>
      <c r="C844" s="33" t="s">
        <v>3600</v>
      </c>
      <c r="D844" s="3" t="s">
        <v>2542</v>
      </c>
      <c r="E844" s="3" t="s">
        <v>2543</v>
      </c>
      <c r="F844" s="3" t="s">
        <v>2544</v>
      </c>
      <c r="G844" s="3" t="s">
        <v>961</v>
      </c>
      <c r="H844" s="3" t="s">
        <v>2545</v>
      </c>
      <c r="I844" s="4">
        <v>1.0</v>
      </c>
      <c r="J844" s="4">
        <v>1.0</v>
      </c>
      <c r="K844" s="3"/>
      <c r="L844" s="3" t="s">
        <v>2546</v>
      </c>
      <c r="M844" s="3" t="s">
        <v>2547</v>
      </c>
      <c r="N844" s="3" t="s">
        <v>22</v>
      </c>
      <c r="O844" s="5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" t="s">
        <v>14</v>
      </c>
      <c r="B845" s="3" t="s">
        <v>2541</v>
      </c>
      <c r="C845" s="33" t="s">
        <v>3600</v>
      </c>
      <c r="D845" s="3" t="s">
        <v>2542</v>
      </c>
      <c r="E845" s="3" t="s">
        <v>2543</v>
      </c>
      <c r="F845" s="3" t="s">
        <v>2544</v>
      </c>
      <c r="G845" s="3" t="s">
        <v>784</v>
      </c>
      <c r="H845" s="3" t="s">
        <v>784</v>
      </c>
      <c r="I845" s="4">
        <v>2.0</v>
      </c>
      <c r="J845" s="4">
        <v>2.0</v>
      </c>
      <c r="K845" s="3"/>
      <c r="L845" s="3" t="s">
        <v>2546</v>
      </c>
      <c r="M845" s="3" t="s">
        <v>2547</v>
      </c>
      <c r="N845" s="3" t="s">
        <v>22</v>
      </c>
      <c r="O845" s="5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" t="s">
        <v>14</v>
      </c>
      <c r="B846" s="3" t="s">
        <v>2548</v>
      </c>
      <c r="C846" s="36" t="s">
        <v>3611</v>
      </c>
      <c r="D846" s="3" t="s">
        <v>2549</v>
      </c>
      <c r="E846" s="3" t="s">
        <v>2550</v>
      </c>
      <c r="F846" s="3" t="s">
        <v>2549</v>
      </c>
      <c r="G846" s="3" t="s">
        <v>128</v>
      </c>
      <c r="H846" s="17" t="s">
        <v>36</v>
      </c>
      <c r="I846" s="4">
        <v>1.0</v>
      </c>
      <c r="J846" s="4" t="s">
        <v>36</v>
      </c>
      <c r="K846" s="3"/>
      <c r="L846" s="3" t="s">
        <v>2551</v>
      </c>
      <c r="M846" s="3" t="s">
        <v>2552</v>
      </c>
      <c r="N846" s="3" t="s">
        <v>22</v>
      </c>
      <c r="O846" s="5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" t="s">
        <v>14</v>
      </c>
      <c r="B847" s="3" t="s">
        <v>2548</v>
      </c>
      <c r="C847" s="36" t="s">
        <v>3611</v>
      </c>
      <c r="D847" s="3" t="s">
        <v>2549</v>
      </c>
      <c r="E847" s="3" t="s">
        <v>2550</v>
      </c>
      <c r="F847" s="3" t="s">
        <v>2549</v>
      </c>
      <c r="G847" s="3" t="s">
        <v>425</v>
      </c>
      <c r="H847" s="3" t="s">
        <v>2549</v>
      </c>
      <c r="I847" s="4">
        <v>2.0</v>
      </c>
      <c r="J847" s="4">
        <v>1.0</v>
      </c>
      <c r="K847" s="3"/>
      <c r="L847" s="3" t="s">
        <v>2551</v>
      </c>
      <c r="M847" s="3" t="s">
        <v>2552</v>
      </c>
      <c r="N847" s="3" t="s">
        <v>22</v>
      </c>
      <c r="O847" s="5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" t="s">
        <v>14</v>
      </c>
      <c r="B848" s="3" t="s">
        <v>2548</v>
      </c>
      <c r="C848" s="36" t="s">
        <v>3611</v>
      </c>
      <c r="D848" s="3" t="s">
        <v>2549</v>
      </c>
      <c r="E848" s="3" t="s">
        <v>2550</v>
      </c>
      <c r="F848" s="3" t="s">
        <v>2549</v>
      </c>
      <c r="G848" s="3" t="s">
        <v>2553</v>
      </c>
      <c r="H848" s="3" t="s">
        <v>36</v>
      </c>
      <c r="I848" s="4">
        <v>3.0</v>
      </c>
      <c r="J848" s="4" t="s">
        <v>36</v>
      </c>
      <c r="K848" s="3"/>
      <c r="L848" s="3" t="s">
        <v>2551</v>
      </c>
      <c r="M848" s="3" t="s">
        <v>2552</v>
      </c>
      <c r="N848" s="3" t="s">
        <v>22</v>
      </c>
      <c r="O848" s="5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" t="s">
        <v>14</v>
      </c>
      <c r="B849" s="3" t="s">
        <v>2554</v>
      </c>
      <c r="C849" s="36" t="s">
        <v>3593</v>
      </c>
      <c r="D849" s="3" t="s">
        <v>2555</v>
      </c>
      <c r="E849" s="3" t="s">
        <v>2556</v>
      </c>
      <c r="F849" s="3" t="s">
        <v>2557</v>
      </c>
      <c r="G849" s="3" t="s">
        <v>128</v>
      </c>
      <c r="H849" s="3" t="s">
        <v>301</v>
      </c>
      <c r="I849" s="4">
        <v>1.0</v>
      </c>
      <c r="J849" s="4">
        <v>1.0</v>
      </c>
      <c r="K849" s="3"/>
      <c r="L849" s="3" t="s">
        <v>2558</v>
      </c>
      <c r="M849" s="3" t="s">
        <v>2559</v>
      </c>
      <c r="N849" s="3" t="s">
        <v>22</v>
      </c>
      <c r="O849" s="5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" t="s">
        <v>14</v>
      </c>
      <c r="B850" s="3" t="s">
        <v>2554</v>
      </c>
      <c r="C850" s="36" t="s">
        <v>3593</v>
      </c>
      <c r="D850" s="3" t="s">
        <v>2555</v>
      </c>
      <c r="E850" s="3" t="s">
        <v>2556</v>
      </c>
      <c r="F850" s="3" t="s">
        <v>2557</v>
      </c>
      <c r="G850" s="3" t="s">
        <v>425</v>
      </c>
      <c r="H850" s="3" t="s">
        <v>961</v>
      </c>
      <c r="I850" s="4">
        <v>2.0</v>
      </c>
      <c r="J850" s="4">
        <v>2.0</v>
      </c>
      <c r="K850" s="3"/>
      <c r="L850" s="3" t="s">
        <v>2558</v>
      </c>
      <c r="M850" s="3" t="s">
        <v>2559</v>
      </c>
      <c r="N850" s="3" t="s">
        <v>22</v>
      </c>
      <c r="O850" s="5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" t="s">
        <v>14</v>
      </c>
      <c r="B851" s="3" t="s">
        <v>2554</v>
      </c>
      <c r="C851" s="36" t="s">
        <v>3593</v>
      </c>
      <c r="D851" s="3" t="s">
        <v>2555</v>
      </c>
      <c r="E851" s="3" t="s">
        <v>2556</v>
      </c>
      <c r="F851" s="3" t="s">
        <v>2557</v>
      </c>
      <c r="G851" s="3" t="s">
        <v>2553</v>
      </c>
      <c r="H851" s="3" t="s">
        <v>1983</v>
      </c>
      <c r="I851" s="4">
        <v>3.0</v>
      </c>
      <c r="J851" s="4">
        <v>3.0</v>
      </c>
      <c r="K851" s="3"/>
      <c r="L851" s="3" t="s">
        <v>2558</v>
      </c>
      <c r="M851" s="3" t="s">
        <v>2559</v>
      </c>
      <c r="N851" s="3" t="s">
        <v>22</v>
      </c>
      <c r="O851" s="5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" t="s">
        <v>14</v>
      </c>
      <c r="B852" s="3" t="s">
        <v>2560</v>
      </c>
      <c r="C852" s="33" t="s">
        <v>3600</v>
      </c>
      <c r="D852" s="3" t="s">
        <v>2561</v>
      </c>
      <c r="E852" s="3" t="s">
        <v>2562</v>
      </c>
      <c r="F852" s="3" t="s">
        <v>2562</v>
      </c>
      <c r="G852" s="3" t="s">
        <v>443</v>
      </c>
      <c r="H852" s="3" t="s">
        <v>443</v>
      </c>
      <c r="I852" s="4">
        <v>1.0</v>
      </c>
      <c r="J852" s="4">
        <v>1.0</v>
      </c>
      <c r="K852" s="3"/>
      <c r="L852" s="3" t="s">
        <v>2563</v>
      </c>
      <c r="M852" s="3" t="s">
        <v>2564</v>
      </c>
      <c r="N852" s="3" t="s">
        <v>22</v>
      </c>
      <c r="O852" s="5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" t="s">
        <v>14</v>
      </c>
      <c r="B853" s="3" t="s">
        <v>2560</v>
      </c>
      <c r="C853" s="33" t="s">
        <v>3600</v>
      </c>
      <c r="D853" s="3" t="s">
        <v>2561</v>
      </c>
      <c r="E853" s="3" t="s">
        <v>2562</v>
      </c>
      <c r="F853" s="3" t="s">
        <v>2562</v>
      </c>
      <c r="G853" s="3" t="s">
        <v>437</v>
      </c>
      <c r="H853" s="3" t="s">
        <v>437</v>
      </c>
      <c r="I853" s="4">
        <v>2.0</v>
      </c>
      <c r="J853" s="4">
        <v>2.0</v>
      </c>
      <c r="K853" s="3"/>
      <c r="L853" s="3" t="s">
        <v>2563</v>
      </c>
      <c r="M853" s="3" t="s">
        <v>2564</v>
      </c>
      <c r="N853" s="3" t="s">
        <v>22</v>
      </c>
      <c r="O853" s="5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" t="s">
        <v>14</v>
      </c>
      <c r="B854" s="3" t="s">
        <v>2565</v>
      </c>
      <c r="C854" s="33" t="s">
        <v>3600</v>
      </c>
      <c r="D854" s="3" t="s">
        <v>2566</v>
      </c>
      <c r="E854" s="3" t="s">
        <v>2567</v>
      </c>
      <c r="F854" s="3" t="s">
        <v>2568</v>
      </c>
      <c r="G854" s="3" t="s">
        <v>2569</v>
      </c>
      <c r="H854" s="3" t="s">
        <v>2570</v>
      </c>
      <c r="I854" s="4">
        <v>1.0</v>
      </c>
      <c r="J854" s="4">
        <v>1.0</v>
      </c>
      <c r="K854" s="3"/>
      <c r="L854" s="3" t="s">
        <v>2571</v>
      </c>
      <c r="M854" s="3" t="s">
        <v>2572</v>
      </c>
      <c r="N854" s="3" t="s">
        <v>22</v>
      </c>
      <c r="O854" s="5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" t="s">
        <v>14</v>
      </c>
      <c r="B855" s="3" t="s">
        <v>2565</v>
      </c>
      <c r="C855" s="33" t="s">
        <v>3600</v>
      </c>
      <c r="D855" s="3" t="s">
        <v>2566</v>
      </c>
      <c r="E855" s="3" t="s">
        <v>2567</v>
      </c>
      <c r="F855" s="3" t="s">
        <v>2568</v>
      </c>
      <c r="G855" s="3" t="s">
        <v>2573</v>
      </c>
      <c r="H855" s="3" t="s">
        <v>784</v>
      </c>
      <c r="I855" s="4">
        <v>2.0</v>
      </c>
      <c r="J855" s="4">
        <v>2.0</v>
      </c>
      <c r="K855" s="3"/>
      <c r="L855" s="3" t="s">
        <v>2571</v>
      </c>
      <c r="M855" s="3" t="s">
        <v>2572</v>
      </c>
      <c r="N855" s="3" t="s">
        <v>22</v>
      </c>
      <c r="O855" s="5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" t="s">
        <v>14</v>
      </c>
      <c r="B856" s="3" t="s">
        <v>2574</v>
      </c>
      <c r="C856" s="33" t="s">
        <v>3600</v>
      </c>
      <c r="D856" s="3" t="s">
        <v>2575</v>
      </c>
      <c r="E856" s="3" t="s">
        <v>2576</v>
      </c>
      <c r="F856" s="3" t="s">
        <v>2577</v>
      </c>
      <c r="G856" s="3" t="s">
        <v>451</v>
      </c>
      <c r="H856" s="3" t="s">
        <v>451</v>
      </c>
      <c r="I856" s="4">
        <v>1.0</v>
      </c>
      <c r="J856" s="4">
        <v>1.0</v>
      </c>
      <c r="K856" s="3"/>
      <c r="L856" s="3" t="s">
        <v>2578</v>
      </c>
      <c r="M856" s="3" t="s">
        <v>2579</v>
      </c>
      <c r="N856" s="3" t="s">
        <v>22</v>
      </c>
      <c r="O856" s="5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" t="s">
        <v>14</v>
      </c>
      <c r="B857" s="3" t="s">
        <v>2574</v>
      </c>
      <c r="C857" s="33" t="s">
        <v>3600</v>
      </c>
      <c r="D857" s="3" t="s">
        <v>2575</v>
      </c>
      <c r="E857" s="3" t="s">
        <v>2576</v>
      </c>
      <c r="F857" s="3" t="s">
        <v>2577</v>
      </c>
      <c r="G857" s="3" t="s">
        <v>98</v>
      </c>
      <c r="H857" s="3" t="s">
        <v>2580</v>
      </c>
      <c r="I857" s="4">
        <v>2.0</v>
      </c>
      <c r="J857" s="4">
        <v>2.0</v>
      </c>
      <c r="K857" s="3"/>
      <c r="L857" s="3" t="s">
        <v>2578</v>
      </c>
      <c r="M857" s="3" t="s">
        <v>2579</v>
      </c>
      <c r="N857" s="3" t="s">
        <v>22</v>
      </c>
      <c r="O857" s="5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" t="s">
        <v>14</v>
      </c>
      <c r="B858" s="3" t="s">
        <v>2581</v>
      </c>
      <c r="C858" s="36" t="s">
        <v>3597</v>
      </c>
      <c r="D858" s="3" t="s">
        <v>2582</v>
      </c>
      <c r="E858" s="3" t="s">
        <v>2583</v>
      </c>
      <c r="F858" s="3" t="s">
        <v>2584</v>
      </c>
      <c r="G858" s="3" t="s">
        <v>157</v>
      </c>
      <c r="H858" s="3" t="s">
        <v>158</v>
      </c>
      <c r="I858" s="4">
        <v>1.0</v>
      </c>
      <c r="J858" s="4">
        <v>1.0</v>
      </c>
      <c r="K858" s="3" t="s">
        <v>72</v>
      </c>
      <c r="L858" s="3" t="s">
        <v>2585</v>
      </c>
      <c r="M858" s="3" t="s">
        <v>2474</v>
      </c>
      <c r="N858" s="3" t="s">
        <v>22</v>
      </c>
      <c r="O858" s="5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" t="s">
        <v>14</v>
      </c>
      <c r="B859" s="3" t="s">
        <v>2581</v>
      </c>
      <c r="C859" s="36" t="s">
        <v>3597</v>
      </c>
      <c r="D859" s="3" t="s">
        <v>2582</v>
      </c>
      <c r="E859" s="3" t="s">
        <v>2583</v>
      </c>
      <c r="F859" s="3" t="s">
        <v>2584</v>
      </c>
      <c r="G859" s="3" t="s">
        <v>2105</v>
      </c>
      <c r="H859" s="3" t="s">
        <v>2132</v>
      </c>
      <c r="I859" s="4">
        <v>2.0</v>
      </c>
      <c r="J859" s="4">
        <v>2.0</v>
      </c>
      <c r="K859" s="3"/>
      <c r="L859" s="3" t="s">
        <v>2585</v>
      </c>
      <c r="M859" s="3" t="s">
        <v>2474</v>
      </c>
      <c r="N859" s="3" t="s">
        <v>22</v>
      </c>
      <c r="O859" s="5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" t="s">
        <v>14</v>
      </c>
      <c r="B860" s="3" t="s">
        <v>2581</v>
      </c>
      <c r="C860" s="36" t="s">
        <v>3597</v>
      </c>
      <c r="D860" s="3" t="s">
        <v>2582</v>
      </c>
      <c r="E860" s="3" t="s">
        <v>2583</v>
      </c>
      <c r="F860" s="3" t="s">
        <v>2584</v>
      </c>
      <c r="G860" s="3" t="s">
        <v>419</v>
      </c>
      <c r="H860" s="3" t="s">
        <v>425</v>
      </c>
      <c r="I860" s="4">
        <v>3.0</v>
      </c>
      <c r="J860" s="4">
        <v>3.0</v>
      </c>
      <c r="K860" s="3"/>
      <c r="L860" s="3" t="s">
        <v>2585</v>
      </c>
      <c r="M860" s="3" t="s">
        <v>2474</v>
      </c>
      <c r="N860" s="3" t="s">
        <v>22</v>
      </c>
      <c r="O860" s="5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" t="s">
        <v>14</v>
      </c>
      <c r="B861" s="3" t="s">
        <v>2586</v>
      </c>
      <c r="C861" s="33" t="s">
        <v>3600</v>
      </c>
      <c r="D861" s="3" t="s">
        <v>2586</v>
      </c>
      <c r="E861" s="3" t="s">
        <v>2587</v>
      </c>
      <c r="F861" s="3" t="s">
        <v>2587</v>
      </c>
      <c r="G861" s="3" t="s">
        <v>162</v>
      </c>
      <c r="H861" s="3" t="s">
        <v>162</v>
      </c>
      <c r="I861" s="4">
        <v>1.0</v>
      </c>
      <c r="J861" s="4">
        <v>1.0</v>
      </c>
      <c r="K861" s="3"/>
      <c r="L861" s="3" t="s">
        <v>2588</v>
      </c>
      <c r="M861" s="3" t="s">
        <v>2589</v>
      </c>
      <c r="N861" s="3" t="s">
        <v>22</v>
      </c>
      <c r="O861" s="5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" t="s">
        <v>14</v>
      </c>
      <c r="B862" s="3" t="s">
        <v>2586</v>
      </c>
      <c r="C862" s="33" t="s">
        <v>3600</v>
      </c>
      <c r="D862" s="3" t="s">
        <v>2586</v>
      </c>
      <c r="E862" s="3" t="s">
        <v>2587</v>
      </c>
      <c r="F862" s="3" t="s">
        <v>2587</v>
      </c>
      <c r="G862" s="3" t="s">
        <v>362</v>
      </c>
      <c r="H862" s="3" t="s">
        <v>362</v>
      </c>
      <c r="I862" s="4">
        <v>2.0</v>
      </c>
      <c r="J862" s="4">
        <v>2.0</v>
      </c>
      <c r="K862" s="3"/>
      <c r="L862" s="3" t="s">
        <v>2588</v>
      </c>
      <c r="M862" s="3" t="s">
        <v>2589</v>
      </c>
      <c r="N862" s="3" t="s">
        <v>22</v>
      </c>
      <c r="O862" s="5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" t="s">
        <v>14</v>
      </c>
      <c r="B863" s="3" t="s">
        <v>2590</v>
      </c>
      <c r="C863" s="33" t="s">
        <v>3596</v>
      </c>
      <c r="D863" s="3" t="s">
        <v>2591</v>
      </c>
      <c r="E863" s="3" t="s">
        <v>2590</v>
      </c>
      <c r="F863" s="3" t="s">
        <v>2592</v>
      </c>
      <c r="G863" s="3" t="s">
        <v>2590</v>
      </c>
      <c r="H863" s="3" t="s">
        <v>739</v>
      </c>
      <c r="I863" s="4">
        <v>1.0</v>
      </c>
      <c r="J863" s="4">
        <v>1.0</v>
      </c>
      <c r="K863" s="3" t="s">
        <v>80</v>
      </c>
      <c r="L863" s="3" t="s">
        <v>2593</v>
      </c>
      <c r="M863" s="3" t="s">
        <v>2594</v>
      </c>
      <c r="N863" s="3" t="s">
        <v>22</v>
      </c>
      <c r="O863" s="5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" t="s">
        <v>14</v>
      </c>
      <c r="B864" s="3" t="s">
        <v>2590</v>
      </c>
      <c r="C864" s="33" t="s">
        <v>3596</v>
      </c>
      <c r="D864" s="3" t="s">
        <v>2591</v>
      </c>
      <c r="E864" s="3" t="s">
        <v>2590</v>
      </c>
      <c r="F864" s="3" t="s">
        <v>2592</v>
      </c>
      <c r="G864" s="3" t="s">
        <v>36</v>
      </c>
      <c r="H864" s="3" t="s">
        <v>2595</v>
      </c>
      <c r="I864" s="4" t="s">
        <v>36</v>
      </c>
      <c r="J864" s="4">
        <v>2.0</v>
      </c>
      <c r="K864" s="3"/>
      <c r="L864" s="3" t="s">
        <v>2593</v>
      </c>
      <c r="M864" s="3" t="s">
        <v>2594</v>
      </c>
      <c r="N864" s="3" t="s">
        <v>22</v>
      </c>
      <c r="O864" s="5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" t="s">
        <v>14</v>
      </c>
      <c r="B865" s="3" t="s">
        <v>2596</v>
      </c>
      <c r="C865" s="33" t="s">
        <v>3600</v>
      </c>
      <c r="D865" s="3" t="s">
        <v>2597</v>
      </c>
      <c r="E865" s="3" t="s">
        <v>2598</v>
      </c>
      <c r="F865" s="3" t="s">
        <v>2599</v>
      </c>
      <c r="G865" s="3" t="s">
        <v>2600</v>
      </c>
      <c r="H865" s="3" t="s">
        <v>202</v>
      </c>
      <c r="I865" s="4">
        <v>1.0</v>
      </c>
      <c r="J865" s="4">
        <v>1.0</v>
      </c>
      <c r="K865" s="3"/>
      <c r="L865" s="3" t="s">
        <v>2601</v>
      </c>
      <c r="M865" s="3" t="s">
        <v>2602</v>
      </c>
      <c r="N865" s="3" t="s">
        <v>22</v>
      </c>
      <c r="O865" s="5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" t="s">
        <v>14</v>
      </c>
      <c r="B866" s="3" t="s">
        <v>2596</v>
      </c>
      <c r="C866" s="33" t="s">
        <v>3600</v>
      </c>
      <c r="D866" s="3" t="s">
        <v>2597</v>
      </c>
      <c r="E866" s="3" t="s">
        <v>2598</v>
      </c>
      <c r="F866" s="3" t="s">
        <v>2599</v>
      </c>
      <c r="G866" s="3" t="s">
        <v>197</v>
      </c>
      <c r="H866" s="3" t="s">
        <v>503</v>
      </c>
      <c r="I866" s="4">
        <v>2.0</v>
      </c>
      <c r="J866" s="4">
        <v>2.0</v>
      </c>
      <c r="K866" s="3"/>
      <c r="L866" s="3" t="s">
        <v>2601</v>
      </c>
      <c r="M866" s="3" t="s">
        <v>2602</v>
      </c>
      <c r="N866" s="3" t="s">
        <v>22</v>
      </c>
      <c r="O866" s="5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" t="s">
        <v>14</v>
      </c>
      <c r="B867" s="3" t="s">
        <v>2603</v>
      </c>
      <c r="C867" s="33" t="s">
        <v>3603</v>
      </c>
      <c r="D867" s="3" t="s">
        <v>2604</v>
      </c>
      <c r="E867" s="3" t="s">
        <v>2605</v>
      </c>
      <c r="F867" s="3" t="s">
        <v>2606</v>
      </c>
      <c r="G867" s="3" t="s">
        <v>2607</v>
      </c>
      <c r="H867" s="3" t="s">
        <v>610</v>
      </c>
      <c r="I867" s="4">
        <v>1.0</v>
      </c>
      <c r="J867" s="4">
        <v>1.0</v>
      </c>
      <c r="K867" s="3" t="s">
        <v>80</v>
      </c>
      <c r="L867" s="3" t="s">
        <v>2608</v>
      </c>
      <c r="M867" s="3" t="s">
        <v>2609</v>
      </c>
      <c r="N867" s="3" t="s">
        <v>22</v>
      </c>
      <c r="O867" s="5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" t="s">
        <v>14</v>
      </c>
      <c r="B868" s="3" t="s">
        <v>2603</v>
      </c>
      <c r="C868" s="33" t="s">
        <v>3603</v>
      </c>
      <c r="D868" s="3" t="s">
        <v>2604</v>
      </c>
      <c r="E868" s="3" t="s">
        <v>2605</v>
      </c>
      <c r="F868" s="3" t="s">
        <v>2606</v>
      </c>
      <c r="G868" s="3" t="s">
        <v>36</v>
      </c>
      <c r="H868" s="3" t="s">
        <v>2610</v>
      </c>
      <c r="I868" s="4" t="s">
        <v>36</v>
      </c>
      <c r="J868" s="4">
        <v>2.0</v>
      </c>
      <c r="K868" s="3"/>
      <c r="L868" s="3" t="s">
        <v>2608</v>
      </c>
      <c r="M868" s="3" t="s">
        <v>2609</v>
      </c>
      <c r="N868" s="3" t="s">
        <v>22</v>
      </c>
      <c r="O868" s="5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" t="s">
        <v>14</v>
      </c>
      <c r="B869" s="3" t="s">
        <v>2603</v>
      </c>
      <c r="C869" s="33" t="s">
        <v>3603</v>
      </c>
      <c r="D869" s="3" t="s">
        <v>2604</v>
      </c>
      <c r="E869" s="3" t="s">
        <v>2605</v>
      </c>
      <c r="F869" s="3" t="s">
        <v>2606</v>
      </c>
      <c r="G869" s="3" t="s">
        <v>387</v>
      </c>
      <c r="H869" s="3" t="s">
        <v>387</v>
      </c>
      <c r="I869" s="4">
        <v>2.0</v>
      </c>
      <c r="J869" s="4">
        <v>3.0</v>
      </c>
      <c r="K869" s="3"/>
      <c r="L869" s="3" t="s">
        <v>2608</v>
      </c>
      <c r="M869" s="3" t="s">
        <v>2609</v>
      </c>
      <c r="N869" s="3" t="s">
        <v>22</v>
      </c>
      <c r="O869" s="5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" t="s">
        <v>14</v>
      </c>
      <c r="B870" s="3" t="s">
        <v>2611</v>
      </c>
      <c r="C870" s="33" t="s">
        <v>3600</v>
      </c>
      <c r="D870" s="3" t="s">
        <v>2612</v>
      </c>
      <c r="E870" s="3" t="s">
        <v>2613</v>
      </c>
      <c r="F870" s="3" t="s">
        <v>2614</v>
      </c>
      <c r="G870" s="3" t="s">
        <v>202</v>
      </c>
      <c r="H870" s="3" t="s">
        <v>202</v>
      </c>
      <c r="I870" s="4">
        <v>1.0</v>
      </c>
      <c r="J870" s="4">
        <v>1.0</v>
      </c>
      <c r="K870" s="3"/>
      <c r="L870" s="3" t="s">
        <v>2615</v>
      </c>
      <c r="M870" s="3" t="s">
        <v>2616</v>
      </c>
      <c r="N870" s="3" t="s">
        <v>22</v>
      </c>
      <c r="O870" s="5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" t="s">
        <v>14</v>
      </c>
      <c r="B871" s="3" t="s">
        <v>2611</v>
      </c>
      <c r="C871" s="33" t="s">
        <v>3600</v>
      </c>
      <c r="D871" s="3" t="s">
        <v>2612</v>
      </c>
      <c r="E871" s="3" t="s">
        <v>2613</v>
      </c>
      <c r="F871" s="3" t="s">
        <v>2614</v>
      </c>
      <c r="G871" s="3" t="s">
        <v>1982</v>
      </c>
      <c r="H871" s="3" t="s">
        <v>1983</v>
      </c>
      <c r="I871" s="4">
        <v>2.0</v>
      </c>
      <c r="J871" s="4">
        <v>2.0</v>
      </c>
      <c r="K871" s="3"/>
      <c r="L871" s="3" t="s">
        <v>2615</v>
      </c>
      <c r="M871" s="3" t="s">
        <v>2616</v>
      </c>
      <c r="N871" s="3" t="s">
        <v>22</v>
      </c>
      <c r="O871" s="5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" t="s">
        <v>14</v>
      </c>
      <c r="B872" s="3" t="s">
        <v>2617</v>
      </c>
      <c r="C872" s="33" t="s">
        <v>3600</v>
      </c>
      <c r="D872" s="3" t="s">
        <v>2617</v>
      </c>
      <c r="E872" s="3" t="s">
        <v>2618</v>
      </c>
      <c r="F872" s="3" t="s">
        <v>2618</v>
      </c>
      <c r="G872" s="3" t="s">
        <v>549</v>
      </c>
      <c r="H872" s="3" t="s">
        <v>549</v>
      </c>
      <c r="I872" s="4">
        <v>1.0</v>
      </c>
      <c r="J872" s="4">
        <v>1.0</v>
      </c>
      <c r="K872" s="3"/>
      <c r="L872" s="3" t="s">
        <v>2619</v>
      </c>
      <c r="M872" s="3" t="s">
        <v>2620</v>
      </c>
      <c r="N872" s="3" t="s">
        <v>22</v>
      </c>
      <c r="O872" s="5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" t="s">
        <v>14</v>
      </c>
      <c r="B873" s="3" t="s">
        <v>2617</v>
      </c>
      <c r="C873" s="33" t="s">
        <v>3600</v>
      </c>
      <c r="D873" s="3" t="s">
        <v>2617</v>
      </c>
      <c r="E873" s="3" t="s">
        <v>2618</v>
      </c>
      <c r="F873" s="3" t="s">
        <v>2618</v>
      </c>
      <c r="G873" s="3" t="s">
        <v>387</v>
      </c>
      <c r="H873" s="3" t="s">
        <v>387</v>
      </c>
      <c r="I873" s="4">
        <v>2.0</v>
      </c>
      <c r="J873" s="4">
        <v>2.0</v>
      </c>
      <c r="K873" s="3"/>
      <c r="L873" s="3" t="s">
        <v>2619</v>
      </c>
      <c r="M873" s="3" t="s">
        <v>2620</v>
      </c>
      <c r="N873" s="3" t="s">
        <v>22</v>
      </c>
      <c r="O873" s="5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" t="s">
        <v>14</v>
      </c>
      <c r="B874" s="3" t="s">
        <v>2621</v>
      </c>
      <c r="C874" s="36" t="s">
        <v>3597</v>
      </c>
      <c r="D874" s="3" t="s">
        <v>2622</v>
      </c>
      <c r="E874" s="3" t="s">
        <v>2623</v>
      </c>
      <c r="F874" s="3" t="s">
        <v>2624</v>
      </c>
      <c r="G874" s="17" t="s">
        <v>36</v>
      </c>
      <c r="H874" s="3" t="s">
        <v>287</v>
      </c>
      <c r="I874" s="4" t="s">
        <v>36</v>
      </c>
      <c r="J874" s="4">
        <v>1.0</v>
      </c>
      <c r="K874" s="3" t="s">
        <v>80</v>
      </c>
      <c r="L874" s="3" t="s">
        <v>2625</v>
      </c>
      <c r="M874" s="3" t="s">
        <v>2626</v>
      </c>
      <c r="N874" s="3" t="s">
        <v>22</v>
      </c>
      <c r="O874" s="5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" t="s">
        <v>14</v>
      </c>
      <c r="B875" s="3" t="s">
        <v>2621</v>
      </c>
      <c r="C875" s="36" t="s">
        <v>3597</v>
      </c>
      <c r="D875" s="3" t="s">
        <v>2622</v>
      </c>
      <c r="E875" s="3" t="s">
        <v>2623</v>
      </c>
      <c r="F875" s="3" t="s">
        <v>2624</v>
      </c>
      <c r="G875" s="3" t="s">
        <v>133</v>
      </c>
      <c r="H875" s="3" t="s">
        <v>134</v>
      </c>
      <c r="I875" s="4">
        <v>1.0</v>
      </c>
      <c r="J875" s="4">
        <v>2.0</v>
      </c>
      <c r="K875" s="3"/>
      <c r="L875" s="3" t="s">
        <v>2625</v>
      </c>
      <c r="M875" s="3" t="s">
        <v>2626</v>
      </c>
      <c r="N875" s="3" t="s">
        <v>22</v>
      </c>
      <c r="O875" s="5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" t="s">
        <v>14</v>
      </c>
      <c r="B876" s="3" t="s">
        <v>2621</v>
      </c>
      <c r="C876" s="36" t="s">
        <v>3597</v>
      </c>
      <c r="D876" s="3" t="s">
        <v>2622</v>
      </c>
      <c r="E876" s="3" t="s">
        <v>2623</v>
      </c>
      <c r="F876" s="3" t="s">
        <v>2624</v>
      </c>
      <c r="G876" s="3" t="s">
        <v>918</v>
      </c>
      <c r="H876" s="3" t="s">
        <v>918</v>
      </c>
      <c r="I876" s="4">
        <v>2.0</v>
      </c>
      <c r="J876" s="4">
        <v>3.0</v>
      </c>
      <c r="K876" s="3"/>
      <c r="L876" s="3" t="s">
        <v>2625</v>
      </c>
      <c r="M876" s="3" t="s">
        <v>2626</v>
      </c>
      <c r="N876" s="3" t="s">
        <v>22</v>
      </c>
      <c r="O876" s="5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" t="s">
        <v>14</v>
      </c>
      <c r="B877" s="3" t="s">
        <v>2621</v>
      </c>
      <c r="C877" s="36" t="s">
        <v>3597</v>
      </c>
      <c r="D877" s="3" t="s">
        <v>2622</v>
      </c>
      <c r="E877" s="3" t="s">
        <v>2623</v>
      </c>
      <c r="F877" s="3" t="s">
        <v>2624</v>
      </c>
      <c r="G877" s="3" t="s">
        <v>98</v>
      </c>
      <c r="H877" s="3" t="s">
        <v>98</v>
      </c>
      <c r="I877" s="4">
        <v>3.0</v>
      </c>
      <c r="J877" s="4">
        <v>4.0</v>
      </c>
      <c r="K877" s="3"/>
      <c r="L877" s="3" t="s">
        <v>2625</v>
      </c>
      <c r="M877" s="3" t="s">
        <v>2626</v>
      </c>
      <c r="N877" s="3" t="s">
        <v>22</v>
      </c>
      <c r="O877" s="5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" t="s">
        <v>14</v>
      </c>
      <c r="B878" s="3" t="s">
        <v>2627</v>
      </c>
      <c r="C878" s="33" t="s">
        <v>3603</v>
      </c>
      <c r="D878" s="3" t="s">
        <v>2628</v>
      </c>
      <c r="E878" s="3" t="s">
        <v>2629</v>
      </c>
      <c r="F878" s="3" t="s">
        <v>2630</v>
      </c>
      <c r="G878" s="3" t="s">
        <v>2631</v>
      </c>
      <c r="H878" s="3" t="s">
        <v>233</v>
      </c>
      <c r="I878" s="4">
        <v>1.0</v>
      </c>
      <c r="J878" s="4">
        <v>1.0</v>
      </c>
      <c r="K878" s="3"/>
      <c r="L878" s="3" t="s">
        <v>2632</v>
      </c>
      <c r="M878" s="3" t="s">
        <v>2633</v>
      </c>
      <c r="N878" s="3" t="s">
        <v>22</v>
      </c>
      <c r="O878" s="5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" t="s">
        <v>14</v>
      </c>
      <c r="B879" s="3" t="s">
        <v>2627</v>
      </c>
      <c r="C879" s="33" t="s">
        <v>3603</v>
      </c>
      <c r="D879" s="3" t="s">
        <v>2628</v>
      </c>
      <c r="E879" s="3" t="s">
        <v>2629</v>
      </c>
      <c r="F879" s="3" t="s">
        <v>2630</v>
      </c>
      <c r="G879" s="3" t="s">
        <v>2175</v>
      </c>
      <c r="H879" s="3" t="s">
        <v>2634</v>
      </c>
      <c r="I879" s="4">
        <v>2.0</v>
      </c>
      <c r="J879" s="4">
        <v>2.0</v>
      </c>
      <c r="K879" s="3"/>
      <c r="L879" s="3" t="s">
        <v>2632</v>
      </c>
      <c r="M879" s="3" t="s">
        <v>2633</v>
      </c>
      <c r="N879" s="3" t="s">
        <v>22</v>
      </c>
      <c r="O879" s="5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" t="s">
        <v>14</v>
      </c>
      <c r="B880" s="3" t="s">
        <v>2635</v>
      </c>
      <c r="C880" s="33" t="s">
        <v>3600</v>
      </c>
      <c r="D880" s="3" t="s">
        <v>2636</v>
      </c>
      <c r="E880" s="3" t="s">
        <v>2637</v>
      </c>
      <c r="F880" s="3" t="s">
        <v>2638</v>
      </c>
      <c r="G880" s="3" t="s">
        <v>2149</v>
      </c>
      <c r="H880" s="3" t="s">
        <v>1919</v>
      </c>
      <c r="I880" s="4">
        <v>1.0</v>
      </c>
      <c r="J880" s="4">
        <v>1.0</v>
      </c>
      <c r="K880" s="3" t="s">
        <v>80</v>
      </c>
      <c r="L880" s="3" t="s">
        <v>2639</v>
      </c>
      <c r="M880" s="3" t="s">
        <v>2448</v>
      </c>
      <c r="N880" s="3" t="s">
        <v>22</v>
      </c>
      <c r="O880" s="5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" t="s">
        <v>14</v>
      </c>
      <c r="B881" s="3" t="s">
        <v>2635</v>
      </c>
      <c r="C881" s="33" t="s">
        <v>3600</v>
      </c>
      <c r="D881" s="3" t="s">
        <v>2636</v>
      </c>
      <c r="E881" s="3" t="s">
        <v>2637</v>
      </c>
      <c r="F881" s="3" t="s">
        <v>2638</v>
      </c>
      <c r="G881" s="3" t="s">
        <v>349</v>
      </c>
      <c r="H881" s="3" t="s">
        <v>902</v>
      </c>
      <c r="I881" s="4">
        <v>2.0</v>
      </c>
      <c r="J881" s="4">
        <v>2.0</v>
      </c>
      <c r="K881" s="3"/>
      <c r="L881" s="3" t="s">
        <v>2639</v>
      </c>
      <c r="M881" s="3" t="s">
        <v>2448</v>
      </c>
      <c r="N881" s="3" t="s">
        <v>22</v>
      </c>
      <c r="O881" s="5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" t="s">
        <v>14</v>
      </c>
      <c r="B882" s="3" t="s">
        <v>2640</v>
      </c>
      <c r="C882" s="36" t="s">
        <v>3598</v>
      </c>
      <c r="D882" s="3" t="s">
        <v>2641</v>
      </c>
      <c r="E882" s="3" t="s">
        <v>2642</v>
      </c>
      <c r="F882" s="3" t="s">
        <v>2643</v>
      </c>
      <c r="G882" s="3" t="s">
        <v>2644</v>
      </c>
      <c r="H882" s="3" t="s">
        <v>437</v>
      </c>
      <c r="I882" s="4">
        <v>1.0</v>
      </c>
      <c r="J882" s="4">
        <v>1.0</v>
      </c>
      <c r="K882" s="3"/>
      <c r="L882" s="3" t="s">
        <v>2645</v>
      </c>
      <c r="M882" s="3" t="s">
        <v>2646</v>
      </c>
      <c r="N882" s="3" t="s">
        <v>22</v>
      </c>
      <c r="O882" s="5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" t="s">
        <v>14</v>
      </c>
      <c r="B883" s="3" t="s">
        <v>2640</v>
      </c>
      <c r="C883" s="36" t="s">
        <v>3598</v>
      </c>
      <c r="D883" s="3" t="s">
        <v>2641</v>
      </c>
      <c r="E883" s="3" t="s">
        <v>2642</v>
      </c>
      <c r="F883" s="3" t="s">
        <v>2643</v>
      </c>
      <c r="G883" s="3" t="s">
        <v>801</v>
      </c>
      <c r="H883" s="3" t="s">
        <v>334</v>
      </c>
      <c r="I883" s="4">
        <v>2.0</v>
      </c>
      <c r="J883" s="4">
        <v>2.0</v>
      </c>
      <c r="K883" s="3"/>
      <c r="L883" s="3" t="s">
        <v>2645</v>
      </c>
      <c r="M883" s="3" t="s">
        <v>2646</v>
      </c>
      <c r="N883" s="3" t="s">
        <v>22</v>
      </c>
      <c r="O883" s="5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" t="s">
        <v>14</v>
      </c>
      <c r="B884" s="3" t="s">
        <v>2640</v>
      </c>
      <c r="C884" s="36" t="s">
        <v>3598</v>
      </c>
      <c r="D884" s="3" t="s">
        <v>2641</v>
      </c>
      <c r="E884" s="3" t="s">
        <v>2642</v>
      </c>
      <c r="F884" s="3" t="s">
        <v>2643</v>
      </c>
      <c r="G884" s="3" t="s">
        <v>33</v>
      </c>
      <c r="H884" s="3" t="s">
        <v>2647</v>
      </c>
      <c r="I884" s="4">
        <v>3.0</v>
      </c>
      <c r="J884" s="4">
        <v>3.0</v>
      </c>
      <c r="K884" s="3"/>
      <c r="L884" s="3" t="s">
        <v>2645</v>
      </c>
      <c r="M884" s="3" t="s">
        <v>2646</v>
      </c>
      <c r="N884" s="3" t="s">
        <v>22</v>
      </c>
      <c r="O884" s="5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" t="s">
        <v>14</v>
      </c>
      <c r="B885" s="3" t="s">
        <v>2640</v>
      </c>
      <c r="C885" s="36" t="s">
        <v>3598</v>
      </c>
      <c r="D885" s="3" t="s">
        <v>2641</v>
      </c>
      <c r="E885" s="3" t="s">
        <v>2642</v>
      </c>
      <c r="F885" s="3" t="s">
        <v>2643</v>
      </c>
      <c r="G885" s="3" t="s">
        <v>2648</v>
      </c>
      <c r="H885" s="3" t="s">
        <v>1823</v>
      </c>
      <c r="I885" s="4">
        <v>4.0</v>
      </c>
      <c r="J885" s="4">
        <v>4.0</v>
      </c>
      <c r="K885" s="3"/>
      <c r="L885" s="3" t="s">
        <v>2645</v>
      </c>
      <c r="M885" s="3" t="s">
        <v>2646</v>
      </c>
      <c r="N885" s="3" t="s">
        <v>22</v>
      </c>
      <c r="O885" s="5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" t="s">
        <v>14</v>
      </c>
      <c r="B886" s="3" t="s">
        <v>2649</v>
      </c>
      <c r="C886" s="33" t="s">
        <v>3600</v>
      </c>
      <c r="D886" s="3" t="s">
        <v>2650</v>
      </c>
      <c r="E886" s="3" t="s">
        <v>2651</v>
      </c>
      <c r="F886" s="3" t="s">
        <v>2652</v>
      </c>
      <c r="G886" s="3" t="s">
        <v>525</v>
      </c>
      <c r="H886" s="3" t="s">
        <v>344</v>
      </c>
      <c r="I886" s="4">
        <v>1.0</v>
      </c>
      <c r="J886" s="4">
        <v>1.0</v>
      </c>
      <c r="K886" s="3"/>
      <c r="L886" s="3" t="s">
        <v>2653</v>
      </c>
      <c r="M886" s="3" t="s">
        <v>2654</v>
      </c>
      <c r="N886" s="3" t="s">
        <v>22</v>
      </c>
      <c r="O886" s="5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" t="s">
        <v>14</v>
      </c>
      <c r="B887" s="3" t="s">
        <v>2649</v>
      </c>
      <c r="C887" s="33" t="s">
        <v>3600</v>
      </c>
      <c r="D887" s="3" t="s">
        <v>2650</v>
      </c>
      <c r="E887" s="3" t="s">
        <v>2651</v>
      </c>
      <c r="F887" s="3" t="s">
        <v>2652</v>
      </c>
      <c r="G887" s="3" t="s">
        <v>961</v>
      </c>
      <c r="H887" s="3" t="s">
        <v>425</v>
      </c>
      <c r="I887" s="4">
        <v>2.0</v>
      </c>
      <c r="J887" s="4">
        <v>2.0</v>
      </c>
      <c r="K887" s="3"/>
      <c r="L887" s="3" t="s">
        <v>2653</v>
      </c>
      <c r="M887" s="3" t="s">
        <v>2654</v>
      </c>
      <c r="N887" s="3" t="s">
        <v>22</v>
      </c>
      <c r="O887" s="5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" t="s">
        <v>14</v>
      </c>
      <c r="B888" s="3" t="s">
        <v>2655</v>
      </c>
      <c r="C888" s="33" t="s">
        <v>3600</v>
      </c>
      <c r="D888" s="3" t="s">
        <v>2656</v>
      </c>
      <c r="E888" s="3" t="s">
        <v>2657</v>
      </c>
      <c r="F888" s="3" t="s">
        <v>2658</v>
      </c>
      <c r="G888" s="3" t="s">
        <v>525</v>
      </c>
      <c r="H888" s="3" t="s">
        <v>344</v>
      </c>
      <c r="I888" s="4">
        <v>1.0</v>
      </c>
      <c r="J888" s="4">
        <v>1.0</v>
      </c>
      <c r="K888" s="3"/>
      <c r="L888" s="3" t="s">
        <v>2659</v>
      </c>
      <c r="M888" s="3" t="s">
        <v>2660</v>
      </c>
      <c r="N888" s="3" t="s">
        <v>22</v>
      </c>
      <c r="O888" s="5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" t="s">
        <v>14</v>
      </c>
      <c r="B889" s="3" t="s">
        <v>2655</v>
      </c>
      <c r="C889" s="33" t="s">
        <v>3600</v>
      </c>
      <c r="D889" s="3" t="s">
        <v>2656</v>
      </c>
      <c r="E889" s="3" t="s">
        <v>2657</v>
      </c>
      <c r="F889" s="3" t="s">
        <v>2658</v>
      </c>
      <c r="G889" s="3" t="s">
        <v>1823</v>
      </c>
      <c r="H889" s="3" t="s">
        <v>495</v>
      </c>
      <c r="I889" s="4">
        <v>2.0</v>
      </c>
      <c r="J889" s="4">
        <v>2.0</v>
      </c>
      <c r="K889" s="3"/>
      <c r="L889" s="3" t="s">
        <v>2659</v>
      </c>
      <c r="M889" s="3" t="s">
        <v>2660</v>
      </c>
      <c r="N889" s="3" t="s">
        <v>22</v>
      </c>
      <c r="O889" s="5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15" t="s">
        <v>14</v>
      </c>
      <c r="B890" s="15" t="s">
        <v>2661</v>
      </c>
      <c r="C890" s="33" t="s">
        <v>3600</v>
      </c>
      <c r="D890" s="15" t="s">
        <v>2662</v>
      </c>
      <c r="E890" s="15" t="s">
        <v>2663</v>
      </c>
      <c r="F890" s="15" t="s">
        <v>2664</v>
      </c>
      <c r="G890" s="15" t="s">
        <v>36</v>
      </c>
      <c r="H890" s="15" t="s">
        <v>49</v>
      </c>
      <c r="I890" s="18" t="s">
        <v>36</v>
      </c>
      <c r="J890" s="18">
        <v>1.0</v>
      </c>
      <c r="K890" s="15" t="s">
        <v>80</v>
      </c>
      <c r="L890" s="15" t="s">
        <v>2665</v>
      </c>
      <c r="M890" s="15" t="s">
        <v>2666</v>
      </c>
      <c r="N890" s="15" t="s">
        <v>22</v>
      </c>
      <c r="O890" s="20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5" t="s">
        <v>14</v>
      </c>
      <c r="B891" s="15" t="s">
        <v>2661</v>
      </c>
      <c r="C891" s="33" t="s">
        <v>3600</v>
      </c>
      <c r="D891" s="15" t="s">
        <v>2662</v>
      </c>
      <c r="E891" s="15" t="s">
        <v>2663</v>
      </c>
      <c r="F891" s="15" t="s">
        <v>2664</v>
      </c>
      <c r="G891" s="15" t="s">
        <v>1032</v>
      </c>
      <c r="H891" s="15" t="s">
        <v>1032</v>
      </c>
      <c r="I891" s="18">
        <v>2.0</v>
      </c>
      <c r="J891" s="18">
        <v>2.0</v>
      </c>
      <c r="K891" s="15"/>
      <c r="L891" s="15" t="s">
        <v>2665</v>
      </c>
      <c r="M891" s="15" t="s">
        <v>2666</v>
      </c>
      <c r="N891" s="15" t="s">
        <v>22</v>
      </c>
      <c r="O891" s="20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5" t="s">
        <v>14</v>
      </c>
      <c r="B892" s="15" t="s">
        <v>2661</v>
      </c>
      <c r="C892" s="33" t="s">
        <v>3600</v>
      </c>
      <c r="D892" s="15" t="s">
        <v>2662</v>
      </c>
      <c r="E892" s="15" t="s">
        <v>2663</v>
      </c>
      <c r="F892" s="15" t="s">
        <v>2664</v>
      </c>
      <c r="G892" s="15" t="s">
        <v>387</v>
      </c>
      <c r="H892" s="15" t="s">
        <v>387</v>
      </c>
      <c r="I892" s="18">
        <v>2.0</v>
      </c>
      <c r="J892" s="18">
        <v>3.0</v>
      </c>
      <c r="K892" s="15"/>
      <c r="L892" s="15" t="s">
        <v>2665</v>
      </c>
      <c r="M892" s="15" t="s">
        <v>2666</v>
      </c>
      <c r="N892" s="15" t="s">
        <v>22</v>
      </c>
      <c r="O892" s="20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3" t="s">
        <v>14</v>
      </c>
      <c r="B893" s="3" t="s">
        <v>2667</v>
      </c>
      <c r="C893" s="33" t="s">
        <v>3600</v>
      </c>
      <c r="D893" s="3" t="s">
        <v>2668</v>
      </c>
      <c r="E893" s="3" t="s">
        <v>2669</v>
      </c>
      <c r="F893" s="3" t="s">
        <v>2669</v>
      </c>
      <c r="G893" s="3" t="s">
        <v>614</v>
      </c>
      <c r="H893" s="3" t="s">
        <v>614</v>
      </c>
      <c r="I893" s="4">
        <v>1.0</v>
      </c>
      <c r="J893" s="4">
        <v>1.0</v>
      </c>
      <c r="K893" s="3"/>
      <c r="L893" s="3" t="s">
        <v>2670</v>
      </c>
      <c r="M893" s="3" t="s">
        <v>2671</v>
      </c>
      <c r="N893" s="3" t="s">
        <v>22</v>
      </c>
      <c r="O893" s="5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" t="s">
        <v>14</v>
      </c>
      <c r="B894" s="3" t="s">
        <v>2667</v>
      </c>
      <c r="C894" s="33" t="s">
        <v>3600</v>
      </c>
      <c r="D894" s="3" t="s">
        <v>2668</v>
      </c>
      <c r="E894" s="3" t="s">
        <v>2669</v>
      </c>
      <c r="F894" s="3" t="s">
        <v>2669</v>
      </c>
      <c r="G894" s="3" t="s">
        <v>98</v>
      </c>
      <c r="H894" s="3" t="s">
        <v>98</v>
      </c>
      <c r="I894" s="4">
        <v>2.0</v>
      </c>
      <c r="J894" s="4">
        <v>2.0</v>
      </c>
      <c r="K894" s="3"/>
      <c r="L894" s="3" t="s">
        <v>2670</v>
      </c>
      <c r="M894" s="3" t="s">
        <v>2671</v>
      </c>
      <c r="N894" s="3" t="s">
        <v>22</v>
      </c>
      <c r="O894" s="5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" t="s">
        <v>14</v>
      </c>
      <c r="B895" s="3" t="s">
        <v>2672</v>
      </c>
      <c r="C895" s="33" t="s">
        <v>3600</v>
      </c>
      <c r="D895" s="3" t="s">
        <v>2673</v>
      </c>
      <c r="E895" s="3" t="s">
        <v>2674</v>
      </c>
      <c r="F895" s="3" t="s">
        <v>2675</v>
      </c>
      <c r="G895" s="3" t="s">
        <v>261</v>
      </c>
      <c r="H895" s="3" t="s">
        <v>2676</v>
      </c>
      <c r="I895" s="4">
        <v>1.0</v>
      </c>
      <c r="J895" s="4">
        <v>1.0</v>
      </c>
      <c r="K895" s="3"/>
      <c r="L895" s="3" t="s">
        <v>2677</v>
      </c>
      <c r="M895" s="3" t="s">
        <v>2678</v>
      </c>
      <c r="N895" s="3" t="s">
        <v>22</v>
      </c>
      <c r="O895" s="5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" t="s">
        <v>14</v>
      </c>
      <c r="B896" s="3" t="s">
        <v>2672</v>
      </c>
      <c r="C896" s="33" t="s">
        <v>3600</v>
      </c>
      <c r="D896" s="3" t="s">
        <v>2673</v>
      </c>
      <c r="E896" s="3" t="s">
        <v>2674</v>
      </c>
      <c r="F896" s="3" t="s">
        <v>2675</v>
      </c>
      <c r="G896" s="3" t="s">
        <v>387</v>
      </c>
      <c r="H896" s="3" t="s">
        <v>387</v>
      </c>
      <c r="I896" s="4">
        <v>2.0</v>
      </c>
      <c r="J896" s="4">
        <v>2.0</v>
      </c>
      <c r="K896" s="3"/>
      <c r="L896" s="3" t="s">
        <v>2677</v>
      </c>
      <c r="M896" s="3" t="s">
        <v>2678</v>
      </c>
      <c r="N896" s="3" t="s">
        <v>22</v>
      </c>
      <c r="O896" s="5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15" t="s">
        <v>14</v>
      </c>
      <c r="B897" s="15" t="s">
        <v>2679</v>
      </c>
      <c r="C897" s="36" t="s">
        <v>3597</v>
      </c>
      <c r="D897" s="15" t="s">
        <v>2680</v>
      </c>
      <c r="E897" s="15" t="s">
        <v>2681</v>
      </c>
      <c r="F897" s="15" t="s">
        <v>2682</v>
      </c>
      <c r="G897" s="15" t="s">
        <v>36</v>
      </c>
      <c r="H897" s="15" t="s">
        <v>1113</v>
      </c>
      <c r="I897" s="18" t="s">
        <v>36</v>
      </c>
      <c r="J897" s="18">
        <v>1.0</v>
      </c>
      <c r="K897" s="15"/>
      <c r="L897" s="15" t="s">
        <v>2683</v>
      </c>
      <c r="M897" s="15" t="s">
        <v>2684</v>
      </c>
      <c r="N897" s="15" t="s">
        <v>22</v>
      </c>
      <c r="O897" s="20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5" t="s">
        <v>14</v>
      </c>
      <c r="B898" s="15" t="s">
        <v>2679</v>
      </c>
      <c r="C898" s="36" t="s">
        <v>3597</v>
      </c>
      <c r="D898" s="15" t="s">
        <v>2680</v>
      </c>
      <c r="E898" s="15" t="s">
        <v>2681</v>
      </c>
      <c r="F898" s="15" t="s">
        <v>2682</v>
      </c>
      <c r="G898" s="15" t="s">
        <v>362</v>
      </c>
      <c r="H898" s="15" t="s">
        <v>566</v>
      </c>
      <c r="I898" s="18">
        <v>1.0</v>
      </c>
      <c r="J898" s="18">
        <v>2.0</v>
      </c>
      <c r="K898" s="15"/>
      <c r="L898" s="15" t="s">
        <v>2683</v>
      </c>
      <c r="M898" s="15" t="s">
        <v>2684</v>
      </c>
      <c r="N898" s="15" t="s">
        <v>22</v>
      </c>
      <c r="O898" s="20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5" t="s">
        <v>14</v>
      </c>
      <c r="B899" s="15" t="s">
        <v>2679</v>
      </c>
      <c r="C899" s="36" t="s">
        <v>3597</v>
      </c>
      <c r="D899" s="15" t="s">
        <v>2680</v>
      </c>
      <c r="E899" s="15" t="s">
        <v>2681</v>
      </c>
      <c r="F899" s="15" t="s">
        <v>2682</v>
      </c>
      <c r="G899" s="15" t="s">
        <v>629</v>
      </c>
      <c r="H899" s="15" t="s">
        <v>629</v>
      </c>
      <c r="I899" s="18">
        <v>2.0</v>
      </c>
      <c r="J899" s="18">
        <v>3.0</v>
      </c>
      <c r="K899" s="15"/>
      <c r="L899" s="15" t="s">
        <v>2683</v>
      </c>
      <c r="M899" s="15" t="s">
        <v>2684</v>
      </c>
      <c r="N899" s="15" t="s">
        <v>22</v>
      </c>
      <c r="O899" s="20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5" t="s">
        <v>14</v>
      </c>
      <c r="B900" s="15" t="s">
        <v>2679</v>
      </c>
      <c r="C900" s="36" t="s">
        <v>3597</v>
      </c>
      <c r="D900" s="15" t="s">
        <v>2680</v>
      </c>
      <c r="E900" s="15" t="s">
        <v>2681</v>
      </c>
      <c r="F900" s="15" t="s">
        <v>2682</v>
      </c>
      <c r="G900" s="15" t="s">
        <v>387</v>
      </c>
      <c r="H900" s="15" t="s">
        <v>387</v>
      </c>
      <c r="I900" s="18">
        <v>3.0</v>
      </c>
      <c r="J900" s="18">
        <v>4.0</v>
      </c>
      <c r="K900" s="15"/>
      <c r="L900" s="15" t="s">
        <v>2683</v>
      </c>
      <c r="M900" s="15" t="s">
        <v>2684</v>
      </c>
      <c r="N900" s="15" t="s">
        <v>22</v>
      </c>
      <c r="O900" s="20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5" t="s">
        <v>14</v>
      </c>
      <c r="B901" s="15" t="s">
        <v>732</v>
      </c>
      <c r="C901" s="33" t="s">
        <v>3600</v>
      </c>
      <c r="D901" s="15" t="s">
        <v>733</v>
      </c>
      <c r="E901" s="15" t="s">
        <v>734</v>
      </c>
      <c r="F901" s="15" t="s">
        <v>735</v>
      </c>
      <c r="G901" s="15" t="s">
        <v>261</v>
      </c>
      <c r="H901" s="15" t="s">
        <v>736</v>
      </c>
      <c r="I901" s="18">
        <v>1.0</v>
      </c>
      <c r="J901" s="18">
        <v>1.0</v>
      </c>
      <c r="K901" s="15" t="s">
        <v>80</v>
      </c>
      <c r="L901" s="15" t="s">
        <v>2685</v>
      </c>
      <c r="M901" s="15" t="s">
        <v>2686</v>
      </c>
      <c r="N901" s="15" t="s">
        <v>22</v>
      </c>
      <c r="O901" s="20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5" t="s">
        <v>14</v>
      </c>
      <c r="B902" s="15" t="s">
        <v>732</v>
      </c>
      <c r="C902" s="33" t="s">
        <v>3600</v>
      </c>
      <c r="D902" s="15" t="s">
        <v>733</v>
      </c>
      <c r="E902" s="15" t="s">
        <v>734</v>
      </c>
      <c r="F902" s="15" t="s">
        <v>735</v>
      </c>
      <c r="G902" s="15" t="s">
        <v>36</v>
      </c>
      <c r="H902" s="15" t="s">
        <v>546</v>
      </c>
      <c r="I902" s="18" t="s">
        <v>36</v>
      </c>
      <c r="J902" s="18">
        <v>2.0</v>
      </c>
      <c r="K902" s="15"/>
      <c r="L902" s="15" t="s">
        <v>2685</v>
      </c>
      <c r="M902" s="15" t="s">
        <v>2686</v>
      </c>
      <c r="N902" s="15" t="s">
        <v>22</v>
      </c>
      <c r="O902" s="20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5" t="s">
        <v>14</v>
      </c>
      <c r="B903" s="15" t="s">
        <v>732</v>
      </c>
      <c r="C903" s="33" t="s">
        <v>3600</v>
      </c>
      <c r="D903" s="15" t="s">
        <v>733</v>
      </c>
      <c r="E903" s="15" t="s">
        <v>734</v>
      </c>
      <c r="F903" s="15" t="s">
        <v>735</v>
      </c>
      <c r="G903" s="15" t="s">
        <v>575</v>
      </c>
      <c r="H903" s="15" t="s">
        <v>739</v>
      </c>
      <c r="I903" s="18">
        <v>2.0</v>
      </c>
      <c r="J903" s="18">
        <v>3.0</v>
      </c>
      <c r="K903" s="15"/>
      <c r="L903" s="15" t="s">
        <v>2685</v>
      </c>
      <c r="M903" s="15" t="s">
        <v>2686</v>
      </c>
      <c r="N903" s="15" t="s">
        <v>22</v>
      </c>
      <c r="O903" s="20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3" t="s">
        <v>14</v>
      </c>
      <c r="B904" s="3" t="s">
        <v>2687</v>
      </c>
      <c r="C904" s="36" t="s">
        <v>3597</v>
      </c>
      <c r="D904" s="3" t="s">
        <v>2688</v>
      </c>
      <c r="E904" s="3" t="s">
        <v>2689</v>
      </c>
      <c r="F904" s="3" t="s">
        <v>2690</v>
      </c>
      <c r="G904" s="3" t="s">
        <v>362</v>
      </c>
      <c r="H904" s="3" t="s">
        <v>301</v>
      </c>
      <c r="I904" s="4">
        <v>1.0</v>
      </c>
      <c r="J904" s="4">
        <v>1.0</v>
      </c>
      <c r="K904" s="3"/>
      <c r="L904" s="3" t="s">
        <v>2691</v>
      </c>
      <c r="M904" s="3" t="s">
        <v>2692</v>
      </c>
      <c r="N904" s="3" t="s">
        <v>22</v>
      </c>
      <c r="O904" s="5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" t="s">
        <v>14</v>
      </c>
      <c r="B905" s="3" t="s">
        <v>2687</v>
      </c>
      <c r="C905" s="36" t="s">
        <v>3597</v>
      </c>
      <c r="D905" s="3" t="s">
        <v>2688</v>
      </c>
      <c r="E905" s="3" t="s">
        <v>2689</v>
      </c>
      <c r="F905" s="3" t="s">
        <v>2690</v>
      </c>
      <c r="G905" s="3" t="s">
        <v>469</v>
      </c>
      <c r="H905" s="3" t="s">
        <v>2693</v>
      </c>
      <c r="I905" s="4">
        <v>2.0</v>
      </c>
      <c r="J905" s="4">
        <v>2.0</v>
      </c>
      <c r="K905" s="3"/>
      <c r="L905" s="3" t="s">
        <v>2691</v>
      </c>
      <c r="M905" s="3" t="s">
        <v>2692</v>
      </c>
      <c r="N905" s="3" t="s">
        <v>22</v>
      </c>
      <c r="O905" s="5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" t="s">
        <v>14</v>
      </c>
      <c r="B906" s="3" t="s">
        <v>2687</v>
      </c>
      <c r="C906" s="36" t="s">
        <v>3597</v>
      </c>
      <c r="D906" s="3" t="s">
        <v>2688</v>
      </c>
      <c r="E906" s="3" t="s">
        <v>2689</v>
      </c>
      <c r="F906" s="3" t="s">
        <v>2690</v>
      </c>
      <c r="G906" s="3" t="s">
        <v>784</v>
      </c>
      <c r="H906" s="3" t="s">
        <v>784</v>
      </c>
      <c r="I906" s="4">
        <v>3.0</v>
      </c>
      <c r="J906" s="4">
        <v>3.0</v>
      </c>
      <c r="K906" s="3"/>
      <c r="L906" s="3" t="s">
        <v>2691</v>
      </c>
      <c r="M906" s="3" t="s">
        <v>2692</v>
      </c>
      <c r="N906" s="3" t="s">
        <v>22</v>
      </c>
      <c r="O906" s="5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15" t="s">
        <v>14</v>
      </c>
      <c r="B907" s="15" t="s">
        <v>2694</v>
      </c>
      <c r="C907" s="36" t="s">
        <v>3609</v>
      </c>
      <c r="D907" s="15" t="s">
        <v>2695</v>
      </c>
      <c r="E907" s="15" t="s">
        <v>2696</v>
      </c>
      <c r="F907" s="15" t="s">
        <v>2697</v>
      </c>
      <c r="G907" s="15"/>
      <c r="H907" s="15"/>
      <c r="I907" s="18"/>
      <c r="J907" s="18"/>
      <c r="K907" s="15"/>
      <c r="L907" s="15" t="s">
        <v>2698</v>
      </c>
      <c r="M907" s="15" t="s">
        <v>2699</v>
      </c>
      <c r="N907" s="15" t="s">
        <v>22</v>
      </c>
      <c r="O907" s="15" t="s">
        <v>560</v>
      </c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3" t="s">
        <v>14</v>
      </c>
      <c r="B908" s="3" t="s">
        <v>2700</v>
      </c>
      <c r="C908" s="33" t="s">
        <v>3610</v>
      </c>
      <c r="D908" s="3" t="s">
        <v>2701</v>
      </c>
      <c r="E908" s="3" t="s">
        <v>2700</v>
      </c>
      <c r="F908" s="3" t="s">
        <v>2702</v>
      </c>
      <c r="G908" s="3" t="s">
        <v>2700</v>
      </c>
      <c r="H908" s="3" t="s">
        <v>797</v>
      </c>
      <c r="I908" s="4">
        <v>1.0</v>
      </c>
      <c r="J908" s="4">
        <v>1.0</v>
      </c>
      <c r="K908" s="3" t="s">
        <v>80</v>
      </c>
      <c r="L908" s="3" t="s">
        <v>2703</v>
      </c>
      <c r="M908" s="3" t="s">
        <v>2704</v>
      </c>
      <c r="N908" s="3" t="s">
        <v>22</v>
      </c>
      <c r="O908" s="5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" t="s">
        <v>14</v>
      </c>
      <c r="B909" s="3" t="s">
        <v>2700</v>
      </c>
      <c r="C909" s="33" t="s">
        <v>3610</v>
      </c>
      <c r="D909" s="3" t="s">
        <v>2701</v>
      </c>
      <c r="E909" s="3" t="s">
        <v>2700</v>
      </c>
      <c r="F909" s="3" t="s">
        <v>2702</v>
      </c>
      <c r="G909" s="3" t="s">
        <v>36</v>
      </c>
      <c r="H909" s="3" t="s">
        <v>24</v>
      </c>
      <c r="I909" s="4" t="s">
        <v>36</v>
      </c>
      <c r="J909" s="4">
        <v>2.0</v>
      </c>
      <c r="K909" s="3"/>
      <c r="L909" s="3" t="s">
        <v>2703</v>
      </c>
      <c r="M909" s="3" t="s">
        <v>2704</v>
      </c>
      <c r="N909" s="3" t="s">
        <v>22</v>
      </c>
      <c r="O909" s="5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15" t="s">
        <v>14</v>
      </c>
      <c r="B910" s="15" t="s">
        <v>2705</v>
      </c>
      <c r="C910" s="33" t="s">
        <v>3600</v>
      </c>
      <c r="D910" s="15" t="s">
        <v>2706</v>
      </c>
      <c r="E910" s="15" t="s">
        <v>2707</v>
      </c>
      <c r="F910" s="15" t="s">
        <v>2708</v>
      </c>
      <c r="G910" s="15" t="s">
        <v>36</v>
      </c>
      <c r="H910" s="15" t="s">
        <v>49</v>
      </c>
      <c r="I910" s="18" t="s">
        <v>36</v>
      </c>
      <c r="J910" s="18">
        <v>1.0</v>
      </c>
      <c r="K910" s="15" t="s">
        <v>80</v>
      </c>
      <c r="L910" s="15" t="s">
        <v>2709</v>
      </c>
      <c r="M910" s="15" t="s">
        <v>2710</v>
      </c>
      <c r="N910" s="15" t="s">
        <v>22</v>
      </c>
      <c r="O910" s="20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5" t="s">
        <v>14</v>
      </c>
      <c r="B911" s="15" t="s">
        <v>2705</v>
      </c>
      <c r="C911" s="33" t="s">
        <v>3600</v>
      </c>
      <c r="D911" s="15" t="s">
        <v>2706</v>
      </c>
      <c r="E911" s="15" t="s">
        <v>2707</v>
      </c>
      <c r="F911" s="15" t="s">
        <v>2708</v>
      </c>
      <c r="G911" s="15" t="s">
        <v>2711</v>
      </c>
      <c r="H911" s="15" t="s">
        <v>290</v>
      </c>
      <c r="I911" s="18">
        <v>1.0</v>
      </c>
      <c r="J911" s="18">
        <v>2.0</v>
      </c>
      <c r="K911" s="15"/>
      <c r="L911" s="15" t="s">
        <v>2709</v>
      </c>
      <c r="M911" s="15" t="s">
        <v>2710</v>
      </c>
      <c r="N911" s="15" t="s">
        <v>22</v>
      </c>
      <c r="O911" s="20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5" t="s">
        <v>14</v>
      </c>
      <c r="B912" s="15" t="s">
        <v>2705</v>
      </c>
      <c r="C912" s="33" t="s">
        <v>3600</v>
      </c>
      <c r="D912" s="15" t="s">
        <v>2706</v>
      </c>
      <c r="E912" s="15" t="s">
        <v>2707</v>
      </c>
      <c r="F912" s="15" t="s">
        <v>2708</v>
      </c>
      <c r="G912" s="15" t="s">
        <v>387</v>
      </c>
      <c r="H912" s="15" t="s">
        <v>387</v>
      </c>
      <c r="I912" s="18">
        <v>2.0</v>
      </c>
      <c r="J912" s="18">
        <v>3.0</v>
      </c>
      <c r="K912" s="15"/>
      <c r="L912" s="15" t="s">
        <v>2709</v>
      </c>
      <c r="M912" s="15" t="s">
        <v>2710</v>
      </c>
      <c r="N912" s="15" t="s">
        <v>22</v>
      </c>
      <c r="O912" s="20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5" t="s">
        <v>14</v>
      </c>
      <c r="B913" s="15" t="s">
        <v>2712</v>
      </c>
      <c r="C913" s="33" t="s">
        <v>3600</v>
      </c>
      <c r="D913" s="15" t="s">
        <v>2713</v>
      </c>
      <c r="E913" s="15" t="s">
        <v>2714</v>
      </c>
      <c r="F913" s="15" t="s">
        <v>2715</v>
      </c>
      <c r="G913" s="15"/>
      <c r="H913" s="15"/>
      <c r="I913" s="18"/>
      <c r="J913" s="18"/>
      <c r="K913" s="15"/>
      <c r="L913" s="15" t="s">
        <v>2716</v>
      </c>
      <c r="M913" s="15" t="s">
        <v>2717</v>
      </c>
      <c r="N913" s="15" t="s">
        <v>22</v>
      </c>
      <c r="O913" s="15" t="s">
        <v>560</v>
      </c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3" t="s">
        <v>14</v>
      </c>
      <c r="B914" s="3" t="s">
        <v>2718</v>
      </c>
      <c r="C914" s="33" t="s">
        <v>3600</v>
      </c>
      <c r="D914" s="3" t="s">
        <v>2719</v>
      </c>
      <c r="E914" s="3" t="s">
        <v>2720</v>
      </c>
      <c r="F914" s="3" t="s">
        <v>2719</v>
      </c>
      <c r="G914" s="3" t="s">
        <v>1180</v>
      </c>
      <c r="H914" s="3" t="s">
        <v>2719</v>
      </c>
      <c r="I914" s="4">
        <v>1.0</v>
      </c>
      <c r="J914" s="4">
        <v>1.0</v>
      </c>
      <c r="K914" s="3"/>
      <c r="L914" s="3" t="s">
        <v>2721</v>
      </c>
      <c r="M914" s="3" t="s">
        <v>2722</v>
      </c>
      <c r="N914" s="3" t="s">
        <v>22</v>
      </c>
      <c r="O914" s="5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" t="s">
        <v>14</v>
      </c>
      <c r="B915" s="3" t="s">
        <v>2718</v>
      </c>
      <c r="C915" s="33" t="s">
        <v>3600</v>
      </c>
      <c r="D915" s="3" t="s">
        <v>2719</v>
      </c>
      <c r="E915" s="3" t="s">
        <v>2720</v>
      </c>
      <c r="F915" s="3" t="s">
        <v>2719</v>
      </c>
      <c r="G915" s="3" t="s">
        <v>848</v>
      </c>
      <c r="H915" s="3" t="s">
        <v>36</v>
      </c>
      <c r="I915" s="4">
        <v>2.0</v>
      </c>
      <c r="J915" s="4" t="s">
        <v>36</v>
      </c>
      <c r="K915" s="3"/>
      <c r="L915" s="3" t="s">
        <v>2721</v>
      </c>
      <c r="M915" s="3" t="s">
        <v>2722</v>
      </c>
      <c r="N915" s="3" t="s">
        <v>22</v>
      </c>
      <c r="O915" s="5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" t="s">
        <v>14</v>
      </c>
      <c r="B916" s="3" t="s">
        <v>2723</v>
      </c>
      <c r="C916" s="33" t="s">
        <v>3600</v>
      </c>
      <c r="D916" s="3" t="s">
        <v>2724</v>
      </c>
      <c r="E916" s="3" t="s">
        <v>2725</v>
      </c>
      <c r="F916" s="3" t="s">
        <v>2724</v>
      </c>
      <c r="G916" s="3" t="s">
        <v>878</v>
      </c>
      <c r="H916" s="3" t="s">
        <v>2724</v>
      </c>
      <c r="I916" s="4">
        <v>1.0</v>
      </c>
      <c r="J916" s="4">
        <v>1.0</v>
      </c>
      <c r="K916" s="3"/>
      <c r="L916" s="3" t="s">
        <v>2726</v>
      </c>
      <c r="M916" s="3" t="s">
        <v>2727</v>
      </c>
      <c r="N916" s="3" t="s">
        <v>22</v>
      </c>
      <c r="O916" s="5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" t="s">
        <v>14</v>
      </c>
      <c r="B917" s="3" t="s">
        <v>2723</v>
      </c>
      <c r="C917" s="33" t="s">
        <v>3600</v>
      </c>
      <c r="D917" s="3" t="s">
        <v>2724</v>
      </c>
      <c r="E917" s="3" t="s">
        <v>2725</v>
      </c>
      <c r="F917" s="3" t="s">
        <v>2724</v>
      </c>
      <c r="G917" s="3" t="s">
        <v>362</v>
      </c>
      <c r="H917" s="3" t="s">
        <v>36</v>
      </c>
      <c r="I917" s="4">
        <v>2.0</v>
      </c>
      <c r="J917" s="4" t="s">
        <v>36</v>
      </c>
      <c r="K917" s="3"/>
      <c r="L917" s="3" t="s">
        <v>2726</v>
      </c>
      <c r="M917" s="3" t="s">
        <v>2727</v>
      </c>
      <c r="N917" s="3" t="s">
        <v>22</v>
      </c>
      <c r="O917" s="5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" t="s">
        <v>14</v>
      </c>
      <c r="B918" s="3" t="s">
        <v>2728</v>
      </c>
      <c r="C918" s="33" t="s">
        <v>3603</v>
      </c>
      <c r="D918" s="3" t="s">
        <v>2729</v>
      </c>
      <c r="E918" s="3" t="s">
        <v>2730</v>
      </c>
      <c r="F918" s="3" t="s">
        <v>2731</v>
      </c>
      <c r="G918" s="3" t="s">
        <v>1968</v>
      </c>
      <c r="H918" s="3" t="s">
        <v>1968</v>
      </c>
      <c r="I918" s="4">
        <v>1.0</v>
      </c>
      <c r="J918" s="4">
        <v>1.0</v>
      </c>
      <c r="K918" s="3"/>
      <c r="L918" s="3" t="s">
        <v>2732</v>
      </c>
      <c r="M918" s="3" t="s">
        <v>2733</v>
      </c>
      <c r="N918" s="3" t="s">
        <v>22</v>
      </c>
      <c r="O918" s="5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" t="s">
        <v>14</v>
      </c>
      <c r="B919" s="3" t="s">
        <v>2728</v>
      </c>
      <c r="C919" s="33" t="s">
        <v>3603</v>
      </c>
      <c r="D919" s="3" t="s">
        <v>2729</v>
      </c>
      <c r="E919" s="3" t="s">
        <v>2730</v>
      </c>
      <c r="F919" s="3" t="s">
        <v>2731</v>
      </c>
      <c r="G919" s="3" t="s">
        <v>784</v>
      </c>
      <c r="H919" s="3" t="s">
        <v>2207</v>
      </c>
      <c r="I919" s="4">
        <v>2.0</v>
      </c>
      <c r="J919" s="4">
        <v>2.0</v>
      </c>
      <c r="K919" s="3"/>
      <c r="L919" s="3" t="s">
        <v>2732</v>
      </c>
      <c r="M919" s="3" t="s">
        <v>2733</v>
      </c>
      <c r="N919" s="3" t="s">
        <v>22</v>
      </c>
      <c r="O919" s="5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" t="s">
        <v>14</v>
      </c>
      <c r="B920" s="3" t="s">
        <v>2734</v>
      </c>
      <c r="C920" s="33" t="s">
        <v>3600</v>
      </c>
      <c r="D920" s="3" t="s">
        <v>2735</v>
      </c>
      <c r="E920" s="3" t="s">
        <v>2736</v>
      </c>
      <c r="F920" s="3" t="s">
        <v>2737</v>
      </c>
      <c r="G920" s="3" t="s">
        <v>623</v>
      </c>
      <c r="H920" s="3" t="s">
        <v>623</v>
      </c>
      <c r="I920" s="4">
        <v>1.0</v>
      </c>
      <c r="J920" s="4">
        <v>1.0</v>
      </c>
      <c r="K920" s="3"/>
      <c r="L920" s="3" t="s">
        <v>2738</v>
      </c>
      <c r="M920" s="3" t="s">
        <v>2739</v>
      </c>
      <c r="N920" s="3" t="s">
        <v>22</v>
      </c>
      <c r="O920" s="5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" t="s">
        <v>14</v>
      </c>
      <c r="B921" s="3" t="s">
        <v>2734</v>
      </c>
      <c r="C921" s="33" t="s">
        <v>3600</v>
      </c>
      <c r="D921" s="3" t="s">
        <v>2735</v>
      </c>
      <c r="E921" s="3" t="s">
        <v>2736</v>
      </c>
      <c r="F921" s="3" t="s">
        <v>2737</v>
      </c>
      <c r="G921" s="3" t="s">
        <v>784</v>
      </c>
      <c r="H921" s="3" t="s">
        <v>2207</v>
      </c>
      <c r="I921" s="4">
        <v>2.0</v>
      </c>
      <c r="J921" s="4">
        <v>2.0</v>
      </c>
      <c r="K921" s="3"/>
      <c r="L921" s="3" t="s">
        <v>2738</v>
      </c>
      <c r="M921" s="3" t="s">
        <v>2739</v>
      </c>
      <c r="N921" s="3" t="s">
        <v>22</v>
      </c>
      <c r="O921" s="5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" t="s">
        <v>14</v>
      </c>
      <c r="B922" s="3" t="s">
        <v>2740</v>
      </c>
      <c r="C922" s="36" t="s">
        <v>3597</v>
      </c>
      <c r="D922" s="3" t="s">
        <v>2741</v>
      </c>
      <c r="E922" s="3" t="s">
        <v>2742</v>
      </c>
      <c r="F922" s="3" t="s">
        <v>2743</v>
      </c>
      <c r="G922" s="3" t="s">
        <v>2744</v>
      </c>
      <c r="H922" s="3" t="s">
        <v>739</v>
      </c>
      <c r="I922" s="4">
        <v>1.0</v>
      </c>
      <c r="J922" s="4">
        <v>1.0</v>
      </c>
      <c r="K922" s="3" t="s">
        <v>72</v>
      </c>
      <c r="L922" s="3" t="s">
        <v>2745</v>
      </c>
      <c r="M922" s="3" t="s">
        <v>2746</v>
      </c>
      <c r="N922" s="3" t="s">
        <v>22</v>
      </c>
      <c r="O922" s="5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" t="s">
        <v>14</v>
      </c>
      <c r="B923" s="3" t="s">
        <v>2740</v>
      </c>
      <c r="C923" s="36" t="s">
        <v>3597</v>
      </c>
      <c r="D923" s="3" t="s">
        <v>2741</v>
      </c>
      <c r="E923" s="3" t="s">
        <v>2742</v>
      </c>
      <c r="F923" s="3" t="s">
        <v>2743</v>
      </c>
      <c r="G923" s="3" t="s">
        <v>2023</v>
      </c>
      <c r="H923" s="3" t="s">
        <v>1075</v>
      </c>
      <c r="I923" s="4">
        <v>2.0</v>
      </c>
      <c r="J923" s="4">
        <v>2.0</v>
      </c>
      <c r="K923" s="3"/>
      <c r="L923" s="3" t="s">
        <v>2745</v>
      </c>
      <c r="M923" s="3" t="s">
        <v>2746</v>
      </c>
      <c r="N923" s="3" t="s">
        <v>22</v>
      </c>
      <c r="O923" s="5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" t="s">
        <v>14</v>
      </c>
      <c r="B924" s="3" t="s">
        <v>2740</v>
      </c>
      <c r="C924" s="36" t="s">
        <v>3597</v>
      </c>
      <c r="D924" s="3" t="s">
        <v>2741</v>
      </c>
      <c r="E924" s="3" t="s">
        <v>2742</v>
      </c>
      <c r="F924" s="3" t="s">
        <v>2743</v>
      </c>
      <c r="G924" s="3" t="s">
        <v>172</v>
      </c>
      <c r="H924" s="3" t="s">
        <v>334</v>
      </c>
      <c r="I924" s="4">
        <v>3.0</v>
      </c>
      <c r="J924" s="4">
        <v>3.0</v>
      </c>
      <c r="K924" s="3"/>
      <c r="L924" s="3" t="s">
        <v>2745</v>
      </c>
      <c r="M924" s="3" t="s">
        <v>2746</v>
      </c>
      <c r="N924" s="3" t="s">
        <v>22</v>
      </c>
      <c r="O924" s="5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" t="s">
        <v>14</v>
      </c>
      <c r="B925" s="3" t="s">
        <v>2747</v>
      </c>
      <c r="C925" s="33" t="s">
        <v>3600</v>
      </c>
      <c r="D925" s="3" t="s">
        <v>2748</v>
      </c>
      <c r="E925" s="3" t="s">
        <v>2749</v>
      </c>
      <c r="F925" s="3" t="s">
        <v>2750</v>
      </c>
      <c r="G925" s="3" t="s">
        <v>2751</v>
      </c>
      <c r="H925" s="3" t="s">
        <v>2123</v>
      </c>
      <c r="I925" s="4">
        <v>1.0</v>
      </c>
      <c r="J925" s="4">
        <v>1.0</v>
      </c>
      <c r="K925" s="3"/>
      <c r="L925" s="3" t="s">
        <v>2752</v>
      </c>
      <c r="M925" s="3" t="s">
        <v>2753</v>
      </c>
      <c r="N925" s="3" t="s">
        <v>22</v>
      </c>
      <c r="O925" s="5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" t="s">
        <v>14</v>
      </c>
      <c r="B926" s="3" t="s">
        <v>2747</v>
      </c>
      <c r="C926" s="33" t="s">
        <v>3600</v>
      </c>
      <c r="D926" s="3" t="s">
        <v>2748</v>
      </c>
      <c r="E926" s="3" t="s">
        <v>2749</v>
      </c>
      <c r="F926" s="3" t="s">
        <v>2750</v>
      </c>
      <c r="G926" s="3" t="s">
        <v>2754</v>
      </c>
      <c r="H926" s="3" t="s">
        <v>2755</v>
      </c>
      <c r="I926" s="4">
        <v>2.0</v>
      </c>
      <c r="J926" s="4">
        <v>2.0</v>
      </c>
      <c r="K926" s="3"/>
      <c r="L926" s="3" t="s">
        <v>2752</v>
      </c>
      <c r="M926" s="3" t="s">
        <v>2753</v>
      </c>
      <c r="N926" s="3" t="s">
        <v>22</v>
      </c>
      <c r="O926" s="5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" t="s">
        <v>14</v>
      </c>
      <c r="B927" s="3" t="s">
        <v>2756</v>
      </c>
      <c r="C927" s="36" t="s">
        <v>3627</v>
      </c>
      <c r="D927" s="3" t="s">
        <v>2757</v>
      </c>
      <c r="E927" s="3" t="s">
        <v>2758</v>
      </c>
      <c r="F927" s="3" t="s">
        <v>2759</v>
      </c>
      <c r="G927" s="3" t="s">
        <v>233</v>
      </c>
      <c r="H927" s="3" t="s">
        <v>2760</v>
      </c>
      <c r="I927" s="4">
        <v>1.0</v>
      </c>
      <c r="J927" s="4">
        <v>1.0</v>
      </c>
      <c r="K927" s="3" t="s">
        <v>80</v>
      </c>
      <c r="L927" s="3" t="s">
        <v>2761</v>
      </c>
      <c r="M927" s="3" t="s">
        <v>2762</v>
      </c>
      <c r="N927" s="3" t="s">
        <v>22</v>
      </c>
      <c r="O927" s="5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" t="s">
        <v>14</v>
      </c>
      <c r="B928" s="3" t="s">
        <v>2756</v>
      </c>
      <c r="C928" s="36" t="s">
        <v>3627</v>
      </c>
      <c r="D928" s="3" t="s">
        <v>2757</v>
      </c>
      <c r="E928" s="3" t="s">
        <v>2758</v>
      </c>
      <c r="F928" s="3" t="s">
        <v>2759</v>
      </c>
      <c r="G928" s="3" t="s">
        <v>2763</v>
      </c>
      <c r="H928" s="3" t="s">
        <v>810</v>
      </c>
      <c r="I928" s="4">
        <v>2.0</v>
      </c>
      <c r="J928" s="4">
        <v>2.0</v>
      </c>
      <c r="K928" s="3"/>
      <c r="L928" s="3" t="s">
        <v>2761</v>
      </c>
      <c r="M928" s="3" t="s">
        <v>2762</v>
      </c>
      <c r="N928" s="3" t="s">
        <v>22</v>
      </c>
      <c r="O928" s="5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" t="s">
        <v>14</v>
      </c>
      <c r="B929" s="3" t="s">
        <v>2756</v>
      </c>
      <c r="C929" s="36" t="s">
        <v>3627</v>
      </c>
      <c r="D929" s="3" t="s">
        <v>2757</v>
      </c>
      <c r="E929" s="3" t="s">
        <v>2758</v>
      </c>
      <c r="F929" s="3" t="s">
        <v>2759</v>
      </c>
      <c r="G929" s="17" t="s">
        <v>36</v>
      </c>
      <c r="H929" s="3" t="s">
        <v>1983</v>
      </c>
      <c r="I929" s="4" t="s">
        <v>36</v>
      </c>
      <c r="J929" s="4">
        <v>3.0</v>
      </c>
      <c r="K929" s="3"/>
      <c r="L929" s="3" t="s">
        <v>2761</v>
      </c>
      <c r="M929" s="3" t="s">
        <v>2762</v>
      </c>
      <c r="N929" s="3" t="s">
        <v>22</v>
      </c>
      <c r="O929" s="5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" t="s">
        <v>14</v>
      </c>
      <c r="B930" s="3" t="s">
        <v>2764</v>
      </c>
      <c r="C930" s="33" t="s">
        <v>3628</v>
      </c>
      <c r="D930" s="3" t="s">
        <v>2765</v>
      </c>
      <c r="E930" s="3" t="s">
        <v>2764</v>
      </c>
      <c r="F930" s="3" t="s">
        <v>2765</v>
      </c>
      <c r="G930" s="3" t="s">
        <v>2764</v>
      </c>
      <c r="H930" s="3" t="s">
        <v>2765</v>
      </c>
      <c r="I930" s="4">
        <v>1.0</v>
      </c>
      <c r="J930" s="4">
        <v>1.0</v>
      </c>
      <c r="K930" s="3"/>
      <c r="L930" s="3" t="s">
        <v>2766</v>
      </c>
      <c r="M930" s="3" t="s">
        <v>2767</v>
      </c>
      <c r="N930" s="3" t="s">
        <v>22</v>
      </c>
      <c r="O930" s="5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" t="s">
        <v>14</v>
      </c>
      <c r="B931" s="3" t="s">
        <v>2768</v>
      </c>
      <c r="C931" s="33" t="s">
        <v>3600</v>
      </c>
      <c r="D931" s="3" t="s">
        <v>2769</v>
      </c>
      <c r="E931" s="3" t="s">
        <v>2770</v>
      </c>
      <c r="F931" s="3" t="s">
        <v>2771</v>
      </c>
      <c r="G931" s="3" t="s">
        <v>614</v>
      </c>
      <c r="H931" s="3" t="s">
        <v>614</v>
      </c>
      <c r="I931" s="4">
        <v>1.0</v>
      </c>
      <c r="J931" s="4">
        <v>1.0</v>
      </c>
      <c r="K931" s="3"/>
      <c r="L931" s="3" t="s">
        <v>2772</v>
      </c>
      <c r="M931" s="3" t="s">
        <v>2773</v>
      </c>
      <c r="N931" s="3" t="s">
        <v>22</v>
      </c>
      <c r="O931" s="5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" t="s">
        <v>14</v>
      </c>
      <c r="B932" s="3" t="s">
        <v>2768</v>
      </c>
      <c r="C932" s="33" t="s">
        <v>3600</v>
      </c>
      <c r="D932" s="3" t="s">
        <v>2769</v>
      </c>
      <c r="E932" s="3" t="s">
        <v>2770</v>
      </c>
      <c r="F932" s="3" t="s">
        <v>2771</v>
      </c>
      <c r="G932" s="3" t="s">
        <v>55</v>
      </c>
      <c r="H932" s="3" t="s">
        <v>56</v>
      </c>
      <c r="I932" s="4">
        <v>2.0</v>
      </c>
      <c r="J932" s="4">
        <v>2.0</v>
      </c>
      <c r="K932" s="3"/>
      <c r="L932" s="3" t="s">
        <v>2772</v>
      </c>
      <c r="M932" s="3" t="s">
        <v>2773</v>
      </c>
      <c r="N932" s="3" t="s">
        <v>22</v>
      </c>
      <c r="O932" s="5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" t="s">
        <v>14</v>
      </c>
      <c r="B933" s="3" t="s">
        <v>2774</v>
      </c>
      <c r="C933" s="33" t="s">
        <v>3600</v>
      </c>
      <c r="D933" s="3" t="s">
        <v>2775</v>
      </c>
      <c r="E933" s="3" t="s">
        <v>2776</v>
      </c>
      <c r="F933" s="3" t="s">
        <v>2777</v>
      </c>
      <c r="G933" s="3" t="s">
        <v>2778</v>
      </c>
      <c r="H933" s="3" t="s">
        <v>2779</v>
      </c>
      <c r="I933" s="4">
        <v>1.0</v>
      </c>
      <c r="J933" s="4">
        <v>1.0</v>
      </c>
      <c r="K933" s="3"/>
      <c r="L933" s="3" t="s">
        <v>2780</v>
      </c>
      <c r="M933" s="3" t="s">
        <v>2781</v>
      </c>
      <c r="N933" s="3" t="s">
        <v>22</v>
      </c>
      <c r="O933" s="5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" t="s">
        <v>14</v>
      </c>
      <c r="B934" s="3" t="s">
        <v>2774</v>
      </c>
      <c r="C934" s="33" t="s">
        <v>3600</v>
      </c>
      <c r="D934" s="3" t="s">
        <v>2775</v>
      </c>
      <c r="E934" s="3" t="s">
        <v>2776</v>
      </c>
      <c r="F934" s="3" t="s">
        <v>2777</v>
      </c>
      <c r="G934" s="3" t="s">
        <v>425</v>
      </c>
      <c r="H934" s="3" t="s">
        <v>425</v>
      </c>
      <c r="I934" s="4">
        <v>2.0</v>
      </c>
      <c r="J934" s="4">
        <v>2.0</v>
      </c>
      <c r="K934" s="3"/>
      <c r="L934" s="3" t="s">
        <v>2780</v>
      </c>
      <c r="M934" s="3" t="s">
        <v>2781</v>
      </c>
      <c r="N934" s="3" t="s">
        <v>22</v>
      </c>
      <c r="O934" s="5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" t="s">
        <v>14</v>
      </c>
      <c r="B935" s="3" t="s">
        <v>2782</v>
      </c>
      <c r="C935" s="36" t="s">
        <v>3624</v>
      </c>
      <c r="D935" s="3" t="s">
        <v>2783</v>
      </c>
      <c r="E935" s="3" t="s">
        <v>2784</v>
      </c>
      <c r="F935" s="3" t="s">
        <v>2785</v>
      </c>
      <c r="G935" s="3" t="s">
        <v>2786</v>
      </c>
      <c r="H935" s="3" t="s">
        <v>753</v>
      </c>
      <c r="I935" s="4">
        <v>1.0</v>
      </c>
      <c r="J935" s="4">
        <v>1.0</v>
      </c>
      <c r="K935" s="3" t="s">
        <v>72</v>
      </c>
      <c r="L935" s="3" t="s">
        <v>2787</v>
      </c>
      <c r="M935" s="3" t="s">
        <v>2788</v>
      </c>
      <c r="N935" s="3" t="s">
        <v>22</v>
      </c>
      <c r="O935" s="5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" t="s">
        <v>14</v>
      </c>
      <c r="B936" s="3" t="s">
        <v>2782</v>
      </c>
      <c r="C936" s="36" t="s">
        <v>3624</v>
      </c>
      <c r="D936" s="3" t="s">
        <v>2783</v>
      </c>
      <c r="E936" s="3" t="s">
        <v>2784</v>
      </c>
      <c r="F936" s="3" t="s">
        <v>2785</v>
      </c>
      <c r="G936" s="3" t="s">
        <v>2023</v>
      </c>
      <c r="H936" s="3" t="s">
        <v>2789</v>
      </c>
      <c r="I936" s="4">
        <v>2.0</v>
      </c>
      <c r="J936" s="4">
        <v>2.0</v>
      </c>
      <c r="K936" s="3"/>
      <c r="L936" s="3" t="s">
        <v>2787</v>
      </c>
      <c r="M936" s="3" t="s">
        <v>2788</v>
      </c>
      <c r="N936" s="3" t="s">
        <v>22</v>
      </c>
      <c r="O936" s="5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" t="s">
        <v>14</v>
      </c>
      <c r="B937" s="3" t="s">
        <v>2782</v>
      </c>
      <c r="C937" s="36" t="s">
        <v>3624</v>
      </c>
      <c r="D937" s="3" t="s">
        <v>2783</v>
      </c>
      <c r="E937" s="3" t="s">
        <v>2784</v>
      </c>
      <c r="F937" s="3" t="s">
        <v>2785</v>
      </c>
      <c r="G937" s="3" t="s">
        <v>1647</v>
      </c>
      <c r="H937" s="3" t="s">
        <v>1983</v>
      </c>
      <c r="I937" s="4">
        <v>3.0</v>
      </c>
      <c r="J937" s="4">
        <v>3.0</v>
      </c>
      <c r="K937" s="3"/>
      <c r="L937" s="3" t="s">
        <v>2787</v>
      </c>
      <c r="M937" s="3" t="s">
        <v>2788</v>
      </c>
      <c r="N937" s="3" t="s">
        <v>22</v>
      </c>
      <c r="O937" s="5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" t="s">
        <v>14</v>
      </c>
      <c r="B938" s="3" t="s">
        <v>2790</v>
      </c>
      <c r="C938" s="33" t="s">
        <v>3600</v>
      </c>
      <c r="D938" s="3" t="s">
        <v>2791</v>
      </c>
      <c r="E938" s="3" t="s">
        <v>2792</v>
      </c>
      <c r="F938" s="3" t="s">
        <v>2791</v>
      </c>
      <c r="G938" s="3" t="s">
        <v>2793</v>
      </c>
      <c r="H938" s="3" t="s">
        <v>2791</v>
      </c>
      <c r="I938" s="4">
        <v>1.0</v>
      </c>
      <c r="J938" s="4">
        <v>1.0</v>
      </c>
      <c r="K938" s="3"/>
      <c r="L938" s="3" t="s">
        <v>2794</v>
      </c>
      <c r="M938" s="3" t="s">
        <v>2795</v>
      </c>
      <c r="N938" s="3" t="s">
        <v>22</v>
      </c>
      <c r="O938" s="5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" t="s">
        <v>14</v>
      </c>
      <c r="B939" s="3" t="s">
        <v>2790</v>
      </c>
      <c r="C939" s="33" t="s">
        <v>3600</v>
      </c>
      <c r="D939" s="3" t="s">
        <v>2791</v>
      </c>
      <c r="E939" s="3" t="s">
        <v>2792</v>
      </c>
      <c r="F939" s="3" t="s">
        <v>2791</v>
      </c>
      <c r="G939" s="3" t="s">
        <v>848</v>
      </c>
      <c r="H939" s="3" t="s">
        <v>36</v>
      </c>
      <c r="I939" s="4">
        <v>2.0</v>
      </c>
      <c r="J939" s="4" t="s">
        <v>36</v>
      </c>
      <c r="K939" s="3"/>
      <c r="L939" s="3" t="s">
        <v>2794</v>
      </c>
      <c r="M939" s="3" t="s">
        <v>2795</v>
      </c>
      <c r="N939" s="3" t="s">
        <v>22</v>
      </c>
      <c r="O939" s="5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" t="s">
        <v>14</v>
      </c>
      <c r="B940" s="3" t="s">
        <v>2796</v>
      </c>
      <c r="C940" s="33" t="s">
        <v>3622</v>
      </c>
      <c r="D940" s="3" t="s">
        <v>2797</v>
      </c>
      <c r="E940" s="3" t="s">
        <v>2796</v>
      </c>
      <c r="F940" s="3" t="s">
        <v>2797</v>
      </c>
      <c r="G940" s="3" t="s">
        <v>2796</v>
      </c>
      <c r="H940" s="3" t="s">
        <v>2797</v>
      </c>
      <c r="I940" s="4">
        <v>1.0</v>
      </c>
      <c r="J940" s="4">
        <v>1.0</v>
      </c>
      <c r="K940" s="3" t="s">
        <v>72</v>
      </c>
      <c r="L940" s="3" t="s">
        <v>2798</v>
      </c>
      <c r="M940" s="3" t="s">
        <v>2799</v>
      </c>
      <c r="N940" s="3" t="s">
        <v>22</v>
      </c>
      <c r="O940" s="5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" t="s">
        <v>14</v>
      </c>
      <c r="B941" s="3" t="s">
        <v>2800</v>
      </c>
      <c r="C941" s="33" t="s">
        <v>3600</v>
      </c>
      <c r="D941" s="3" t="s">
        <v>2801</v>
      </c>
      <c r="E941" s="3" t="s">
        <v>2802</v>
      </c>
      <c r="F941" s="3" t="s">
        <v>2803</v>
      </c>
      <c r="G941" s="3" t="s">
        <v>335</v>
      </c>
      <c r="H941" s="3" t="s">
        <v>2804</v>
      </c>
      <c r="I941" s="4">
        <v>1.0</v>
      </c>
      <c r="J941" s="4">
        <v>1.0</v>
      </c>
      <c r="K941" s="3"/>
      <c r="L941" s="3" t="s">
        <v>2805</v>
      </c>
      <c r="M941" s="3" t="s">
        <v>2806</v>
      </c>
      <c r="N941" s="3" t="s">
        <v>22</v>
      </c>
      <c r="O941" s="5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" t="s">
        <v>14</v>
      </c>
      <c r="B942" s="3" t="s">
        <v>2800</v>
      </c>
      <c r="C942" s="33" t="s">
        <v>3600</v>
      </c>
      <c r="D942" s="3" t="s">
        <v>2801</v>
      </c>
      <c r="E942" s="3" t="s">
        <v>2802</v>
      </c>
      <c r="F942" s="3" t="s">
        <v>2803</v>
      </c>
      <c r="G942" s="3" t="s">
        <v>784</v>
      </c>
      <c r="H942" s="3" t="s">
        <v>784</v>
      </c>
      <c r="I942" s="4">
        <v>2.0</v>
      </c>
      <c r="J942" s="4">
        <v>2.0</v>
      </c>
      <c r="K942" s="3"/>
      <c r="L942" s="3" t="s">
        <v>2805</v>
      </c>
      <c r="M942" s="3" t="s">
        <v>2806</v>
      </c>
      <c r="N942" s="3" t="s">
        <v>22</v>
      </c>
      <c r="O942" s="5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" t="s">
        <v>14</v>
      </c>
      <c r="B943" s="3" t="s">
        <v>2807</v>
      </c>
      <c r="C943" s="36" t="s">
        <v>3593</v>
      </c>
      <c r="D943" s="3" t="s">
        <v>2808</v>
      </c>
      <c r="E943" s="3" t="s">
        <v>2809</v>
      </c>
      <c r="F943" s="3" t="s">
        <v>2810</v>
      </c>
      <c r="G943" s="3" t="s">
        <v>30</v>
      </c>
      <c r="H943" s="3" t="s">
        <v>49</v>
      </c>
      <c r="I943" s="4">
        <v>1.0</v>
      </c>
      <c r="J943" s="4">
        <v>1.0</v>
      </c>
      <c r="K943" s="3" t="s">
        <v>80</v>
      </c>
      <c r="L943" s="3" t="s">
        <v>2811</v>
      </c>
      <c r="M943" s="3" t="s">
        <v>2812</v>
      </c>
      <c r="N943" s="3" t="s">
        <v>22</v>
      </c>
      <c r="O943" s="5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" t="s">
        <v>14</v>
      </c>
      <c r="B944" s="3" t="s">
        <v>2807</v>
      </c>
      <c r="C944" s="36" t="s">
        <v>3593</v>
      </c>
      <c r="D944" s="3" t="s">
        <v>2808</v>
      </c>
      <c r="E944" s="3" t="s">
        <v>2809</v>
      </c>
      <c r="F944" s="3" t="s">
        <v>2810</v>
      </c>
      <c r="G944" s="3" t="s">
        <v>466</v>
      </c>
      <c r="H944" s="3" t="s">
        <v>36</v>
      </c>
      <c r="I944" s="4">
        <v>2.0</v>
      </c>
      <c r="J944" s="4" t="s">
        <v>36</v>
      </c>
      <c r="K944" s="3"/>
      <c r="L944" s="3" t="s">
        <v>2813</v>
      </c>
      <c r="M944" s="3" t="s">
        <v>2812</v>
      </c>
      <c r="N944" s="3" t="s">
        <v>22</v>
      </c>
      <c r="O944" s="5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" t="s">
        <v>14</v>
      </c>
      <c r="B945" s="3" t="s">
        <v>2807</v>
      </c>
      <c r="C945" s="36" t="s">
        <v>3593</v>
      </c>
      <c r="D945" s="3" t="s">
        <v>2808</v>
      </c>
      <c r="E945" s="3" t="s">
        <v>2809</v>
      </c>
      <c r="F945" s="3" t="s">
        <v>2810</v>
      </c>
      <c r="G945" s="3" t="s">
        <v>197</v>
      </c>
      <c r="H945" s="3" t="s">
        <v>2814</v>
      </c>
      <c r="I945" s="4">
        <v>3.0</v>
      </c>
      <c r="J945" s="4">
        <v>2.0</v>
      </c>
      <c r="K945" s="3"/>
      <c r="L945" s="3" t="s">
        <v>2815</v>
      </c>
      <c r="M945" s="3" t="s">
        <v>2812</v>
      </c>
      <c r="N945" s="3" t="s">
        <v>22</v>
      </c>
      <c r="O945" s="5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" t="s">
        <v>14</v>
      </c>
      <c r="B946" s="3" t="s">
        <v>2816</v>
      </c>
      <c r="C946" s="36" t="s">
        <v>3629</v>
      </c>
      <c r="D946" s="3" t="s">
        <v>2817</v>
      </c>
      <c r="E946" s="3" t="s">
        <v>2818</v>
      </c>
      <c r="F946" s="3" t="s">
        <v>2819</v>
      </c>
      <c r="G946" s="3" t="s">
        <v>30</v>
      </c>
      <c r="H946" s="3" t="s">
        <v>49</v>
      </c>
      <c r="I946" s="4">
        <v>1.0</v>
      </c>
      <c r="J946" s="4">
        <v>1.0</v>
      </c>
      <c r="K946" s="3"/>
      <c r="L946" s="3" t="s">
        <v>2820</v>
      </c>
      <c r="M946" s="3" t="s">
        <v>2821</v>
      </c>
      <c r="N946" s="3" t="s">
        <v>22</v>
      </c>
      <c r="O946" s="5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" t="s">
        <v>14</v>
      </c>
      <c r="B947" s="3" t="s">
        <v>2816</v>
      </c>
      <c r="C947" s="36" t="s">
        <v>3629</v>
      </c>
      <c r="D947" s="3" t="s">
        <v>2817</v>
      </c>
      <c r="E947" s="3" t="s">
        <v>2818</v>
      </c>
      <c r="F947" s="3" t="s">
        <v>2819</v>
      </c>
      <c r="G947" s="3" t="s">
        <v>2822</v>
      </c>
      <c r="H947" s="3" t="s">
        <v>2822</v>
      </c>
      <c r="I947" s="4">
        <v>2.0</v>
      </c>
      <c r="J947" s="4">
        <v>2.0</v>
      </c>
      <c r="K947" s="3"/>
      <c r="L947" s="3" t="s">
        <v>2820</v>
      </c>
      <c r="M947" s="3" t="s">
        <v>2821</v>
      </c>
      <c r="N947" s="3" t="s">
        <v>22</v>
      </c>
      <c r="O947" s="5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" t="s">
        <v>14</v>
      </c>
      <c r="B948" s="3" t="s">
        <v>2816</v>
      </c>
      <c r="C948" s="36" t="s">
        <v>3629</v>
      </c>
      <c r="D948" s="3" t="s">
        <v>2817</v>
      </c>
      <c r="E948" s="3" t="s">
        <v>2818</v>
      </c>
      <c r="F948" s="3" t="s">
        <v>2819</v>
      </c>
      <c r="G948" s="3" t="s">
        <v>2206</v>
      </c>
      <c r="H948" s="3" t="s">
        <v>784</v>
      </c>
      <c r="I948" s="4">
        <v>3.0</v>
      </c>
      <c r="J948" s="4">
        <v>3.0</v>
      </c>
      <c r="K948" s="3"/>
      <c r="L948" s="3" t="s">
        <v>2823</v>
      </c>
      <c r="M948" s="3" t="s">
        <v>2821</v>
      </c>
      <c r="N948" s="3" t="s">
        <v>22</v>
      </c>
      <c r="O948" s="5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" t="s">
        <v>14</v>
      </c>
      <c r="B949" s="3" t="s">
        <v>2824</v>
      </c>
      <c r="C949" s="36" t="s">
        <v>3607</v>
      </c>
      <c r="D949" s="3" t="s">
        <v>2825</v>
      </c>
      <c r="E949" s="3" t="s">
        <v>2826</v>
      </c>
      <c r="F949" s="3" t="s">
        <v>2827</v>
      </c>
      <c r="G949" s="3" t="s">
        <v>30</v>
      </c>
      <c r="H949" s="3" t="s">
        <v>49</v>
      </c>
      <c r="I949" s="4">
        <v>1.0</v>
      </c>
      <c r="J949" s="4">
        <v>1.0</v>
      </c>
      <c r="K949" s="3" t="s">
        <v>80</v>
      </c>
      <c r="L949" s="3" t="s">
        <v>2828</v>
      </c>
      <c r="M949" s="3" t="s">
        <v>2829</v>
      </c>
      <c r="N949" s="3" t="s">
        <v>22</v>
      </c>
      <c r="O949" s="5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" t="s">
        <v>14</v>
      </c>
      <c r="B950" s="3" t="s">
        <v>2824</v>
      </c>
      <c r="C950" s="36" t="s">
        <v>3607</v>
      </c>
      <c r="D950" s="3" t="s">
        <v>2825</v>
      </c>
      <c r="E950" s="3" t="s">
        <v>2826</v>
      </c>
      <c r="F950" s="3" t="s">
        <v>2827</v>
      </c>
      <c r="G950" s="3" t="s">
        <v>162</v>
      </c>
      <c r="H950" s="3" t="s">
        <v>158</v>
      </c>
      <c r="I950" s="4">
        <v>2.0</v>
      </c>
      <c r="J950" s="4">
        <v>2.0</v>
      </c>
      <c r="K950" s="3"/>
      <c r="L950" s="3" t="s">
        <v>2828</v>
      </c>
      <c r="M950" s="3" t="s">
        <v>2829</v>
      </c>
      <c r="N950" s="3" t="s">
        <v>22</v>
      </c>
      <c r="O950" s="5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" t="s">
        <v>14</v>
      </c>
      <c r="B951" s="3" t="s">
        <v>2824</v>
      </c>
      <c r="C951" s="36" t="s">
        <v>3607</v>
      </c>
      <c r="D951" s="3" t="s">
        <v>2825</v>
      </c>
      <c r="E951" s="3" t="s">
        <v>2826</v>
      </c>
      <c r="F951" s="3" t="s">
        <v>2827</v>
      </c>
      <c r="G951" s="17" t="s">
        <v>36</v>
      </c>
      <c r="H951" s="3" t="s">
        <v>624</v>
      </c>
      <c r="I951" s="4" t="s">
        <v>36</v>
      </c>
      <c r="J951" s="4">
        <v>3.0</v>
      </c>
      <c r="K951" s="3"/>
      <c r="L951" s="3" t="s">
        <v>2828</v>
      </c>
      <c r="M951" s="3" t="s">
        <v>2829</v>
      </c>
      <c r="N951" s="3" t="s">
        <v>22</v>
      </c>
      <c r="O951" s="5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" t="s">
        <v>14</v>
      </c>
      <c r="B952" s="3" t="s">
        <v>2830</v>
      </c>
      <c r="C952" s="36" t="s">
        <v>3593</v>
      </c>
      <c r="D952" s="3" t="s">
        <v>2831</v>
      </c>
      <c r="E952" s="3" t="s">
        <v>2832</v>
      </c>
      <c r="F952" s="3" t="s">
        <v>2833</v>
      </c>
      <c r="G952" s="3" t="s">
        <v>471</v>
      </c>
      <c r="H952" s="3" t="s">
        <v>2834</v>
      </c>
      <c r="I952" s="4">
        <v>1.0</v>
      </c>
      <c r="J952" s="4">
        <v>1.0</v>
      </c>
      <c r="K952" s="3" t="s">
        <v>80</v>
      </c>
      <c r="L952" s="3" t="s">
        <v>2835</v>
      </c>
      <c r="M952" s="3" t="s">
        <v>2836</v>
      </c>
      <c r="N952" s="3" t="s">
        <v>22</v>
      </c>
      <c r="O952" s="5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" t="s">
        <v>14</v>
      </c>
      <c r="B953" s="3" t="s">
        <v>2830</v>
      </c>
      <c r="C953" s="36" t="s">
        <v>3593</v>
      </c>
      <c r="D953" s="3" t="s">
        <v>2831</v>
      </c>
      <c r="E953" s="3" t="s">
        <v>2832</v>
      </c>
      <c r="F953" s="3" t="s">
        <v>2833</v>
      </c>
      <c r="G953" s="3" t="s">
        <v>2837</v>
      </c>
      <c r="H953" s="3" t="s">
        <v>1800</v>
      </c>
      <c r="I953" s="4">
        <v>2.0</v>
      </c>
      <c r="J953" s="4">
        <v>2.0</v>
      </c>
      <c r="K953" s="3"/>
      <c r="L953" s="3" t="s">
        <v>2835</v>
      </c>
      <c r="M953" s="3" t="s">
        <v>2836</v>
      </c>
      <c r="N953" s="3" t="s">
        <v>22</v>
      </c>
      <c r="O953" s="5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" t="s">
        <v>14</v>
      </c>
      <c r="B954" s="3" t="s">
        <v>2830</v>
      </c>
      <c r="C954" s="36" t="s">
        <v>3593</v>
      </c>
      <c r="D954" s="3" t="s">
        <v>2831</v>
      </c>
      <c r="E954" s="3" t="s">
        <v>2832</v>
      </c>
      <c r="F954" s="3" t="s">
        <v>2833</v>
      </c>
      <c r="G954" s="3" t="s">
        <v>36</v>
      </c>
      <c r="H954" s="3" t="s">
        <v>2838</v>
      </c>
      <c r="I954" s="4" t="s">
        <v>36</v>
      </c>
      <c r="J954" s="4">
        <v>3.0</v>
      </c>
      <c r="K954" s="3"/>
      <c r="L954" s="3" t="s">
        <v>2835</v>
      </c>
      <c r="M954" s="3" t="s">
        <v>2836</v>
      </c>
      <c r="N954" s="3" t="s">
        <v>22</v>
      </c>
      <c r="O954" s="5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" t="s">
        <v>14</v>
      </c>
      <c r="B955" s="3" t="s">
        <v>2830</v>
      </c>
      <c r="C955" s="36" t="s">
        <v>3593</v>
      </c>
      <c r="D955" s="3" t="s">
        <v>2831</v>
      </c>
      <c r="E955" s="3" t="s">
        <v>2832</v>
      </c>
      <c r="F955" s="3" t="s">
        <v>2833</v>
      </c>
      <c r="G955" s="3" t="s">
        <v>55</v>
      </c>
      <c r="H955" s="3" t="s">
        <v>2839</v>
      </c>
      <c r="I955" s="4">
        <v>3.0</v>
      </c>
      <c r="J955" s="4">
        <v>4.0</v>
      </c>
      <c r="K955" s="5"/>
      <c r="L955" s="3" t="s">
        <v>2835</v>
      </c>
      <c r="M955" s="3" t="s">
        <v>2836</v>
      </c>
      <c r="N955" s="3" t="s">
        <v>22</v>
      </c>
      <c r="O955" s="5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" t="s">
        <v>14</v>
      </c>
      <c r="B956" s="3" t="s">
        <v>2840</v>
      </c>
      <c r="C956" s="36" t="s">
        <v>3597</v>
      </c>
      <c r="D956" s="3" t="s">
        <v>2841</v>
      </c>
      <c r="E956" s="3" t="s">
        <v>2842</v>
      </c>
      <c r="F956" s="3" t="s">
        <v>2843</v>
      </c>
      <c r="G956" s="3" t="s">
        <v>801</v>
      </c>
      <c r="H956" s="3" t="s">
        <v>334</v>
      </c>
      <c r="I956" s="4">
        <v>1.0</v>
      </c>
      <c r="J956" s="4">
        <v>1.0</v>
      </c>
      <c r="K956" s="5"/>
      <c r="L956" s="3" t="s">
        <v>2844</v>
      </c>
      <c r="M956" s="3" t="s">
        <v>2845</v>
      </c>
      <c r="N956" s="3" t="s">
        <v>22</v>
      </c>
      <c r="O956" s="5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" t="s">
        <v>14</v>
      </c>
      <c r="B957" s="3" t="s">
        <v>2840</v>
      </c>
      <c r="C957" s="36" t="s">
        <v>3597</v>
      </c>
      <c r="D957" s="3" t="s">
        <v>2841</v>
      </c>
      <c r="E957" s="3" t="s">
        <v>2842</v>
      </c>
      <c r="F957" s="3" t="s">
        <v>2843</v>
      </c>
      <c r="G957" s="3" t="s">
        <v>2846</v>
      </c>
      <c r="H957" s="3" t="s">
        <v>2846</v>
      </c>
      <c r="I957" s="4">
        <v>2.0</v>
      </c>
      <c r="J957" s="4">
        <v>2.0</v>
      </c>
      <c r="K957" s="5"/>
      <c r="L957" s="3" t="s">
        <v>2844</v>
      </c>
      <c r="M957" s="3" t="s">
        <v>2845</v>
      </c>
      <c r="N957" s="3" t="s">
        <v>22</v>
      </c>
      <c r="O957" s="5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" t="s">
        <v>14</v>
      </c>
      <c r="B958" s="3" t="s">
        <v>2840</v>
      </c>
      <c r="C958" s="36" t="s">
        <v>3597</v>
      </c>
      <c r="D958" s="3" t="s">
        <v>2841</v>
      </c>
      <c r="E958" s="3" t="s">
        <v>2842</v>
      </c>
      <c r="F958" s="3" t="s">
        <v>2843</v>
      </c>
      <c r="G958" s="3" t="s">
        <v>143</v>
      </c>
      <c r="H958" s="3" t="s">
        <v>1116</v>
      </c>
      <c r="I958" s="4">
        <v>3.0</v>
      </c>
      <c r="J958" s="4">
        <v>3.0</v>
      </c>
      <c r="K958" s="5"/>
      <c r="L958" s="3" t="s">
        <v>2844</v>
      </c>
      <c r="M958" s="3" t="s">
        <v>2845</v>
      </c>
      <c r="N958" s="3" t="s">
        <v>22</v>
      </c>
      <c r="O958" s="5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" t="s">
        <v>14</v>
      </c>
      <c r="B959" s="3" t="s">
        <v>409</v>
      </c>
      <c r="C959" s="33" t="s">
        <v>3596</v>
      </c>
      <c r="D959" s="3" t="s">
        <v>2847</v>
      </c>
      <c r="E959" s="3" t="s">
        <v>409</v>
      </c>
      <c r="F959" s="3" t="s">
        <v>2848</v>
      </c>
      <c r="G959" s="3" t="s">
        <v>409</v>
      </c>
      <c r="H959" s="3" t="s">
        <v>172</v>
      </c>
      <c r="I959" s="4">
        <v>1.0</v>
      </c>
      <c r="J959" s="4">
        <v>1.0</v>
      </c>
      <c r="K959" s="3" t="s">
        <v>80</v>
      </c>
      <c r="L959" s="3" t="s">
        <v>2849</v>
      </c>
      <c r="M959" s="3" t="s">
        <v>2850</v>
      </c>
      <c r="N959" s="3" t="s">
        <v>22</v>
      </c>
      <c r="O959" s="5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" t="s">
        <v>14</v>
      </c>
      <c r="B960" s="3" t="s">
        <v>409</v>
      </c>
      <c r="C960" s="33" t="s">
        <v>3596</v>
      </c>
      <c r="D960" s="3" t="s">
        <v>2847</v>
      </c>
      <c r="E960" s="3" t="s">
        <v>409</v>
      </c>
      <c r="F960" s="3" t="s">
        <v>2848</v>
      </c>
      <c r="G960" s="3" t="s">
        <v>36</v>
      </c>
      <c r="H960" s="3" t="s">
        <v>19</v>
      </c>
      <c r="I960" s="4" t="s">
        <v>36</v>
      </c>
      <c r="J960" s="4">
        <v>2.0</v>
      </c>
      <c r="K960" s="3"/>
      <c r="L960" s="3" t="s">
        <v>2849</v>
      </c>
      <c r="M960" s="3" t="s">
        <v>2850</v>
      </c>
      <c r="N960" s="3" t="s">
        <v>22</v>
      </c>
      <c r="O960" s="5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" t="s">
        <v>14</v>
      </c>
      <c r="B961" s="3" t="s">
        <v>2851</v>
      </c>
      <c r="C961" s="36" t="s">
        <v>3630</v>
      </c>
      <c r="D961" s="3" t="s">
        <v>2852</v>
      </c>
      <c r="E961" s="3" t="s">
        <v>2853</v>
      </c>
      <c r="F961" s="3" t="s">
        <v>2854</v>
      </c>
      <c r="G961" s="3" t="s">
        <v>2855</v>
      </c>
      <c r="H961" s="3" t="s">
        <v>387</v>
      </c>
      <c r="I961" s="4">
        <v>1.0</v>
      </c>
      <c r="J961" s="4">
        <v>1.0</v>
      </c>
      <c r="K961" s="5"/>
      <c r="L961" s="3" t="s">
        <v>2856</v>
      </c>
      <c r="M961" s="3" t="s">
        <v>2857</v>
      </c>
      <c r="N961" s="3" t="s">
        <v>22</v>
      </c>
      <c r="O961" s="5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" t="s">
        <v>14</v>
      </c>
      <c r="B962" s="3" t="s">
        <v>2851</v>
      </c>
      <c r="C962" s="36" t="s">
        <v>3630</v>
      </c>
      <c r="D962" s="3" t="s">
        <v>2852</v>
      </c>
      <c r="E962" s="3" t="s">
        <v>2853</v>
      </c>
      <c r="F962" s="3" t="s">
        <v>2854</v>
      </c>
      <c r="G962" s="3" t="s">
        <v>2858</v>
      </c>
      <c r="H962" s="3" t="s">
        <v>1830</v>
      </c>
      <c r="I962" s="4">
        <v>2.0</v>
      </c>
      <c r="J962" s="4">
        <v>2.0</v>
      </c>
      <c r="K962" s="5"/>
      <c r="L962" s="3" t="s">
        <v>2856</v>
      </c>
      <c r="M962" s="3" t="s">
        <v>2857</v>
      </c>
      <c r="N962" s="3" t="s">
        <v>22</v>
      </c>
      <c r="O962" s="5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" t="s">
        <v>14</v>
      </c>
      <c r="B963" s="3" t="s">
        <v>2851</v>
      </c>
      <c r="C963" s="36" t="s">
        <v>3630</v>
      </c>
      <c r="D963" s="3" t="s">
        <v>2852</v>
      </c>
      <c r="E963" s="3" t="s">
        <v>2853</v>
      </c>
      <c r="F963" s="3" t="s">
        <v>2854</v>
      </c>
      <c r="G963" s="3" t="s">
        <v>98</v>
      </c>
      <c r="H963" s="3" t="s">
        <v>98</v>
      </c>
      <c r="I963" s="4">
        <v>3.0</v>
      </c>
      <c r="J963" s="4">
        <v>3.0</v>
      </c>
      <c r="K963" s="5"/>
      <c r="L963" s="3" t="s">
        <v>2856</v>
      </c>
      <c r="M963" s="3" t="s">
        <v>2857</v>
      </c>
      <c r="N963" s="3" t="s">
        <v>22</v>
      </c>
      <c r="O963" s="5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" t="s">
        <v>14</v>
      </c>
      <c r="B964" s="3" t="s">
        <v>2859</v>
      </c>
      <c r="C964" s="36" t="s">
        <v>3620</v>
      </c>
      <c r="D964" s="3" t="s">
        <v>2860</v>
      </c>
      <c r="E964" s="3" t="s">
        <v>2861</v>
      </c>
      <c r="F964" s="3" t="s">
        <v>2862</v>
      </c>
      <c r="G964" s="3" t="s">
        <v>2863</v>
      </c>
      <c r="H964" s="3" t="s">
        <v>908</v>
      </c>
      <c r="I964" s="4">
        <v>1.0</v>
      </c>
      <c r="J964" s="4">
        <v>1.0</v>
      </c>
      <c r="K964" s="3" t="s">
        <v>80</v>
      </c>
      <c r="L964" s="3" t="s">
        <v>2864</v>
      </c>
      <c r="M964" s="3" t="s">
        <v>2865</v>
      </c>
      <c r="N964" s="3" t="s">
        <v>22</v>
      </c>
      <c r="O964" s="5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" t="s">
        <v>14</v>
      </c>
      <c r="B965" s="3" t="s">
        <v>2859</v>
      </c>
      <c r="C965" s="36" t="s">
        <v>3620</v>
      </c>
      <c r="D965" s="3" t="s">
        <v>2860</v>
      </c>
      <c r="E965" s="3" t="s">
        <v>2861</v>
      </c>
      <c r="F965" s="3" t="s">
        <v>2862</v>
      </c>
      <c r="G965" s="3" t="s">
        <v>806</v>
      </c>
      <c r="H965" s="3" t="s">
        <v>2755</v>
      </c>
      <c r="I965" s="4">
        <v>2.0</v>
      </c>
      <c r="J965" s="4">
        <v>2.0</v>
      </c>
      <c r="K965" s="5"/>
      <c r="L965" s="3" t="s">
        <v>2866</v>
      </c>
      <c r="M965" s="3" t="s">
        <v>2865</v>
      </c>
      <c r="N965" s="3" t="s">
        <v>22</v>
      </c>
      <c r="O965" s="5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" t="s">
        <v>14</v>
      </c>
      <c r="B966" s="3" t="s">
        <v>2859</v>
      </c>
      <c r="C966" s="36" t="s">
        <v>3620</v>
      </c>
      <c r="D966" s="3" t="s">
        <v>2860</v>
      </c>
      <c r="E966" s="3" t="s">
        <v>2861</v>
      </c>
      <c r="F966" s="3" t="s">
        <v>2862</v>
      </c>
      <c r="G966" s="3" t="s">
        <v>36</v>
      </c>
      <c r="H966" s="3" t="s">
        <v>2867</v>
      </c>
      <c r="I966" s="4" t="s">
        <v>36</v>
      </c>
      <c r="J966" s="4">
        <v>3.0</v>
      </c>
      <c r="K966" s="3"/>
      <c r="L966" s="3" t="s">
        <v>2868</v>
      </c>
      <c r="M966" s="3" t="s">
        <v>2865</v>
      </c>
      <c r="N966" s="3" t="s">
        <v>22</v>
      </c>
      <c r="O966" s="5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" t="s">
        <v>14</v>
      </c>
      <c r="B967" s="3" t="s">
        <v>2859</v>
      </c>
      <c r="C967" s="36" t="s">
        <v>3620</v>
      </c>
      <c r="D967" s="3" t="s">
        <v>2860</v>
      </c>
      <c r="E967" s="3" t="s">
        <v>2861</v>
      </c>
      <c r="F967" s="3" t="s">
        <v>2862</v>
      </c>
      <c r="G967" s="3" t="s">
        <v>2869</v>
      </c>
      <c r="H967" s="3" t="s">
        <v>1983</v>
      </c>
      <c r="I967" s="4">
        <v>3.0</v>
      </c>
      <c r="J967" s="4">
        <v>4.0</v>
      </c>
      <c r="K967" s="5"/>
      <c r="L967" s="3" t="s">
        <v>2864</v>
      </c>
      <c r="M967" s="3" t="s">
        <v>2865</v>
      </c>
      <c r="N967" s="3" t="s">
        <v>22</v>
      </c>
      <c r="O967" s="5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" t="s">
        <v>14</v>
      </c>
      <c r="B968" s="3" t="s">
        <v>2870</v>
      </c>
      <c r="C968" s="33" t="s">
        <v>3631</v>
      </c>
      <c r="D968" s="6" t="s">
        <v>2871</v>
      </c>
      <c r="E968" s="3" t="s">
        <v>2872</v>
      </c>
      <c r="F968" s="3" t="s">
        <v>2873</v>
      </c>
      <c r="G968" s="3" t="s">
        <v>2874</v>
      </c>
      <c r="H968" s="3" t="s">
        <v>2874</v>
      </c>
      <c r="I968" s="4">
        <v>1.0</v>
      </c>
      <c r="J968" s="4">
        <v>1.0</v>
      </c>
      <c r="K968" s="3" t="s">
        <v>80</v>
      </c>
      <c r="L968" s="3" t="s">
        <v>2875</v>
      </c>
      <c r="M968" s="3" t="s">
        <v>2876</v>
      </c>
      <c r="N968" s="3" t="s">
        <v>22</v>
      </c>
      <c r="O968" s="5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" t="s">
        <v>14</v>
      </c>
      <c r="B969" s="3" t="s">
        <v>2870</v>
      </c>
      <c r="C969" s="33" t="s">
        <v>3631</v>
      </c>
      <c r="D969" s="6" t="s">
        <v>2871</v>
      </c>
      <c r="E969" s="3" t="s">
        <v>2872</v>
      </c>
      <c r="F969" s="3" t="s">
        <v>2873</v>
      </c>
      <c r="G969" s="3" t="s">
        <v>238</v>
      </c>
      <c r="H969" s="3" t="s">
        <v>238</v>
      </c>
      <c r="I969" s="4">
        <v>2.0</v>
      </c>
      <c r="J969" s="4">
        <v>2.0</v>
      </c>
      <c r="K969" s="5"/>
      <c r="L969" s="3" t="s">
        <v>2875</v>
      </c>
      <c r="M969" s="3" t="s">
        <v>2876</v>
      </c>
      <c r="N969" s="3" t="s">
        <v>22</v>
      </c>
      <c r="O969" s="5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" t="s">
        <v>14</v>
      </c>
      <c r="B970" s="3" t="s">
        <v>2870</v>
      </c>
      <c r="C970" s="33" t="s">
        <v>3631</v>
      </c>
      <c r="D970" s="6" t="s">
        <v>2871</v>
      </c>
      <c r="E970" s="3" t="s">
        <v>2872</v>
      </c>
      <c r="F970" s="3" t="s">
        <v>2873</v>
      </c>
      <c r="G970" s="3" t="s">
        <v>36</v>
      </c>
      <c r="H970" s="3" t="s">
        <v>2877</v>
      </c>
      <c r="I970" s="4" t="s">
        <v>36</v>
      </c>
      <c r="J970" s="4">
        <v>3.0</v>
      </c>
      <c r="K970" s="3"/>
      <c r="L970" s="3" t="s">
        <v>2875</v>
      </c>
      <c r="M970" s="3" t="s">
        <v>2876</v>
      </c>
      <c r="N970" s="3" t="s">
        <v>22</v>
      </c>
      <c r="O970" s="5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" t="s">
        <v>14</v>
      </c>
      <c r="B971" s="3" t="s">
        <v>2870</v>
      </c>
      <c r="C971" s="33" t="s">
        <v>3631</v>
      </c>
      <c r="D971" s="6" t="s">
        <v>2871</v>
      </c>
      <c r="E971" s="3" t="s">
        <v>2872</v>
      </c>
      <c r="F971" s="3" t="s">
        <v>2873</v>
      </c>
      <c r="G971" s="3" t="s">
        <v>1920</v>
      </c>
      <c r="H971" s="3" t="s">
        <v>103</v>
      </c>
      <c r="I971" s="4">
        <v>3.0</v>
      </c>
      <c r="J971" s="4">
        <v>4.0</v>
      </c>
      <c r="K971" s="5"/>
      <c r="L971" s="3" t="s">
        <v>2875</v>
      </c>
      <c r="M971" s="3" t="s">
        <v>2876</v>
      </c>
      <c r="N971" s="3" t="s">
        <v>22</v>
      </c>
      <c r="O971" s="5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" t="s">
        <v>14</v>
      </c>
      <c r="B972" s="3" t="s">
        <v>2878</v>
      </c>
      <c r="C972" s="33" t="s">
        <v>3632</v>
      </c>
      <c r="D972" s="6" t="s">
        <v>2879</v>
      </c>
      <c r="E972" s="3" t="s">
        <v>2880</v>
      </c>
      <c r="F972" s="3" t="s">
        <v>2881</v>
      </c>
      <c r="G972" s="3" t="s">
        <v>1968</v>
      </c>
      <c r="H972" s="3" t="s">
        <v>1965</v>
      </c>
      <c r="I972" s="4">
        <v>1.0</v>
      </c>
      <c r="J972" s="4">
        <v>1.0</v>
      </c>
      <c r="K972" s="3" t="s">
        <v>80</v>
      </c>
      <c r="L972" s="3" t="s">
        <v>2882</v>
      </c>
      <c r="M972" s="3" t="s">
        <v>2883</v>
      </c>
      <c r="N972" s="3" t="s">
        <v>22</v>
      </c>
      <c r="O972" s="5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" t="s">
        <v>14</v>
      </c>
      <c r="B973" s="3" t="s">
        <v>2878</v>
      </c>
      <c r="C973" s="33" t="s">
        <v>3632</v>
      </c>
      <c r="D973" s="6" t="s">
        <v>2879</v>
      </c>
      <c r="E973" s="3" t="s">
        <v>2880</v>
      </c>
      <c r="F973" s="3" t="s">
        <v>2881</v>
      </c>
      <c r="G973" s="3" t="s">
        <v>238</v>
      </c>
      <c r="H973" s="3" t="s">
        <v>238</v>
      </c>
      <c r="I973" s="4">
        <v>2.0</v>
      </c>
      <c r="J973" s="4">
        <v>2.0</v>
      </c>
      <c r="K973" s="5"/>
      <c r="L973" s="3" t="s">
        <v>2882</v>
      </c>
      <c r="M973" s="3" t="s">
        <v>2883</v>
      </c>
      <c r="N973" s="3" t="s">
        <v>22</v>
      </c>
      <c r="O973" s="5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" t="s">
        <v>14</v>
      </c>
      <c r="B974" s="3" t="s">
        <v>2878</v>
      </c>
      <c r="C974" s="33" t="s">
        <v>3632</v>
      </c>
      <c r="D974" s="6" t="s">
        <v>2879</v>
      </c>
      <c r="E974" s="3" t="s">
        <v>2880</v>
      </c>
      <c r="F974" s="3" t="s">
        <v>2881</v>
      </c>
      <c r="G974" s="3" t="s">
        <v>36</v>
      </c>
      <c r="H974" s="3" t="s">
        <v>2877</v>
      </c>
      <c r="I974" s="4" t="s">
        <v>36</v>
      </c>
      <c r="J974" s="4">
        <v>3.0</v>
      </c>
      <c r="K974" s="3"/>
      <c r="L974" s="3" t="s">
        <v>2882</v>
      </c>
      <c r="M974" s="3" t="s">
        <v>2883</v>
      </c>
      <c r="N974" s="3" t="s">
        <v>22</v>
      </c>
      <c r="O974" s="5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" t="s">
        <v>14</v>
      </c>
      <c r="B975" s="3" t="s">
        <v>2878</v>
      </c>
      <c r="C975" s="33" t="s">
        <v>3632</v>
      </c>
      <c r="D975" s="6" t="s">
        <v>2879</v>
      </c>
      <c r="E975" s="3" t="s">
        <v>2880</v>
      </c>
      <c r="F975" s="3" t="s">
        <v>2881</v>
      </c>
      <c r="G975" s="3" t="s">
        <v>1920</v>
      </c>
      <c r="H975" s="3" t="s">
        <v>103</v>
      </c>
      <c r="I975" s="4">
        <v>3.0</v>
      </c>
      <c r="J975" s="4">
        <v>4.0</v>
      </c>
      <c r="K975" s="5"/>
      <c r="L975" s="3" t="s">
        <v>2882</v>
      </c>
      <c r="M975" s="3" t="s">
        <v>2883</v>
      </c>
      <c r="N975" s="3" t="s">
        <v>22</v>
      </c>
      <c r="O975" s="5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15" t="s">
        <v>14</v>
      </c>
      <c r="B976" s="15" t="s">
        <v>2884</v>
      </c>
      <c r="C976" s="33" t="s">
        <v>3600</v>
      </c>
      <c r="D976" s="15" t="s">
        <v>2555</v>
      </c>
      <c r="E976" s="15" t="s">
        <v>2885</v>
      </c>
      <c r="F976" s="15" t="s">
        <v>2557</v>
      </c>
      <c r="G976" s="15" t="s">
        <v>36</v>
      </c>
      <c r="H976" s="15" t="s">
        <v>301</v>
      </c>
      <c r="I976" s="18" t="s">
        <v>36</v>
      </c>
      <c r="J976" s="18">
        <v>1.0</v>
      </c>
      <c r="K976" s="15" t="s">
        <v>80</v>
      </c>
      <c r="L976" s="15" t="s">
        <v>2558</v>
      </c>
      <c r="M976" s="15" t="s">
        <v>2886</v>
      </c>
      <c r="N976" s="15" t="s">
        <v>22</v>
      </c>
      <c r="O976" s="20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5" t="s">
        <v>14</v>
      </c>
      <c r="B977" s="15" t="s">
        <v>2884</v>
      </c>
      <c r="C977" s="33" t="s">
        <v>3600</v>
      </c>
      <c r="D977" s="15" t="s">
        <v>2555</v>
      </c>
      <c r="E977" s="15" t="s">
        <v>2885</v>
      </c>
      <c r="F977" s="15" t="s">
        <v>2557</v>
      </c>
      <c r="G977" s="15" t="s">
        <v>961</v>
      </c>
      <c r="H977" s="15" t="s">
        <v>961</v>
      </c>
      <c r="I977" s="18">
        <v>1.0</v>
      </c>
      <c r="J977" s="18">
        <v>2.0</v>
      </c>
      <c r="K977" s="15"/>
      <c r="L977" s="15" t="s">
        <v>2558</v>
      </c>
      <c r="M977" s="15" t="s">
        <v>2886</v>
      </c>
      <c r="N977" s="15" t="s">
        <v>22</v>
      </c>
      <c r="O977" s="20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5" t="s">
        <v>14</v>
      </c>
      <c r="B978" s="15" t="s">
        <v>2884</v>
      </c>
      <c r="C978" s="33" t="s">
        <v>3600</v>
      </c>
      <c r="D978" s="15" t="s">
        <v>2555</v>
      </c>
      <c r="E978" s="15" t="s">
        <v>2885</v>
      </c>
      <c r="F978" s="15" t="s">
        <v>2557</v>
      </c>
      <c r="G978" s="15" t="s">
        <v>1647</v>
      </c>
      <c r="H978" s="15" t="s">
        <v>1983</v>
      </c>
      <c r="I978" s="18">
        <v>2.0</v>
      </c>
      <c r="J978" s="18">
        <v>3.0</v>
      </c>
      <c r="K978" s="20"/>
      <c r="L978" s="15" t="s">
        <v>2558</v>
      </c>
      <c r="M978" s="15" t="s">
        <v>2886</v>
      </c>
      <c r="N978" s="15" t="s">
        <v>22</v>
      </c>
      <c r="O978" s="20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5" t="s">
        <v>14</v>
      </c>
      <c r="B979" s="15" t="s">
        <v>2887</v>
      </c>
      <c r="C979" s="36" t="s">
        <v>3593</v>
      </c>
      <c r="D979" s="15" t="s">
        <v>2888</v>
      </c>
      <c r="E979" s="15" t="s">
        <v>2889</v>
      </c>
      <c r="F979" s="15" t="s">
        <v>2890</v>
      </c>
      <c r="G979" s="15" t="s">
        <v>128</v>
      </c>
      <c r="H979" s="15" t="s">
        <v>36</v>
      </c>
      <c r="I979" s="18">
        <v>1.0</v>
      </c>
      <c r="J979" s="18" t="s">
        <v>36</v>
      </c>
      <c r="K979" s="20"/>
      <c r="L979" s="15" t="s">
        <v>2813</v>
      </c>
      <c r="M979" s="15" t="s">
        <v>2891</v>
      </c>
      <c r="N979" s="15" t="s">
        <v>22</v>
      </c>
      <c r="O979" s="20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5" t="s">
        <v>14</v>
      </c>
      <c r="B980" s="15" t="s">
        <v>2887</v>
      </c>
      <c r="C980" s="36" t="s">
        <v>3593</v>
      </c>
      <c r="D980" s="15" t="s">
        <v>2888</v>
      </c>
      <c r="E980" s="15" t="s">
        <v>2889</v>
      </c>
      <c r="F980" s="15" t="s">
        <v>2890</v>
      </c>
      <c r="G980" s="15" t="s">
        <v>451</v>
      </c>
      <c r="H980" s="15" t="s">
        <v>2892</v>
      </c>
      <c r="I980" s="18">
        <v>2.0</v>
      </c>
      <c r="J980" s="18">
        <v>1.0</v>
      </c>
      <c r="K980" s="20"/>
      <c r="L980" s="15" t="s">
        <v>2813</v>
      </c>
      <c r="M980" s="15" t="s">
        <v>2891</v>
      </c>
      <c r="N980" s="15" t="s">
        <v>22</v>
      </c>
      <c r="O980" s="20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5" t="s">
        <v>14</v>
      </c>
      <c r="B981" s="15" t="s">
        <v>2887</v>
      </c>
      <c r="C981" s="36" t="s">
        <v>3593</v>
      </c>
      <c r="D981" s="15" t="s">
        <v>2888</v>
      </c>
      <c r="E981" s="15" t="s">
        <v>2889</v>
      </c>
      <c r="F981" s="15" t="s">
        <v>2890</v>
      </c>
      <c r="G981" s="15" t="s">
        <v>23</v>
      </c>
      <c r="H981" s="15" t="s">
        <v>128</v>
      </c>
      <c r="I981" s="18">
        <v>3.0</v>
      </c>
      <c r="J981" s="18">
        <v>2.0</v>
      </c>
      <c r="K981" s="20"/>
      <c r="L981" s="15" t="s">
        <v>2813</v>
      </c>
      <c r="M981" s="15" t="s">
        <v>2891</v>
      </c>
      <c r="N981" s="15" t="s">
        <v>22</v>
      </c>
      <c r="O981" s="20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3" t="s">
        <v>14</v>
      </c>
      <c r="B982" s="3" t="s">
        <v>2893</v>
      </c>
      <c r="C982" s="36" t="s">
        <v>3593</v>
      </c>
      <c r="D982" s="3" t="s">
        <v>2894</v>
      </c>
      <c r="E982" s="3" t="s">
        <v>2895</v>
      </c>
      <c r="F982" s="3" t="s">
        <v>2896</v>
      </c>
      <c r="G982" s="3" t="s">
        <v>128</v>
      </c>
      <c r="H982" s="3" t="s">
        <v>1211</v>
      </c>
      <c r="I982" s="4">
        <v>1.0</v>
      </c>
      <c r="J982" s="4">
        <v>1.0</v>
      </c>
      <c r="K982" s="5"/>
      <c r="L982" s="3" t="s">
        <v>2897</v>
      </c>
      <c r="M982" s="3" t="s">
        <v>2898</v>
      </c>
      <c r="N982" s="3" t="s">
        <v>22</v>
      </c>
      <c r="O982" s="5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" t="s">
        <v>14</v>
      </c>
      <c r="B983" s="3" t="s">
        <v>2893</v>
      </c>
      <c r="C983" s="36" t="s">
        <v>3593</v>
      </c>
      <c r="D983" s="3" t="s">
        <v>2894</v>
      </c>
      <c r="E983" s="3" t="s">
        <v>2895</v>
      </c>
      <c r="F983" s="3" t="s">
        <v>2896</v>
      </c>
      <c r="G983" s="3" t="s">
        <v>451</v>
      </c>
      <c r="H983" s="3" t="s">
        <v>36</v>
      </c>
      <c r="I983" s="4">
        <v>2.0</v>
      </c>
      <c r="J983" s="4" t="s">
        <v>36</v>
      </c>
      <c r="K983" s="5"/>
      <c r="L983" s="3" t="s">
        <v>2897</v>
      </c>
      <c r="M983" s="3" t="s">
        <v>2898</v>
      </c>
      <c r="N983" s="3" t="s">
        <v>22</v>
      </c>
      <c r="O983" s="5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" t="s">
        <v>14</v>
      </c>
      <c r="B984" s="3" t="s">
        <v>2893</v>
      </c>
      <c r="C984" s="36" t="s">
        <v>3593</v>
      </c>
      <c r="D984" s="3" t="s">
        <v>2894</v>
      </c>
      <c r="E984" s="3" t="s">
        <v>2895</v>
      </c>
      <c r="F984" s="3" t="s">
        <v>2896</v>
      </c>
      <c r="G984" s="3" t="s">
        <v>362</v>
      </c>
      <c r="H984" s="3" t="s">
        <v>362</v>
      </c>
      <c r="I984" s="4">
        <v>3.0</v>
      </c>
      <c r="J984" s="4">
        <v>2.0</v>
      </c>
      <c r="K984" s="5"/>
      <c r="L984" s="3" t="s">
        <v>2897</v>
      </c>
      <c r="M984" s="3" t="s">
        <v>2898</v>
      </c>
      <c r="N984" s="3" t="s">
        <v>22</v>
      </c>
      <c r="O984" s="5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15" t="s">
        <v>14</v>
      </c>
      <c r="B985" s="15" t="s">
        <v>2899</v>
      </c>
      <c r="C985" s="36" t="s">
        <v>3593</v>
      </c>
      <c r="D985" s="15" t="s">
        <v>2900</v>
      </c>
      <c r="E985" s="15" t="s">
        <v>2901</v>
      </c>
      <c r="F985" s="15" t="s">
        <v>2902</v>
      </c>
      <c r="G985" s="15" t="s">
        <v>128</v>
      </c>
      <c r="H985" s="15" t="s">
        <v>36</v>
      </c>
      <c r="I985" s="18">
        <v>1.0</v>
      </c>
      <c r="J985" s="18" t="s">
        <v>36</v>
      </c>
      <c r="K985" s="20"/>
      <c r="L985" s="15" t="s">
        <v>2903</v>
      </c>
      <c r="M985" s="15" t="s">
        <v>2904</v>
      </c>
      <c r="N985" s="15" t="s">
        <v>22</v>
      </c>
      <c r="O985" s="20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5" t="s">
        <v>14</v>
      </c>
      <c r="B986" s="15" t="s">
        <v>2899</v>
      </c>
      <c r="C986" s="36" t="s">
        <v>3593</v>
      </c>
      <c r="D986" s="15" t="s">
        <v>2900</v>
      </c>
      <c r="E986" s="15" t="s">
        <v>2901</v>
      </c>
      <c r="F986" s="15" t="s">
        <v>2902</v>
      </c>
      <c r="G986" s="15" t="s">
        <v>2123</v>
      </c>
      <c r="H986" s="15" t="s">
        <v>2905</v>
      </c>
      <c r="I986" s="18">
        <v>2.0</v>
      </c>
      <c r="J986" s="18">
        <v>1.0</v>
      </c>
      <c r="K986" s="20"/>
      <c r="L986" s="15" t="s">
        <v>2903</v>
      </c>
      <c r="M986" s="15" t="s">
        <v>2904</v>
      </c>
      <c r="N986" s="15" t="s">
        <v>22</v>
      </c>
      <c r="O986" s="20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5" t="s">
        <v>14</v>
      </c>
      <c r="B987" s="15" t="s">
        <v>2899</v>
      </c>
      <c r="C987" s="36" t="s">
        <v>3593</v>
      </c>
      <c r="D987" s="15" t="s">
        <v>2900</v>
      </c>
      <c r="E987" s="15" t="s">
        <v>2901</v>
      </c>
      <c r="F987" s="15" t="s">
        <v>2902</v>
      </c>
      <c r="G987" s="15" t="s">
        <v>55</v>
      </c>
      <c r="H987" s="15" t="s">
        <v>56</v>
      </c>
      <c r="I987" s="18">
        <v>3.0</v>
      </c>
      <c r="J987" s="18">
        <v>2.0</v>
      </c>
      <c r="K987" s="20"/>
      <c r="L987" s="15" t="s">
        <v>2903</v>
      </c>
      <c r="M987" s="15" t="s">
        <v>2904</v>
      </c>
      <c r="N987" s="15" t="s">
        <v>22</v>
      </c>
      <c r="O987" s="20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3" t="s">
        <v>14</v>
      </c>
      <c r="B988" s="3" t="s">
        <v>2906</v>
      </c>
      <c r="C988" s="36" t="s">
        <v>3597</v>
      </c>
      <c r="D988" s="3" t="s">
        <v>2907</v>
      </c>
      <c r="E988" s="3" t="s">
        <v>2908</v>
      </c>
      <c r="F988" s="3" t="s">
        <v>2909</v>
      </c>
      <c r="G988" s="3" t="s">
        <v>2910</v>
      </c>
      <c r="H988" s="3" t="s">
        <v>312</v>
      </c>
      <c r="I988" s="4">
        <v>1.0</v>
      </c>
      <c r="J988" s="4">
        <v>1.0</v>
      </c>
      <c r="K988" s="5"/>
      <c r="L988" s="3" t="s">
        <v>2911</v>
      </c>
      <c r="M988" s="3" t="s">
        <v>2912</v>
      </c>
      <c r="N988" s="3" t="s">
        <v>22</v>
      </c>
      <c r="O988" s="5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" t="s">
        <v>14</v>
      </c>
      <c r="B989" s="3" t="s">
        <v>2906</v>
      </c>
      <c r="C989" s="36" t="s">
        <v>3597</v>
      </c>
      <c r="D989" s="3" t="s">
        <v>2907</v>
      </c>
      <c r="E989" s="3" t="s">
        <v>2908</v>
      </c>
      <c r="F989" s="3" t="s">
        <v>2909</v>
      </c>
      <c r="G989" s="3" t="s">
        <v>2216</v>
      </c>
      <c r="H989" s="3" t="s">
        <v>2913</v>
      </c>
      <c r="I989" s="4">
        <v>2.0</v>
      </c>
      <c r="J989" s="4">
        <v>2.0</v>
      </c>
      <c r="K989" s="5"/>
      <c r="L989" s="3" t="s">
        <v>2911</v>
      </c>
      <c r="M989" s="3" t="s">
        <v>2912</v>
      </c>
      <c r="N989" s="3" t="s">
        <v>22</v>
      </c>
      <c r="O989" s="5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" t="s">
        <v>14</v>
      </c>
      <c r="B990" s="3" t="s">
        <v>2906</v>
      </c>
      <c r="C990" s="36" t="s">
        <v>3597</v>
      </c>
      <c r="D990" s="3" t="s">
        <v>2907</v>
      </c>
      <c r="E990" s="3" t="s">
        <v>2908</v>
      </c>
      <c r="F990" s="3" t="s">
        <v>2909</v>
      </c>
      <c r="G990" s="3" t="s">
        <v>143</v>
      </c>
      <c r="H990" s="3" t="s">
        <v>1116</v>
      </c>
      <c r="I990" s="4">
        <v>3.0</v>
      </c>
      <c r="J990" s="4">
        <v>3.0</v>
      </c>
      <c r="K990" s="5"/>
      <c r="L990" s="3" t="s">
        <v>2911</v>
      </c>
      <c r="M990" s="3" t="s">
        <v>2912</v>
      </c>
      <c r="N990" s="3" t="s">
        <v>22</v>
      </c>
      <c r="O990" s="5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" t="s">
        <v>14</v>
      </c>
      <c r="B991" s="3" t="s">
        <v>2914</v>
      </c>
      <c r="C991" s="36" t="s">
        <v>3593</v>
      </c>
      <c r="D991" s="3" t="s">
        <v>2915</v>
      </c>
      <c r="E991" s="3" t="s">
        <v>2916</v>
      </c>
      <c r="F991" s="3" t="s">
        <v>2917</v>
      </c>
      <c r="G991" s="3" t="s">
        <v>29</v>
      </c>
      <c r="H991" s="3" t="s">
        <v>29</v>
      </c>
      <c r="I991" s="4">
        <v>1.0</v>
      </c>
      <c r="J991" s="4">
        <v>1.0</v>
      </c>
      <c r="K991" s="5"/>
      <c r="L991" s="3" t="s">
        <v>2918</v>
      </c>
      <c r="M991" s="3" t="s">
        <v>2919</v>
      </c>
      <c r="N991" s="3" t="s">
        <v>22</v>
      </c>
      <c r="O991" s="5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" t="s">
        <v>14</v>
      </c>
      <c r="B992" s="3" t="s">
        <v>2914</v>
      </c>
      <c r="C992" s="36" t="s">
        <v>3593</v>
      </c>
      <c r="D992" s="3" t="s">
        <v>2915</v>
      </c>
      <c r="E992" s="3" t="s">
        <v>2916</v>
      </c>
      <c r="F992" s="3" t="s">
        <v>2917</v>
      </c>
      <c r="G992" s="3" t="s">
        <v>2424</v>
      </c>
      <c r="H992" s="3" t="s">
        <v>2424</v>
      </c>
      <c r="I992" s="4">
        <v>2.0</v>
      </c>
      <c r="J992" s="4">
        <v>2.0</v>
      </c>
      <c r="K992" s="5"/>
      <c r="L992" s="3" t="s">
        <v>2918</v>
      </c>
      <c r="M992" s="3" t="s">
        <v>2919</v>
      </c>
      <c r="N992" s="3" t="s">
        <v>22</v>
      </c>
      <c r="O992" s="5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" t="s">
        <v>14</v>
      </c>
      <c r="B993" s="3" t="s">
        <v>2914</v>
      </c>
      <c r="C993" s="36" t="s">
        <v>3593</v>
      </c>
      <c r="D993" s="3" t="s">
        <v>2915</v>
      </c>
      <c r="E993" s="3" t="s">
        <v>2916</v>
      </c>
      <c r="F993" s="3" t="s">
        <v>2917</v>
      </c>
      <c r="G993" s="3" t="s">
        <v>143</v>
      </c>
      <c r="H993" s="3" t="s">
        <v>1116</v>
      </c>
      <c r="I993" s="4">
        <v>3.0</v>
      </c>
      <c r="J993" s="4">
        <v>3.0</v>
      </c>
      <c r="K993" s="5"/>
      <c r="L993" s="3" t="s">
        <v>2918</v>
      </c>
      <c r="M993" s="3" t="s">
        <v>2919</v>
      </c>
      <c r="N993" s="3" t="s">
        <v>22</v>
      </c>
      <c r="O993" s="5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" t="s">
        <v>14</v>
      </c>
      <c r="B994" s="3" t="s">
        <v>2920</v>
      </c>
      <c r="C994" s="33" t="s">
        <v>3592</v>
      </c>
      <c r="D994" s="3" t="s">
        <v>2921</v>
      </c>
      <c r="E994" s="3" t="s">
        <v>2922</v>
      </c>
      <c r="F994" s="3" t="s">
        <v>2923</v>
      </c>
      <c r="G994" s="3" t="s">
        <v>219</v>
      </c>
      <c r="H994" s="3" t="s">
        <v>219</v>
      </c>
      <c r="I994" s="4">
        <v>1.0</v>
      </c>
      <c r="J994" s="4">
        <v>1.0</v>
      </c>
      <c r="K994" s="5"/>
      <c r="L994" s="3" t="s">
        <v>2924</v>
      </c>
      <c r="M994" s="3" t="s">
        <v>2925</v>
      </c>
      <c r="N994" s="3" t="s">
        <v>22</v>
      </c>
      <c r="O994" s="5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" t="s">
        <v>14</v>
      </c>
      <c r="B995" s="3" t="s">
        <v>2920</v>
      </c>
      <c r="C995" s="33" t="s">
        <v>3592</v>
      </c>
      <c r="D995" s="3" t="s">
        <v>2921</v>
      </c>
      <c r="E995" s="3" t="s">
        <v>2922</v>
      </c>
      <c r="F995" s="3" t="s">
        <v>2923</v>
      </c>
      <c r="G995" s="3" t="s">
        <v>2926</v>
      </c>
      <c r="H995" s="3" t="s">
        <v>2927</v>
      </c>
      <c r="I995" s="4">
        <v>2.0</v>
      </c>
      <c r="J995" s="4">
        <v>2.0</v>
      </c>
      <c r="K995" s="5"/>
      <c r="L995" s="3" t="s">
        <v>2924</v>
      </c>
      <c r="M995" s="3" t="s">
        <v>2925</v>
      </c>
      <c r="N995" s="3" t="s">
        <v>22</v>
      </c>
      <c r="O995" s="5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" t="s">
        <v>14</v>
      </c>
      <c r="B996" s="3" t="s">
        <v>2928</v>
      </c>
      <c r="C996" s="33" t="s">
        <v>3604</v>
      </c>
      <c r="D996" s="3" t="s">
        <v>2929</v>
      </c>
      <c r="E996" s="3" t="s">
        <v>2930</v>
      </c>
      <c r="F996" s="3" t="s">
        <v>2931</v>
      </c>
      <c r="G996" s="3" t="s">
        <v>1032</v>
      </c>
      <c r="H996" s="3" t="s">
        <v>1032</v>
      </c>
      <c r="I996" s="4">
        <v>1.0</v>
      </c>
      <c r="J996" s="4">
        <v>1.0</v>
      </c>
      <c r="K996" s="5"/>
      <c r="L996" s="3" t="s">
        <v>2932</v>
      </c>
      <c r="M996" s="3" t="s">
        <v>2933</v>
      </c>
      <c r="N996" s="3" t="s">
        <v>22</v>
      </c>
      <c r="O996" s="5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" t="s">
        <v>14</v>
      </c>
      <c r="B997" s="3" t="s">
        <v>2928</v>
      </c>
      <c r="C997" s="33" t="s">
        <v>3604</v>
      </c>
      <c r="D997" s="3" t="s">
        <v>2929</v>
      </c>
      <c r="E997" s="3" t="s">
        <v>2930</v>
      </c>
      <c r="F997" s="3" t="s">
        <v>2931</v>
      </c>
      <c r="G997" s="3" t="s">
        <v>143</v>
      </c>
      <c r="H997" s="3" t="s">
        <v>62</v>
      </c>
      <c r="I997" s="4">
        <v>2.0</v>
      </c>
      <c r="J997" s="4">
        <v>2.0</v>
      </c>
      <c r="K997" s="5"/>
      <c r="L997" s="3" t="s">
        <v>2932</v>
      </c>
      <c r="M997" s="3" t="s">
        <v>2933</v>
      </c>
      <c r="N997" s="3" t="s">
        <v>22</v>
      </c>
      <c r="O997" s="5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" t="s">
        <v>14</v>
      </c>
      <c r="B998" s="3" t="s">
        <v>2928</v>
      </c>
      <c r="C998" s="33" t="s">
        <v>3604</v>
      </c>
      <c r="D998" s="3" t="s">
        <v>2929</v>
      </c>
      <c r="E998" s="3" t="s">
        <v>2930</v>
      </c>
      <c r="F998" s="3" t="s">
        <v>2931</v>
      </c>
      <c r="G998" s="3" t="s">
        <v>387</v>
      </c>
      <c r="H998" s="3" t="s">
        <v>387</v>
      </c>
      <c r="I998" s="4">
        <v>3.0</v>
      </c>
      <c r="J998" s="4">
        <v>3.0</v>
      </c>
      <c r="K998" s="5"/>
      <c r="L998" s="3" t="s">
        <v>2932</v>
      </c>
      <c r="M998" s="3" t="s">
        <v>2933</v>
      </c>
      <c r="N998" s="3" t="s">
        <v>22</v>
      </c>
      <c r="O998" s="5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" t="s">
        <v>14</v>
      </c>
      <c r="B999" s="3" t="s">
        <v>2934</v>
      </c>
      <c r="C999" s="33" t="s">
        <v>3600</v>
      </c>
      <c r="D999" s="3" t="s">
        <v>2935</v>
      </c>
      <c r="E999" s="3" t="s">
        <v>2936</v>
      </c>
      <c r="F999" s="3" t="s">
        <v>2937</v>
      </c>
      <c r="G999" s="3" t="s">
        <v>614</v>
      </c>
      <c r="H999" s="3" t="s">
        <v>615</v>
      </c>
      <c r="I999" s="4">
        <v>1.0</v>
      </c>
      <c r="J999" s="4">
        <v>1.0</v>
      </c>
      <c r="K999" s="5"/>
      <c r="L999" s="3" t="s">
        <v>2938</v>
      </c>
      <c r="M999" s="3" t="s">
        <v>2939</v>
      </c>
      <c r="N999" s="3" t="s">
        <v>22</v>
      </c>
      <c r="O999" s="5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" t="s">
        <v>14</v>
      </c>
      <c r="B1000" s="3" t="s">
        <v>2934</v>
      </c>
      <c r="C1000" s="33" t="s">
        <v>3600</v>
      </c>
      <c r="D1000" s="3" t="s">
        <v>2935</v>
      </c>
      <c r="E1000" s="3" t="s">
        <v>2936</v>
      </c>
      <c r="F1000" s="3" t="s">
        <v>2937</v>
      </c>
      <c r="G1000" s="3" t="s">
        <v>387</v>
      </c>
      <c r="H1000" s="3" t="s">
        <v>387</v>
      </c>
      <c r="I1000" s="4">
        <v>2.0</v>
      </c>
      <c r="J1000" s="4">
        <v>2.0</v>
      </c>
      <c r="K1000" s="5"/>
      <c r="L1000" s="3" t="s">
        <v>2938</v>
      </c>
      <c r="M1000" s="3" t="s">
        <v>2939</v>
      </c>
      <c r="N1000" s="3" t="s">
        <v>22</v>
      </c>
      <c r="O1000" s="5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" t="s">
        <v>14</v>
      </c>
      <c r="B1001" s="3" t="s">
        <v>2940</v>
      </c>
      <c r="C1001" s="36" t="s">
        <v>3631</v>
      </c>
      <c r="D1001" s="3" t="s">
        <v>2941</v>
      </c>
      <c r="E1001" s="3" t="s">
        <v>2942</v>
      </c>
      <c r="F1001" s="3" t="s">
        <v>2943</v>
      </c>
      <c r="G1001" s="3" t="s">
        <v>2944</v>
      </c>
      <c r="H1001" s="3" t="s">
        <v>987</v>
      </c>
      <c r="I1001" s="4">
        <v>1.0</v>
      </c>
      <c r="J1001" s="4">
        <v>1.0</v>
      </c>
      <c r="K1001" s="3" t="s">
        <v>80</v>
      </c>
      <c r="L1001" s="3" t="s">
        <v>2945</v>
      </c>
      <c r="M1001" s="3" t="s">
        <v>2946</v>
      </c>
      <c r="N1001" s="3" t="s">
        <v>22</v>
      </c>
      <c r="O1001" s="5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3" t="s">
        <v>14</v>
      </c>
      <c r="B1002" s="3" t="s">
        <v>2940</v>
      </c>
      <c r="C1002" s="36" t="s">
        <v>3631</v>
      </c>
      <c r="D1002" s="3" t="s">
        <v>2941</v>
      </c>
      <c r="E1002" s="3" t="s">
        <v>2942</v>
      </c>
      <c r="F1002" s="3" t="s">
        <v>2943</v>
      </c>
      <c r="G1002" s="3" t="s">
        <v>116</v>
      </c>
      <c r="H1002" s="3" t="s">
        <v>2947</v>
      </c>
      <c r="I1002" s="4">
        <v>2.0</v>
      </c>
      <c r="J1002" s="4">
        <v>2.0</v>
      </c>
      <c r="K1002" s="5"/>
      <c r="L1002" s="3" t="s">
        <v>2945</v>
      </c>
      <c r="M1002" s="3" t="s">
        <v>2946</v>
      </c>
      <c r="N1002" s="3" t="s">
        <v>22</v>
      </c>
      <c r="O1002" s="5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3" t="s">
        <v>14</v>
      </c>
      <c r="B1003" s="3" t="s">
        <v>2940</v>
      </c>
      <c r="C1003" s="36" t="s">
        <v>3631</v>
      </c>
      <c r="D1003" s="3" t="s">
        <v>2941</v>
      </c>
      <c r="E1003" s="3" t="s">
        <v>2942</v>
      </c>
      <c r="F1003" s="3" t="s">
        <v>2943</v>
      </c>
      <c r="G1003" s="3" t="s">
        <v>36</v>
      </c>
      <c r="H1003" s="3" t="s">
        <v>116</v>
      </c>
      <c r="I1003" s="4" t="s">
        <v>36</v>
      </c>
      <c r="J1003" s="4">
        <v>3.0</v>
      </c>
      <c r="K1003" s="3"/>
      <c r="L1003" s="3" t="s">
        <v>2945</v>
      </c>
      <c r="M1003" s="3" t="s">
        <v>2946</v>
      </c>
      <c r="N1003" s="3" t="s">
        <v>22</v>
      </c>
      <c r="O1003" s="5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3" t="s">
        <v>14</v>
      </c>
      <c r="B1004" s="3" t="s">
        <v>2940</v>
      </c>
      <c r="C1004" s="36" t="s">
        <v>3631</v>
      </c>
      <c r="D1004" s="3" t="s">
        <v>2941</v>
      </c>
      <c r="E1004" s="3" t="s">
        <v>2942</v>
      </c>
      <c r="F1004" s="3" t="s">
        <v>2943</v>
      </c>
      <c r="G1004" s="3" t="s">
        <v>2948</v>
      </c>
      <c r="H1004" s="3" t="s">
        <v>1923</v>
      </c>
      <c r="I1004" s="4">
        <v>3.0</v>
      </c>
      <c r="J1004" s="4">
        <v>4.0</v>
      </c>
      <c r="K1004" s="3"/>
      <c r="L1004" s="3" t="s">
        <v>2945</v>
      </c>
      <c r="M1004" s="3" t="s">
        <v>2946</v>
      </c>
      <c r="N1004" s="3" t="s">
        <v>22</v>
      </c>
      <c r="O1004" s="5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3" t="s">
        <v>14</v>
      </c>
      <c r="B1005" s="3" t="s">
        <v>2940</v>
      </c>
      <c r="C1005" s="36" t="s">
        <v>3631</v>
      </c>
      <c r="D1005" s="3" t="s">
        <v>2941</v>
      </c>
      <c r="E1005" s="3" t="s">
        <v>2942</v>
      </c>
      <c r="F1005" s="3" t="s">
        <v>2943</v>
      </c>
      <c r="G1005" s="17" t="s">
        <v>36</v>
      </c>
      <c r="H1005" s="3" t="s">
        <v>103</v>
      </c>
      <c r="I1005" s="4" t="s">
        <v>36</v>
      </c>
      <c r="J1005" s="4">
        <v>5.0</v>
      </c>
      <c r="K1005" s="5"/>
      <c r="L1005" s="3" t="s">
        <v>2945</v>
      </c>
      <c r="M1005" s="3" t="s">
        <v>2946</v>
      </c>
      <c r="N1005" s="3" t="s">
        <v>22</v>
      </c>
      <c r="O1005" s="5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3" t="s">
        <v>14</v>
      </c>
      <c r="B1006" s="3" t="s">
        <v>2949</v>
      </c>
      <c r="C1006" s="36" t="s">
        <v>3631</v>
      </c>
      <c r="D1006" s="3" t="s">
        <v>2950</v>
      </c>
      <c r="E1006" s="3" t="s">
        <v>2951</v>
      </c>
      <c r="F1006" s="3" t="s">
        <v>2952</v>
      </c>
      <c r="G1006" s="3" t="s">
        <v>2953</v>
      </c>
      <c r="H1006" s="3" t="s">
        <v>2954</v>
      </c>
      <c r="I1006" s="4">
        <v>1.0</v>
      </c>
      <c r="J1006" s="4">
        <v>1.0</v>
      </c>
      <c r="K1006" s="3" t="s">
        <v>80</v>
      </c>
      <c r="L1006" s="3" t="s">
        <v>2955</v>
      </c>
      <c r="M1006" s="3" t="s">
        <v>2956</v>
      </c>
      <c r="N1006" s="3" t="s">
        <v>22</v>
      </c>
      <c r="O1006" s="5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3" t="s">
        <v>14</v>
      </c>
      <c r="B1007" s="3" t="s">
        <v>2949</v>
      </c>
      <c r="C1007" s="36" t="s">
        <v>3631</v>
      </c>
      <c r="D1007" s="3" t="s">
        <v>2950</v>
      </c>
      <c r="E1007" s="3" t="s">
        <v>2951</v>
      </c>
      <c r="F1007" s="3" t="s">
        <v>2952</v>
      </c>
      <c r="G1007" s="3" t="s">
        <v>238</v>
      </c>
      <c r="H1007" s="3" t="s">
        <v>238</v>
      </c>
      <c r="I1007" s="4">
        <v>2.0</v>
      </c>
      <c r="J1007" s="4">
        <v>2.0</v>
      </c>
      <c r="K1007" s="5"/>
      <c r="L1007" s="3" t="s">
        <v>2955</v>
      </c>
      <c r="M1007" s="3" t="s">
        <v>2956</v>
      </c>
      <c r="N1007" s="3" t="s">
        <v>22</v>
      </c>
      <c r="O1007" s="5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3" t="s">
        <v>14</v>
      </c>
      <c r="B1008" s="3" t="s">
        <v>2949</v>
      </c>
      <c r="C1008" s="36" t="s">
        <v>3631</v>
      </c>
      <c r="D1008" s="3" t="s">
        <v>2950</v>
      </c>
      <c r="E1008" s="3" t="s">
        <v>2951</v>
      </c>
      <c r="F1008" s="3" t="s">
        <v>2952</v>
      </c>
      <c r="G1008" s="3" t="s">
        <v>1920</v>
      </c>
      <c r="H1008" s="3" t="s">
        <v>2877</v>
      </c>
      <c r="I1008" s="4">
        <v>3.0</v>
      </c>
      <c r="J1008" s="4">
        <v>3.0</v>
      </c>
      <c r="K1008" s="3"/>
      <c r="L1008" s="3" t="s">
        <v>2955</v>
      </c>
      <c r="M1008" s="3" t="s">
        <v>2956</v>
      </c>
      <c r="N1008" s="3" t="s">
        <v>22</v>
      </c>
      <c r="O1008" s="5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3" t="s">
        <v>14</v>
      </c>
      <c r="B1009" s="3" t="s">
        <v>2949</v>
      </c>
      <c r="C1009" s="36" t="s">
        <v>3631</v>
      </c>
      <c r="D1009" s="3" t="s">
        <v>2950</v>
      </c>
      <c r="E1009" s="3" t="s">
        <v>2951</v>
      </c>
      <c r="F1009" s="3" t="s">
        <v>2952</v>
      </c>
      <c r="G1009" s="17" t="s">
        <v>36</v>
      </c>
      <c r="H1009" s="3" t="s">
        <v>103</v>
      </c>
      <c r="I1009" s="4" t="s">
        <v>36</v>
      </c>
      <c r="J1009" s="4">
        <v>4.0</v>
      </c>
      <c r="K1009" s="5"/>
      <c r="L1009" s="3" t="s">
        <v>2955</v>
      </c>
      <c r="M1009" s="3" t="s">
        <v>2956</v>
      </c>
      <c r="N1009" s="3" t="s">
        <v>22</v>
      </c>
      <c r="O1009" s="5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3" t="s">
        <v>14</v>
      </c>
      <c r="B1010" s="3" t="s">
        <v>2957</v>
      </c>
      <c r="C1010" s="36" t="s">
        <v>3597</v>
      </c>
      <c r="D1010" s="3" t="s">
        <v>2958</v>
      </c>
      <c r="E1010" s="3" t="s">
        <v>2959</v>
      </c>
      <c r="F1010" s="3" t="s">
        <v>2960</v>
      </c>
      <c r="G1010" s="3" t="s">
        <v>401</v>
      </c>
      <c r="H1010" s="3" t="s">
        <v>987</v>
      </c>
      <c r="I1010" s="4">
        <v>1.0</v>
      </c>
      <c r="J1010" s="4">
        <v>1.0</v>
      </c>
      <c r="K1010" s="5"/>
      <c r="L1010" s="3" t="s">
        <v>2961</v>
      </c>
      <c r="M1010" s="3" t="s">
        <v>2962</v>
      </c>
      <c r="N1010" s="3" t="s">
        <v>22</v>
      </c>
      <c r="O1010" s="5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3" t="s">
        <v>14</v>
      </c>
      <c r="B1011" s="3" t="s">
        <v>2957</v>
      </c>
      <c r="C1011" s="36" t="s">
        <v>3597</v>
      </c>
      <c r="D1011" s="3" t="s">
        <v>2958</v>
      </c>
      <c r="E1011" s="3" t="s">
        <v>2959</v>
      </c>
      <c r="F1011" s="3" t="s">
        <v>2960</v>
      </c>
      <c r="G1011" s="3" t="s">
        <v>2963</v>
      </c>
      <c r="H1011" s="3" t="s">
        <v>2964</v>
      </c>
      <c r="I1011" s="4">
        <v>2.0</v>
      </c>
      <c r="J1011" s="4">
        <v>2.0</v>
      </c>
      <c r="K1011" s="5"/>
      <c r="L1011" s="3" t="s">
        <v>2965</v>
      </c>
      <c r="M1011" s="3" t="s">
        <v>2962</v>
      </c>
      <c r="N1011" s="3" t="s">
        <v>22</v>
      </c>
      <c r="O1011" s="5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3" t="s">
        <v>14</v>
      </c>
      <c r="B1012" s="3" t="s">
        <v>2957</v>
      </c>
      <c r="C1012" s="36" t="s">
        <v>3597</v>
      </c>
      <c r="D1012" s="3" t="s">
        <v>2958</v>
      </c>
      <c r="E1012" s="3" t="s">
        <v>2959</v>
      </c>
      <c r="F1012" s="3" t="s">
        <v>2960</v>
      </c>
      <c r="G1012" s="3" t="s">
        <v>143</v>
      </c>
      <c r="H1012" s="3" t="s">
        <v>1116</v>
      </c>
      <c r="I1012" s="4">
        <v>3.0</v>
      </c>
      <c r="J1012" s="4">
        <v>3.0</v>
      </c>
      <c r="K1012" s="5"/>
      <c r="L1012" s="3" t="s">
        <v>2965</v>
      </c>
      <c r="M1012" s="3" t="s">
        <v>2962</v>
      </c>
      <c r="N1012" s="3" t="s">
        <v>22</v>
      </c>
      <c r="O1012" s="5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3" t="s">
        <v>14</v>
      </c>
      <c r="B1013" s="3" t="s">
        <v>2966</v>
      </c>
      <c r="C1013" s="33" t="s">
        <v>3600</v>
      </c>
      <c r="D1013" s="3" t="s">
        <v>2967</v>
      </c>
      <c r="E1013" s="3" t="s">
        <v>2968</v>
      </c>
      <c r="F1013" s="3" t="s">
        <v>2969</v>
      </c>
      <c r="G1013" s="3" t="s">
        <v>1075</v>
      </c>
      <c r="H1013" s="3" t="s">
        <v>1076</v>
      </c>
      <c r="I1013" s="4">
        <v>1.0</v>
      </c>
      <c r="J1013" s="4">
        <v>1.0</v>
      </c>
      <c r="K1013" s="5"/>
      <c r="L1013" s="3" t="s">
        <v>2970</v>
      </c>
      <c r="M1013" s="3" t="s">
        <v>2971</v>
      </c>
      <c r="N1013" s="3" t="s">
        <v>22</v>
      </c>
      <c r="O1013" s="5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3" t="s">
        <v>14</v>
      </c>
      <c r="B1014" s="3" t="s">
        <v>2966</v>
      </c>
      <c r="C1014" s="33" t="s">
        <v>3600</v>
      </c>
      <c r="D1014" s="3" t="s">
        <v>2967</v>
      </c>
      <c r="E1014" s="3" t="s">
        <v>2968</v>
      </c>
      <c r="F1014" s="3" t="s">
        <v>2969</v>
      </c>
      <c r="G1014" s="3" t="s">
        <v>172</v>
      </c>
      <c r="H1014" s="3" t="s">
        <v>334</v>
      </c>
      <c r="I1014" s="4">
        <v>2.0</v>
      </c>
      <c r="J1014" s="4">
        <v>2.0</v>
      </c>
      <c r="K1014" s="5"/>
      <c r="L1014" s="3" t="s">
        <v>2970</v>
      </c>
      <c r="M1014" s="3" t="s">
        <v>2971</v>
      </c>
      <c r="N1014" s="3" t="s">
        <v>22</v>
      </c>
      <c r="O1014" s="5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3" t="s">
        <v>14</v>
      </c>
      <c r="B1015" s="3" t="s">
        <v>2972</v>
      </c>
      <c r="C1015" s="33" t="s">
        <v>3631</v>
      </c>
      <c r="D1015" s="3" t="s">
        <v>2973</v>
      </c>
      <c r="E1015" s="3" t="s">
        <v>2974</v>
      </c>
      <c r="F1015" s="3" t="s">
        <v>2975</v>
      </c>
      <c r="G1015" s="3" t="s">
        <v>2023</v>
      </c>
      <c r="H1015" s="3" t="s">
        <v>1041</v>
      </c>
      <c r="I1015" s="4">
        <v>1.0</v>
      </c>
      <c r="J1015" s="4">
        <v>1.0</v>
      </c>
      <c r="K1015" s="3"/>
      <c r="L1015" s="3" t="s">
        <v>2976</v>
      </c>
      <c r="M1015" s="3" t="s">
        <v>2977</v>
      </c>
      <c r="N1015" s="3" t="s">
        <v>22</v>
      </c>
      <c r="O1015" s="5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3" t="s">
        <v>14</v>
      </c>
      <c r="B1016" s="3" t="s">
        <v>2972</v>
      </c>
      <c r="C1016" s="33" t="s">
        <v>3631</v>
      </c>
      <c r="D1016" s="3" t="s">
        <v>2973</v>
      </c>
      <c r="E1016" s="3" t="s">
        <v>2974</v>
      </c>
      <c r="F1016" s="3" t="s">
        <v>2975</v>
      </c>
      <c r="G1016" s="3" t="s">
        <v>402</v>
      </c>
      <c r="H1016" s="3" t="s">
        <v>402</v>
      </c>
      <c r="I1016" s="4">
        <v>2.0</v>
      </c>
      <c r="J1016" s="4">
        <v>2.0</v>
      </c>
      <c r="K1016" s="5"/>
      <c r="L1016" s="3" t="s">
        <v>2976</v>
      </c>
      <c r="M1016" s="3" t="s">
        <v>2977</v>
      </c>
      <c r="N1016" s="3" t="s">
        <v>22</v>
      </c>
      <c r="O1016" s="5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3" t="s">
        <v>14</v>
      </c>
      <c r="B1017" s="3" t="s">
        <v>2972</v>
      </c>
      <c r="C1017" s="33" t="s">
        <v>3631</v>
      </c>
      <c r="D1017" s="3" t="s">
        <v>2973</v>
      </c>
      <c r="E1017" s="3" t="s">
        <v>2974</v>
      </c>
      <c r="F1017" s="3" t="s">
        <v>2975</v>
      </c>
      <c r="G1017" s="3" t="s">
        <v>1920</v>
      </c>
      <c r="H1017" s="3" t="s">
        <v>2877</v>
      </c>
      <c r="I1017" s="4">
        <v>3.0</v>
      </c>
      <c r="J1017" s="4">
        <v>3.0</v>
      </c>
      <c r="K1017" s="3"/>
      <c r="L1017" s="3" t="s">
        <v>2976</v>
      </c>
      <c r="M1017" s="3" t="s">
        <v>2977</v>
      </c>
      <c r="N1017" s="3" t="s">
        <v>22</v>
      </c>
      <c r="O1017" s="5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3" t="s">
        <v>14</v>
      </c>
      <c r="B1018" s="3" t="s">
        <v>2972</v>
      </c>
      <c r="C1018" s="33" t="s">
        <v>3631</v>
      </c>
      <c r="D1018" s="3" t="s">
        <v>2973</v>
      </c>
      <c r="E1018" s="3" t="s">
        <v>2974</v>
      </c>
      <c r="F1018" s="3" t="s">
        <v>2975</v>
      </c>
      <c r="G1018" s="17" t="s">
        <v>36</v>
      </c>
      <c r="H1018" s="3" t="s">
        <v>103</v>
      </c>
      <c r="I1018" s="4" t="s">
        <v>36</v>
      </c>
      <c r="J1018" s="4">
        <v>4.0</v>
      </c>
      <c r="K1018" s="5"/>
      <c r="L1018" s="3" t="s">
        <v>2976</v>
      </c>
      <c r="M1018" s="3" t="s">
        <v>2977</v>
      </c>
      <c r="N1018" s="3" t="s">
        <v>22</v>
      </c>
      <c r="O1018" s="5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3" t="s">
        <v>14</v>
      </c>
      <c r="B1019" s="3" t="s">
        <v>2978</v>
      </c>
      <c r="C1019" s="36" t="s">
        <v>3627</v>
      </c>
      <c r="D1019" s="3" t="s">
        <v>2979</v>
      </c>
      <c r="E1019" s="3" t="s">
        <v>2980</v>
      </c>
      <c r="F1019" s="3" t="s">
        <v>2981</v>
      </c>
      <c r="G1019" s="3" t="s">
        <v>2982</v>
      </c>
      <c r="H1019" s="3" t="s">
        <v>758</v>
      </c>
      <c r="I1019" s="4">
        <v>1.0</v>
      </c>
      <c r="J1019" s="4">
        <v>1.0</v>
      </c>
      <c r="L1019" s="3" t="s">
        <v>2983</v>
      </c>
      <c r="M1019" s="3" t="s">
        <v>2984</v>
      </c>
      <c r="N1019" s="3" t="s">
        <v>22</v>
      </c>
      <c r="O1019" s="5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3" t="s">
        <v>14</v>
      </c>
      <c r="B1020" s="3" t="s">
        <v>2978</v>
      </c>
      <c r="C1020" s="36" t="s">
        <v>3627</v>
      </c>
      <c r="D1020" s="3" t="s">
        <v>2979</v>
      </c>
      <c r="E1020" s="3" t="s">
        <v>2980</v>
      </c>
      <c r="F1020" s="3" t="s">
        <v>2981</v>
      </c>
      <c r="G1020" s="3" t="s">
        <v>2985</v>
      </c>
      <c r="H1020" s="3" t="s">
        <v>2986</v>
      </c>
      <c r="I1020" s="4">
        <v>2.0</v>
      </c>
      <c r="J1020" s="4">
        <v>2.0</v>
      </c>
      <c r="K1020" s="3"/>
      <c r="L1020" s="3" t="s">
        <v>2983</v>
      </c>
      <c r="M1020" s="3" t="s">
        <v>2984</v>
      </c>
      <c r="N1020" s="3" t="s">
        <v>22</v>
      </c>
      <c r="O1020" s="5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3" t="s">
        <v>14</v>
      </c>
      <c r="B1021" s="3" t="s">
        <v>2978</v>
      </c>
      <c r="C1021" s="36" t="s">
        <v>3627</v>
      </c>
      <c r="D1021" s="3" t="s">
        <v>2979</v>
      </c>
      <c r="E1021" s="3" t="s">
        <v>2980</v>
      </c>
      <c r="F1021" s="3" t="s">
        <v>2981</v>
      </c>
      <c r="G1021" s="17" t="s">
        <v>36</v>
      </c>
      <c r="H1021" s="3" t="s">
        <v>1983</v>
      </c>
      <c r="I1021" s="4" t="s">
        <v>36</v>
      </c>
      <c r="J1021" s="4">
        <v>3.0</v>
      </c>
      <c r="K1021" s="5"/>
      <c r="L1021" s="3" t="s">
        <v>2983</v>
      </c>
      <c r="M1021" s="3" t="s">
        <v>2984</v>
      </c>
      <c r="N1021" s="3" t="s">
        <v>22</v>
      </c>
      <c r="O1021" s="5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3" t="s">
        <v>14</v>
      </c>
      <c r="B1022" s="3" t="s">
        <v>2987</v>
      </c>
      <c r="C1022" s="33" t="s">
        <v>3600</v>
      </c>
      <c r="D1022" s="3" t="s">
        <v>2988</v>
      </c>
      <c r="E1022" s="3" t="s">
        <v>2989</v>
      </c>
      <c r="F1022" s="3" t="s">
        <v>2990</v>
      </c>
      <c r="G1022" s="3" t="s">
        <v>2991</v>
      </c>
      <c r="H1022" s="3" t="s">
        <v>2991</v>
      </c>
      <c r="I1022" s="4">
        <v>1.0</v>
      </c>
      <c r="J1022" s="4">
        <v>1.0</v>
      </c>
      <c r="K1022" s="5"/>
      <c r="L1022" s="3" t="s">
        <v>2992</v>
      </c>
      <c r="M1022" s="3" t="s">
        <v>2993</v>
      </c>
      <c r="N1022" s="3" t="s">
        <v>22</v>
      </c>
      <c r="O1022" s="5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3" t="s">
        <v>14</v>
      </c>
      <c r="B1023" s="3" t="s">
        <v>2987</v>
      </c>
      <c r="C1023" s="33" t="s">
        <v>3600</v>
      </c>
      <c r="D1023" s="3" t="s">
        <v>2988</v>
      </c>
      <c r="E1023" s="3" t="s">
        <v>2989</v>
      </c>
      <c r="F1023" s="3" t="s">
        <v>2990</v>
      </c>
      <c r="G1023" s="3" t="s">
        <v>245</v>
      </c>
      <c r="H1023" s="3" t="s">
        <v>24</v>
      </c>
      <c r="I1023" s="4">
        <v>2.0</v>
      </c>
      <c r="J1023" s="4">
        <v>2.0</v>
      </c>
      <c r="K1023" s="5"/>
      <c r="L1023" s="3" t="s">
        <v>2992</v>
      </c>
      <c r="M1023" s="3" t="s">
        <v>2993</v>
      </c>
      <c r="N1023" s="3" t="s">
        <v>22</v>
      </c>
      <c r="O1023" s="5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3" t="s">
        <v>14</v>
      </c>
      <c r="B1024" s="3" t="s">
        <v>2994</v>
      </c>
      <c r="C1024" s="33" t="s">
        <v>3600</v>
      </c>
      <c r="D1024" s="3" t="s">
        <v>2995</v>
      </c>
      <c r="E1024" s="3" t="s">
        <v>2996</v>
      </c>
      <c r="F1024" s="3" t="s">
        <v>2997</v>
      </c>
      <c r="G1024" s="3" t="s">
        <v>2998</v>
      </c>
      <c r="H1024" s="3" t="s">
        <v>2991</v>
      </c>
      <c r="I1024" s="4">
        <v>1.0</v>
      </c>
      <c r="J1024" s="4">
        <v>1.0</v>
      </c>
      <c r="K1024" s="5"/>
      <c r="L1024" s="3" t="s">
        <v>2815</v>
      </c>
      <c r="M1024" s="3" t="s">
        <v>2999</v>
      </c>
      <c r="N1024" s="3" t="s">
        <v>22</v>
      </c>
      <c r="O1024" s="5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3" t="s">
        <v>14</v>
      </c>
      <c r="B1025" s="3" t="s">
        <v>2994</v>
      </c>
      <c r="C1025" s="33" t="s">
        <v>3600</v>
      </c>
      <c r="D1025" s="3" t="s">
        <v>2995</v>
      </c>
      <c r="E1025" s="3" t="s">
        <v>2996</v>
      </c>
      <c r="F1025" s="3" t="s">
        <v>2997</v>
      </c>
      <c r="G1025" s="3" t="s">
        <v>1899</v>
      </c>
      <c r="H1025" s="3" t="s">
        <v>1899</v>
      </c>
      <c r="I1025" s="4">
        <v>2.0</v>
      </c>
      <c r="J1025" s="4">
        <v>2.0</v>
      </c>
      <c r="K1025" s="5"/>
      <c r="L1025" s="3" t="s">
        <v>2815</v>
      </c>
      <c r="M1025" s="3" t="s">
        <v>2999</v>
      </c>
      <c r="N1025" s="3" t="s">
        <v>22</v>
      </c>
      <c r="O1025" s="5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3" t="s">
        <v>14</v>
      </c>
      <c r="B1026" s="3" t="s">
        <v>3000</v>
      </c>
      <c r="C1026" s="33" t="s">
        <v>3613</v>
      </c>
      <c r="D1026" s="3" t="s">
        <v>3001</v>
      </c>
      <c r="E1026" s="3" t="s">
        <v>3002</v>
      </c>
      <c r="F1026" s="3" t="s">
        <v>3003</v>
      </c>
      <c r="G1026" s="3" t="s">
        <v>19</v>
      </c>
      <c r="H1026" s="3" t="s">
        <v>2570</v>
      </c>
      <c r="I1026" s="4">
        <v>1.0</v>
      </c>
      <c r="J1026" s="4">
        <v>1.0</v>
      </c>
      <c r="K1026" s="3" t="s">
        <v>80</v>
      </c>
      <c r="L1026" s="3" t="s">
        <v>3004</v>
      </c>
      <c r="M1026" s="3" t="s">
        <v>3005</v>
      </c>
      <c r="N1026" s="3" t="s">
        <v>22</v>
      </c>
      <c r="O1026" s="5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3" t="s">
        <v>14</v>
      </c>
      <c r="B1027" s="3" t="s">
        <v>3000</v>
      </c>
      <c r="C1027" s="33" t="s">
        <v>3613</v>
      </c>
      <c r="D1027" s="3" t="s">
        <v>3001</v>
      </c>
      <c r="E1027" s="3" t="s">
        <v>3002</v>
      </c>
      <c r="F1027" s="3" t="s">
        <v>3003</v>
      </c>
      <c r="G1027" s="3" t="s">
        <v>197</v>
      </c>
      <c r="H1027" s="3" t="s">
        <v>36</v>
      </c>
      <c r="I1027" s="4">
        <v>2.0</v>
      </c>
      <c r="J1027" s="4" t="s">
        <v>36</v>
      </c>
      <c r="K1027" s="3" t="s">
        <v>80</v>
      </c>
      <c r="L1027" s="3" t="s">
        <v>3004</v>
      </c>
      <c r="M1027" s="3" t="s">
        <v>3005</v>
      </c>
      <c r="N1027" s="3" t="s">
        <v>22</v>
      </c>
      <c r="O1027" s="5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3" t="s">
        <v>14</v>
      </c>
      <c r="B1028" s="3" t="s">
        <v>3000</v>
      </c>
      <c r="C1028" s="33" t="s">
        <v>3613</v>
      </c>
      <c r="D1028" s="3" t="s">
        <v>3001</v>
      </c>
      <c r="E1028" s="3" t="s">
        <v>3002</v>
      </c>
      <c r="F1028" s="3" t="s">
        <v>3003</v>
      </c>
      <c r="G1028" s="3" t="s">
        <v>158</v>
      </c>
      <c r="H1028" s="3" t="s">
        <v>158</v>
      </c>
      <c r="I1028" s="4">
        <v>3.0</v>
      </c>
      <c r="J1028" s="4">
        <v>2.0</v>
      </c>
      <c r="K1028" s="5"/>
      <c r="L1028" s="3" t="s">
        <v>3004</v>
      </c>
      <c r="M1028" s="3" t="s">
        <v>3005</v>
      </c>
      <c r="N1028" s="3" t="s">
        <v>22</v>
      </c>
      <c r="O1028" s="5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3" t="s">
        <v>14</v>
      </c>
      <c r="B1029" s="3" t="s">
        <v>3006</v>
      </c>
      <c r="C1029" s="33" t="s">
        <v>3600</v>
      </c>
      <c r="D1029" s="3" t="s">
        <v>3007</v>
      </c>
      <c r="E1029" s="3" t="s">
        <v>3008</v>
      </c>
      <c r="F1029" s="3" t="s">
        <v>3007</v>
      </c>
      <c r="G1029" s="3" t="s">
        <v>1331</v>
      </c>
      <c r="H1029" s="3" t="s">
        <v>3007</v>
      </c>
      <c r="I1029" s="4">
        <v>1.0</v>
      </c>
      <c r="J1029" s="4">
        <v>1.0</v>
      </c>
      <c r="K1029" s="5"/>
      <c r="L1029" s="3" t="s">
        <v>3009</v>
      </c>
      <c r="M1029" s="3" t="s">
        <v>3010</v>
      </c>
      <c r="N1029" s="3" t="s">
        <v>22</v>
      </c>
      <c r="O1029" s="5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3" t="s">
        <v>14</v>
      </c>
      <c r="B1030" s="3" t="s">
        <v>3006</v>
      </c>
      <c r="C1030" s="33" t="s">
        <v>3600</v>
      </c>
      <c r="D1030" s="3" t="s">
        <v>3007</v>
      </c>
      <c r="E1030" s="3" t="s">
        <v>3008</v>
      </c>
      <c r="F1030" s="3" t="s">
        <v>3007</v>
      </c>
      <c r="G1030" s="3" t="s">
        <v>362</v>
      </c>
      <c r="H1030" s="3" t="s">
        <v>36</v>
      </c>
      <c r="I1030" s="4">
        <v>2.0</v>
      </c>
      <c r="J1030" s="4" t="s">
        <v>36</v>
      </c>
      <c r="K1030" s="5"/>
      <c r="L1030" s="3" t="s">
        <v>3009</v>
      </c>
      <c r="M1030" s="3" t="s">
        <v>3010</v>
      </c>
      <c r="N1030" s="3" t="s">
        <v>22</v>
      </c>
      <c r="O1030" s="5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3" t="s">
        <v>14</v>
      </c>
      <c r="B1031" s="3" t="s">
        <v>3011</v>
      </c>
      <c r="C1031" s="36" t="s">
        <v>3599</v>
      </c>
      <c r="D1031" s="3" t="s">
        <v>3012</v>
      </c>
      <c r="E1031" s="3" t="s">
        <v>3013</v>
      </c>
      <c r="F1031" s="3" t="s">
        <v>3014</v>
      </c>
      <c r="G1031" s="3" t="s">
        <v>128</v>
      </c>
      <c r="H1031" s="17" t="s">
        <v>36</v>
      </c>
      <c r="I1031" s="4">
        <v>1.0</v>
      </c>
      <c r="J1031" s="4" t="s">
        <v>36</v>
      </c>
      <c r="K1031" s="5"/>
      <c r="L1031" s="3" t="s">
        <v>3015</v>
      </c>
      <c r="M1031" s="3" t="s">
        <v>3016</v>
      </c>
      <c r="N1031" s="3" t="s">
        <v>22</v>
      </c>
      <c r="O1031" s="5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3" t="s">
        <v>14</v>
      </c>
      <c r="B1032" s="3" t="s">
        <v>3011</v>
      </c>
      <c r="C1032" s="36" t="s">
        <v>3599</v>
      </c>
      <c r="D1032" s="3" t="s">
        <v>3012</v>
      </c>
      <c r="E1032" s="3" t="s">
        <v>3013</v>
      </c>
      <c r="F1032" s="3" t="s">
        <v>3014</v>
      </c>
      <c r="G1032" s="3" t="s">
        <v>409</v>
      </c>
      <c r="H1032" s="3" t="s">
        <v>172</v>
      </c>
      <c r="I1032" s="4">
        <v>2.0</v>
      </c>
      <c r="J1032" s="4">
        <v>1.0</v>
      </c>
      <c r="K1032" s="5"/>
      <c r="L1032" s="3" t="s">
        <v>3015</v>
      </c>
      <c r="M1032" s="3" t="s">
        <v>3016</v>
      </c>
      <c r="N1032" s="3" t="s">
        <v>22</v>
      </c>
      <c r="O1032" s="5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3" t="s">
        <v>14</v>
      </c>
      <c r="B1033" s="3" t="s">
        <v>3011</v>
      </c>
      <c r="C1033" s="36" t="s">
        <v>3599</v>
      </c>
      <c r="D1033" s="3" t="s">
        <v>3012</v>
      </c>
      <c r="E1033" s="3" t="s">
        <v>3013</v>
      </c>
      <c r="F1033" s="3" t="s">
        <v>3014</v>
      </c>
      <c r="G1033" s="17" t="s">
        <v>36</v>
      </c>
      <c r="H1033" s="3" t="s">
        <v>19</v>
      </c>
      <c r="I1033" s="4" t="s">
        <v>36</v>
      </c>
      <c r="J1033" s="4">
        <v>2.0</v>
      </c>
      <c r="K1033" s="5"/>
      <c r="L1033" s="3" t="s">
        <v>3015</v>
      </c>
      <c r="M1033" s="3" t="s">
        <v>3016</v>
      </c>
      <c r="N1033" s="3" t="s">
        <v>22</v>
      </c>
      <c r="O1033" s="5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3" t="s">
        <v>14</v>
      </c>
      <c r="B1034" s="3" t="s">
        <v>3011</v>
      </c>
      <c r="C1034" s="36" t="s">
        <v>3599</v>
      </c>
      <c r="D1034" s="3" t="s">
        <v>3012</v>
      </c>
      <c r="E1034" s="3" t="s">
        <v>3013</v>
      </c>
      <c r="F1034" s="3" t="s">
        <v>3014</v>
      </c>
      <c r="G1034" s="3" t="s">
        <v>143</v>
      </c>
      <c r="H1034" s="3" t="s">
        <v>143</v>
      </c>
      <c r="I1034" s="4">
        <v>3.0</v>
      </c>
      <c r="J1034" s="4">
        <v>3.0</v>
      </c>
      <c r="K1034" s="5"/>
      <c r="L1034" s="3" t="s">
        <v>3015</v>
      </c>
      <c r="M1034" s="3" t="s">
        <v>3016</v>
      </c>
      <c r="N1034" s="3" t="s">
        <v>22</v>
      </c>
      <c r="O1034" s="5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3" t="s">
        <v>14</v>
      </c>
      <c r="B1035" s="3" t="s">
        <v>3017</v>
      </c>
      <c r="C1035" s="33" t="s">
        <v>3606</v>
      </c>
      <c r="D1035" s="3" t="s">
        <v>3018</v>
      </c>
      <c r="E1035" s="3" t="s">
        <v>3019</v>
      </c>
      <c r="F1035" s="3" t="s">
        <v>3020</v>
      </c>
      <c r="G1035" s="3" t="s">
        <v>3021</v>
      </c>
      <c r="H1035" s="3" t="s">
        <v>3022</v>
      </c>
      <c r="I1035" s="4">
        <v>1.0</v>
      </c>
      <c r="J1035" s="4">
        <v>1.0</v>
      </c>
      <c r="K1035" s="3" t="s">
        <v>80</v>
      </c>
      <c r="L1035" s="3" t="s">
        <v>3023</v>
      </c>
      <c r="M1035" s="3" t="s">
        <v>3024</v>
      </c>
      <c r="N1035" s="3" t="s">
        <v>22</v>
      </c>
      <c r="O1035" s="5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3" t="s">
        <v>14</v>
      </c>
      <c r="B1036" s="3" t="s">
        <v>3017</v>
      </c>
      <c r="C1036" s="33" t="s">
        <v>3606</v>
      </c>
      <c r="D1036" s="3" t="s">
        <v>3018</v>
      </c>
      <c r="E1036" s="3" t="s">
        <v>3019</v>
      </c>
      <c r="F1036" s="3" t="s">
        <v>3020</v>
      </c>
      <c r="G1036" s="3" t="s">
        <v>36</v>
      </c>
      <c r="H1036" s="3" t="s">
        <v>2024</v>
      </c>
      <c r="I1036" s="4" t="s">
        <v>36</v>
      </c>
      <c r="J1036" s="4">
        <v>2.0</v>
      </c>
      <c r="K1036" s="3"/>
      <c r="L1036" s="3" t="s">
        <v>3023</v>
      </c>
      <c r="M1036" s="3" t="s">
        <v>3024</v>
      </c>
      <c r="N1036" s="3" t="s">
        <v>22</v>
      </c>
      <c r="O1036" s="5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3" t="s">
        <v>14</v>
      </c>
      <c r="B1037" s="3" t="s">
        <v>3017</v>
      </c>
      <c r="C1037" s="33" t="s">
        <v>3606</v>
      </c>
      <c r="D1037" s="3" t="s">
        <v>3018</v>
      </c>
      <c r="E1037" s="3" t="s">
        <v>3019</v>
      </c>
      <c r="F1037" s="3" t="s">
        <v>3020</v>
      </c>
      <c r="G1037" s="3" t="s">
        <v>3025</v>
      </c>
      <c r="H1037" s="3" t="s">
        <v>49</v>
      </c>
      <c r="I1037" s="4">
        <v>2.0</v>
      </c>
      <c r="J1037" s="4">
        <v>3.0</v>
      </c>
      <c r="K1037" s="5"/>
      <c r="L1037" s="3" t="s">
        <v>3023</v>
      </c>
      <c r="M1037" s="3" t="s">
        <v>3024</v>
      </c>
      <c r="N1037" s="3" t="s">
        <v>22</v>
      </c>
      <c r="O1037" s="5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3" t="s">
        <v>14</v>
      </c>
      <c r="B1038" s="3" t="s">
        <v>3026</v>
      </c>
      <c r="C1038" s="33" t="s">
        <v>3600</v>
      </c>
      <c r="D1038" s="3" t="s">
        <v>3027</v>
      </c>
      <c r="E1038" s="3" t="s">
        <v>3028</v>
      </c>
      <c r="F1038" s="3" t="s">
        <v>3027</v>
      </c>
      <c r="G1038" s="3" t="s">
        <v>3029</v>
      </c>
      <c r="H1038" s="3" t="s">
        <v>3027</v>
      </c>
      <c r="I1038" s="4">
        <v>1.0</v>
      </c>
      <c r="J1038" s="4">
        <v>1.0</v>
      </c>
      <c r="K1038" s="5"/>
      <c r="L1038" s="3" t="s">
        <v>3030</v>
      </c>
      <c r="M1038" s="3" t="s">
        <v>3031</v>
      </c>
      <c r="N1038" s="3" t="s">
        <v>22</v>
      </c>
      <c r="O1038" s="5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3" t="s">
        <v>14</v>
      </c>
      <c r="B1039" s="3" t="s">
        <v>3026</v>
      </c>
      <c r="C1039" s="33" t="s">
        <v>3600</v>
      </c>
      <c r="D1039" s="3" t="s">
        <v>3027</v>
      </c>
      <c r="E1039" s="3" t="s">
        <v>3028</v>
      </c>
      <c r="F1039" s="3" t="s">
        <v>3027</v>
      </c>
      <c r="G1039" s="3" t="s">
        <v>1823</v>
      </c>
      <c r="H1039" s="3" t="s">
        <v>36</v>
      </c>
      <c r="I1039" s="4">
        <v>2.0</v>
      </c>
      <c r="J1039" s="4" t="s">
        <v>36</v>
      </c>
      <c r="K1039" s="5"/>
      <c r="L1039" s="3" t="s">
        <v>3030</v>
      </c>
      <c r="M1039" s="3" t="s">
        <v>3031</v>
      </c>
      <c r="N1039" s="3" t="s">
        <v>22</v>
      </c>
      <c r="O1039" s="5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3" t="s">
        <v>14</v>
      </c>
      <c r="B1040" s="3" t="s">
        <v>3032</v>
      </c>
      <c r="C1040" s="36" t="s">
        <v>3597</v>
      </c>
      <c r="D1040" s="3" t="s">
        <v>3033</v>
      </c>
      <c r="E1040" s="3" t="s">
        <v>3034</v>
      </c>
      <c r="F1040" s="3" t="s">
        <v>3035</v>
      </c>
      <c r="G1040" s="3" t="s">
        <v>575</v>
      </c>
      <c r="H1040" s="3" t="s">
        <v>575</v>
      </c>
      <c r="I1040" s="4">
        <v>1.0</v>
      </c>
      <c r="J1040" s="4">
        <v>1.0</v>
      </c>
      <c r="K1040" s="5"/>
      <c r="L1040" s="3" t="s">
        <v>3036</v>
      </c>
      <c r="M1040" s="3" t="s">
        <v>3037</v>
      </c>
      <c r="N1040" s="3" t="s">
        <v>22</v>
      </c>
      <c r="O1040" s="5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3" t="s">
        <v>14</v>
      </c>
      <c r="B1041" s="3" t="s">
        <v>3032</v>
      </c>
      <c r="C1041" s="36" t="s">
        <v>3597</v>
      </c>
      <c r="D1041" s="3" t="s">
        <v>3033</v>
      </c>
      <c r="E1041" s="3" t="s">
        <v>3034</v>
      </c>
      <c r="F1041" s="3" t="s">
        <v>3035</v>
      </c>
      <c r="G1041" s="3" t="s">
        <v>1608</v>
      </c>
      <c r="H1041" s="3" t="s">
        <v>1608</v>
      </c>
      <c r="I1041" s="4">
        <v>2.0</v>
      </c>
      <c r="J1041" s="4">
        <v>2.0</v>
      </c>
      <c r="K1041" s="5"/>
      <c r="L1041" s="3" t="s">
        <v>3036</v>
      </c>
      <c r="M1041" s="3" t="s">
        <v>3037</v>
      </c>
      <c r="N1041" s="3" t="s">
        <v>22</v>
      </c>
      <c r="O1041" s="5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3" t="s">
        <v>14</v>
      </c>
      <c r="B1042" s="3" t="s">
        <v>3032</v>
      </c>
      <c r="C1042" s="36" t="s">
        <v>3597</v>
      </c>
      <c r="D1042" s="3" t="s">
        <v>3033</v>
      </c>
      <c r="E1042" s="3" t="s">
        <v>3034</v>
      </c>
      <c r="F1042" s="3" t="s">
        <v>3035</v>
      </c>
      <c r="G1042" s="3" t="s">
        <v>620</v>
      </c>
      <c r="H1042" s="3" t="s">
        <v>282</v>
      </c>
      <c r="I1042" s="4">
        <v>3.0</v>
      </c>
      <c r="J1042" s="4">
        <v>3.0</v>
      </c>
      <c r="K1042" s="5"/>
      <c r="L1042" s="3" t="s">
        <v>3036</v>
      </c>
      <c r="M1042" s="3" t="s">
        <v>3037</v>
      </c>
      <c r="N1042" s="3" t="s">
        <v>22</v>
      </c>
      <c r="O1042" s="5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3" t="s">
        <v>14</v>
      </c>
      <c r="B1043" s="3" t="s">
        <v>3038</v>
      </c>
      <c r="C1043" s="36" t="s">
        <v>3595</v>
      </c>
      <c r="D1043" s="3" t="s">
        <v>3039</v>
      </c>
      <c r="E1043" s="3" t="s">
        <v>3040</v>
      </c>
      <c r="F1043" s="3" t="s">
        <v>3041</v>
      </c>
      <c r="G1043" s="17" t="s">
        <v>36</v>
      </c>
      <c r="H1043" s="3" t="s">
        <v>29</v>
      </c>
      <c r="I1043" s="4" t="s">
        <v>36</v>
      </c>
      <c r="J1043" s="4">
        <v>1.0</v>
      </c>
      <c r="K1043" s="3"/>
      <c r="L1043" s="3" t="s">
        <v>3042</v>
      </c>
      <c r="M1043" s="3" t="s">
        <v>3043</v>
      </c>
      <c r="N1043" s="3" t="s">
        <v>22</v>
      </c>
      <c r="O1043" s="5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3" t="s">
        <v>14</v>
      </c>
      <c r="B1044" s="3" t="s">
        <v>3038</v>
      </c>
      <c r="C1044" s="36" t="s">
        <v>3595</v>
      </c>
      <c r="D1044" s="3" t="s">
        <v>3039</v>
      </c>
      <c r="E1044" s="3" t="s">
        <v>3040</v>
      </c>
      <c r="F1044" s="3" t="s">
        <v>3041</v>
      </c>
      <c r="G1044" s="3" t="s">
        <v>2175</v>
      </c>
      <c r="H1044" s="3" t="s">
        <v>103</v>
      </c>
      <c r="I1044" s="4">
        <v>1.0</v>
      </c>
      <c r="J1044" s="4">
        <v>2.0</v>
      </c>
      <c r="K1044" s="3"/>
      <c r="L1044" s="3" t="s">
        <v>3042</v>
      </c>
      <c r="M1044" s="3" t="s">
        <v>3043</v>
      </c>
      <c r="N1044" s="3" t="s">
        <v>22</v>
      </c>
      <c r="O1044" s="5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3" t="s">
        <v>14</v>
      </c>
      <c r="B1045" s="3" t="s">
        <v>3038</v>
      </c>
      <c r="C1045" s="36" t="s">
        <v>3595</v>
      </c>
      <c r="D1045" s="3" t="s">
        <v>3039</v>
      </c>
      <c r="E1045" s="3" t="s">
        <v>3040</v>
      </c>
      <c r="F1045" s="3" t="s">
        <v>3041</v>
      </c>
      <c r="G1045" s="3" t="s">
        <v>181</v>
      </c>
      <c r="H1045" s="3" t="s">
        <v>428</v>
      </c>
      <c r="I1045" s="4">
        <v>2.0</v>
      </c>
      <c r="J1045" s="4">
        <v>3.0</v>
      </c>
      <c r="K1045" s="3"/>
      <c r="L1045" s="3" t="s">
        <v>3042</v>
      </c>
      <c r="M1045" s="3" t="s">
        <v>3043</v>
      </c>
      <c r="N1045" s="3" t="s">
        <v>22</v>
      </c>
      <c r="O1045" s="5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3" t="s">
        <v>14</v>
      </c>
      <c r="B1046" s="3" t="s">
        <v>3044</v>
      </c>
      <c r="C1046" s="33" t="s">
        <v>3600</v>
      </c>
      <c r="D1046" s="3" t="s">
        <v>3044</v>
      </c>
      <c r="E1046" s="3" t="s">
        <v>3045</v>
      </c>
      <c r="F1046" s="3" t="s">
        <v>3045</v>
      </c>
      <c r="G1046" s="3" t="s">
        <v>181</v>
      </c>
      <c r="H1046" s="3" t="s">
        <v>181</v>
      </c>
      <c r="I1046" s="4">
        <v>1.0</v>
      </c>
      <c r="J1046" s="4">
        <v>1.0</v>
      </c>
      <c r="K1046" s="5"/>
      <c r="L1046" s="3" t="s">
        <v>3046</v>
      </c>
      <c r="M1046" s="3" t="s">
        <v>3047</v>
      </c>
      <c r="N1046" s="3" t="s">
        <v>22</v>
      </c>
      <c r="O1046" s="5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3" t="s">
        <v>14</v>
      </c>
      <c r="B1047" s="3" t="s">
        <v>3044</v>
      </c>
      <c r="C1047" s="33" t="s">
        <v>3600</v>
      </c>
      <c r="D1047" s="3" t="s">
        <v>3044</v>
      </c>
      <c r="E1047" s="3" t="s">
        <v>3045</v>
      </c>
      <c r="F1047" s="3" t="s">
        <v>3045</v>
      </c>
      <c r="G1047" s="3" t="s">
        <v>784</v>
      </c>
      <c r="H1047" s="3" t="s">
        <v>784</v>
      </c>
      <c r="I1047" s="4">
        <v>2.0</v>
      </c>
      <c r="J1047" s="4">
        <v>2.0</v>
      </c>
      <c r="K1047" s="5"/>
      <c r="L1047" s="3" t="s">
        <v>3046</v>
      </c>
      <c r="M1047" s="3" t="s">
        <v>3047</v>
      </c>
      <c r="N1047" s="3" t="s">
        <v>22</v>
      </c>
      <c r="O1047" s="5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3" t="s">
        <v>14</v>
      </c>
      <c r="B1048" s="3" t="s">
        <v>3048</v>
      </c>
      <c r="C1048" s="33" t="s">
        <v>3613</v>
      </c>
      <c r="D1048" s="3" t="s">
        <v>3049</v>
      </c>
      <c r="E1048" s="3" t="s">
        <v>3050</v>
      </c>
      <c r="F1048" s="3" t="s">
        <v>3051</v>
      </c>
      <c r="G1048" s="3" t="s">
        <v>19</v>
      </c>
      <c r="H1048" s="3" t="s">
        <v>3052</v>
      </c>
      <c r="I1048" s="4">
        <v>1.0</v>
      </c>
      <c r="J1048" s="4">
        <v>1.0</v>
      </c>
      <c r="K1048" s="5"/>
      <c r="L1048" s="3" t="s">
        <v>3053</v>
      </c>
      <c r="M1048" s="3" t="s">
        <v>3054</v>
      </c>
      <c r="N1048" s="3" t="s">
        <v>22</v>
      </c>
      <c r="O1048" s="5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3" t="s">
        <v>14</v>
      </c>
      <c r="B1049" s="3" t="s">
        <v>3048</v>
      </c>
      <c r="C1049" s="33" t="s">
        <v>3613</v>
      </c>
      <c r="D1049" s="3" t="s">
        <v>3049</v>
      </c>
      <c r="E1049" s="3" t="s">
        <v>3050</v>
      </c>
      <c r="F1049" s="3" t="s">
        <v>3051</v>
      </c>
      <c r="G1049" s="3" t="s">
        <v>1907</v>
      </c>
      <c r="H1049" s="3" t="s">
        <v>36</v>
      </c>
      <c r="I1049" s="4">
        <v>2.0</v>
      </c>
      <c r="J1049" s="4" t="s">
        <v>36</v>
      </c>
      <c r="K1049" s="5"/>
      <c r="L1049" s="3" t="s">
        <v>3053</v>
      </c>
      <c r="M1049" s="3" t="s">
        <v>3054</v>
      </c>
      <c r="N1049" s="3" t="s">
        <v>22</v>
      </c>
      <c r="O1049" s="5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3" t="s">
        <v>14</v>
      </c>
      <c r="B1050" s="3" t="s">
        <v>3048</v>
      </c>
      <c r="C1050" s="33" t="s">
        <v>3613</v>
      </c>
      <c r="D1050" s="3" t="s">
        <v>3049</v>
      </c>
      <c r="E1050" s="3" t="s">
        <v>3050</v>
      </c>
      <c r="F1050" s="3" t="s">
        <v>3051</v>
      </c>
      <c r="G1050" s="3" t="s">
        <v>62</v>
      </c>
      <c r="H1050" s="3" t="s">
        <v>724</v>
      </c>
      <c r="I1050" s="4">
        <v>3.0</v>
      </c>
      <c r="J1050" s="4">
        <v>2.0</v>
      </c>
      <c r="K1050" s="5"/>
      <c r="L1050" s="3" t="s">
        <v>3053</v>
      </c>
      <c r="M1050" s="3" t="s">
        <v>3054</v>
      </c>
      <c r="N1050" s="3" t="s">
        <v>22</v>
      </c>
      <c r="O1050" s="5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15" t="s">
        <v>14</v>
      </c>
      <c r="B1051" s="15" t="s">
        <v>3055</v>
      </c>
      <c r="C1051" s="36" t="s">
        <v>3618</v>
      </c>
      <c r="D1051" s="15" t="s">
        <v>3056</v>
      </c>
      <c r="E1051" s="15" t="s">
        <v>3057</v>
      </c>
      <c r="F1051" s="15" t="s">
        <v>3058</v>
      </c>
      <c r="G1051" s="15" t="s">
        <v>30</v>
      </c>
      <c r="H1051" s="15" t="s">
        <v>3059</v>
      </c>
      <c r="I1051" s="18">
        <v>1.0</v>
      </c>
      <c r="J1051" s="18">
        <v>1.0</v>
      </c>
      <c r="K1051" s="15" t="s">
        <v>72</v>
      </c>
      <c r="L1051" s="15" t="s">
        <v>3060</v>
      </c>
      <c r="M1051" s="15" t="s">
        <v>3061</v>
      </c>
      <c r="N1051" s="15" t="s">
        <v>22</v>
      </c>
      <c r="O1051" s="20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</row>
    <row r="1052">
      <c r="A1052" s="15" t="s">
        <v>14</v>
      </c>
      <c r="B1052" s="15" t="s">
        <v>3055</v>
      </c>
      <c r="C1052" s="36" t="s">
        <v>3618</v>
      </c>
      <c r="D1052" s="15" t="s">
        <v>3056</v>
      </c>
      <c r="E1052" s="15" t="s">
        <v>3057</v>
      </c>
      <c r="F1052" s="15" t="s">
        <v>3058</v>
      </c>
      <c r="G1052" s="15" t="s">
        <v>245</v>
      </c>
      <c r="H1052" s="15"/>
      <c r="I1052" s="18">
        <v>2.0</v>
      </c>
      <c r="J1052" s="18" t="s">
        <v>36</v>
      </c>
      <c r="K1052" s="20"/>
      <c r="L1052" s="15" t="s">
        <v>3060</v>
      </c>
      <c r="M1052" s="15" t="s">
        <v>3061</v>
      </c>
      <c r="N1052" s="15" t="s">
        <v>22</v>
      </c>
      <c r="O1052" s="20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</row>
    <row r="1053">
      <c r="A1053" s="15" t="s">
        <v>14</v>
      </c>
      <c r="B1053" s="15" t="s">
        <v>3055</v>
      </c>
      <c r="C1053" s="36" t="s">
        <v>3618</v>
      </c>
      <c r="D1053" s="15" t="s">
        <v>3056</v>
      </c>
      <c r="E1053" s="15" t="s">
        <v>3057</v>
      </c>
      <c r="F1053" s="15" t="s">
        <v>3058</v>
      </c>
      <c r="G1053" s="15" t="s">
        <v>98</v>
      </c>
      <c r="H1053" s="15" t="s">
        <v>98</v>
      </c>
      <c r="I1053" s="18">
        <v>3.0</v>
      </c>
      <c r="J1053" s="18">
        <v>2.0</v>
      </c>
      <c r="K1053" s="20"/>
      <c r="L1053" s="15" t="s">
        <v>3060</v>
      </c>
      <c r="M1053" s="15" t="s">
        <v>3061</v>
      </c>
      <c r="N1053" s="15" t="s">
        <v>22</v>
      </c>
      <c r="O1053" s="20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</row>
    <row r="1054">
      <c r="A1054" s="15" t="s">
        <v>14</v>
      </c>
      <c r="B1054" s="15" t="s">
        <v>3055</v>
      </c>
      <c r="C1054" s="36" t="s">
        <v>3618</v>
      </c>
      <c r="D1054" s="15" t="s">
        <v>3056</v>
      </c>
      <c r="E1054" s="15" t="s">
        <v>3057</v>
      </c>
      <c r="F1054" s="15" t="s">
        <v>3058</v>
      </c>
      <c r="G1054" s="15" t="s">
        <v>706</v>
      </c>
      <c r="H1054" s="15" t="s">
        <v>707</v>
      </c>
      <c r="I1054" s="18">
        <v>4.0</v>
      </c>
      <c r="J1054" s="18">
        <v>3.0</v>
      </c>
      <c r="K1054" s="15"/>
      <c r="L1054" s="15" t="s">
        <v>3060</v>
      </c>
      <c r="M1054" s="15" t="s">
        <v>3061</v>
      </c>
      <c r="N1054" s="15" t="s">
        <v>22</v>
      </c>
      <c r="O1054" s="20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</row>
    <row r="1055">
      <c r="A1055" s="3" t="s">
        <v>14</v>
      </c>
      <c r="B1055" s="3" t="s">
        <v>1920</v>
      </c>
      <c r="C1055" s="33" t="s">
        <v>3596</v>
      </c>
      <c r="D1055" s="3" t="s">
        <v>3062</v>
      </c>
      <c r="E1055" s="3" t="s">
        <v>1920</v>
      </c>
      <c r="F1055" s="3" t="s">
        <v>3063</v>
      </c>
      <c r="G1055" s="3" t="s">
        <v>1920</v>
      </c>
      <c r="H1055" s="3" t="s">
        <v>3064</v>
      </c>
      <c r="I1055" s="4">
        <v>1.0</v>
      </c>
      <c r="J1055" s="4">
        <v>1.0</v>
      </c>
      <c r="K1055" s="5"/>
      <c r="L1055" s="3" t="s">
        <v>3065</v>
      </c>
      <c r="M1055" s="3" t="s">
        <v>3066</v>
      </c>
      <c r="N1055" s="3" t="s">
        <v>22</v>
      </c>
      <c r="O1055" s="5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3" t="s">
        <v>14</v>
      </c>
      <c r="B1056" s="3" t="s">
        <v>1920</v>
      </c>
      <c r="C1056" s="33" t="s">
        <v>3596</v>
      </c>
      <c r="D1056" s="3" t="s">
        <v>3062</v>
      </c>
      <c r="E1056" s="3" t="s">
        <v>1920</v>
      </c>
      <c r="F1056" s="3" t="s">
        <v>3063</v>
      </c>
      <c r="G1056" s="3" t="s">
        <v>36</v>
      </c>
      <c r="H1056" s="3" t="s">
        <v>482</v>
      </c>
      <c r="I1056" s="4" t="s">
        <v>36</v>
      </c>
      <c r="J1056" s="4">
        <v>2.0</v>
      </c>
      <c r="K1056" s="3"/>
      <c r="L1056" s="3" t="s">
        <v>3065</v>
      </c>
      <c r="M1056" s="3" t="s">
        <v>3066</v>
      </c>
      <c r="N1056" s="3" t="s">
        <v>22</v>
      </c>
      <c r="O1056" s="5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3" t="s">
        <v>14</v>
      </c>
      <c r="B1057" s="3" t="s">
        <v>3067</v>
      </c>
      <c r="C1057" s="36" t="s">
        <v>3593</v>
      </c>
      <c r="D1057" s="3" t="s">
        <v>3068</v>
      </c>
      <c r="E1057" s="3" t="s">
        <v>3069</v>
      </c>
      <c r="F1057" s="3" t="s">
        <v>3068</v>
      </c>
      <c r="G1057" s="3" t="s">
        <v>128</v>
      </c>
      <c r="H1057" s="3" t="s">
        <v>3068</v>
      </c>
      <c r="I1057" s="4">
        <v>1.0</v>
      </c>
      <c r="J1057" s="4">
        <v>1.0</v>
      </c>
      <c r="K1057" s="5"/>
      <c r="L1057" s="3" t="s">
        <v>3070</v>
      </c>
      <c r="M1057" s="3" t="s">
        <v>3071</v>
      </c>
      <c r="N1057" s="3" t="s">
        <v>22</v>
      </c>
      <c r="O1057" s="5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3" t="s">
        <v>14</v>
      </c>
      <c r="B1058" s="3" t="s">
        <v>3067</v>
      </c>
      <c r="C1058" s="36" t="s">
        <v>3593</v>
      </c>
      <c r="D1058" s="3" t="s">
        <v>3068</v>
      </c>
      <c r="E1058" s="3" t="s">
        <v>3069</v>
      </c>
      <c r="F1058" s="3" t="s">
        <v>3068</v>
      </c>
      <c r="G1058" s="3" t="s">
        <v>2500</v>
      </c>
      <c r="H1058" s="3" t="s">
        <v>36</v>
      </c>
      <c r="I1058" s="4">
        <v>2.0</v>
      </c>
      <c r="J1058" s="4" t="s">
        <v>36</v>
      </c>
      <c r="K1058" s="5"/>
      <c r="L1058" s="3" t="s">
        <v>3070</v>
      </c>
      <c r="M1058" s="3" t="s">
        <v>3071</v>
      </c>
      <c r="N1058" s="3" t="s">
        <v>22</v>
      </c>
      <c r="O1058" s="5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3" t="s">
        <v>14</v>
      </c>
      <c r="B1059" s="3" t="s">
        <v>3067</v>
      </c>
      <c r="C1059" s="36" t="s">
        <v>3593</v>
      </c>
      <c r="D1059" s="3" t="s">
        <v>3068</v>
      </c>
      <c r="E1059" s="3" t="s">
        <v>3069</v>
      </c>
      <c r="F1059" s="3" t="s">
        <v>3068</v>
      </c>
      <c r="G1059" s="3" t="s">
        <v>197</v>
      </c>
      <c r="H1059" s="3" t="s">
        <v>36</v>
      </c>
      <c r="I1059" s="4">
        <v>3.0</v>
      </c>
      <c r="J1059" s="4" t="s">
        <v>36</v>
      </c>
      <c r="K1059" s="5"/>
      <c r="L1059" s="3" t="s">
        <v>3070</v>
      </c>
      <c r="M1059" s="3" t="s">
        <v>3071</v>
      </c>
      <c r="N1059" s="3" t="s">
        <v>22</v>
      </c>
      <c r="O1059" s="5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3" t="s">
        <v>14</v>
      </c>
      <c r="B1060" s="3" t="s">
        <v>3072</v>
      </c>
      <c r="C1060" s="39" t="s">
        <v>3610</v>
      </c>
      <c r="D1060" s="3" t="s">
        <v>3073</v>
      </c>
      <c r="E1060" s="3" t="s">
        <v>3072</v>
      </c>
      <c r="F1060" s="3" t="s">
        <v>3074</v>
      </c>
      <c r="G1060" s="3" t="s">
        <v>3072</v>
      </c>
      <c r="H1060" s="3" t="s">
        <v>175</v>
      </c>
      <c r="I1060" s="4">
        <v>1.0</v>
      </c>
      <c r="J1060" s="4">
        <v>1.0</v>
      </c>
      <c r="K1060" s="3" t="s">
        <v>80</v>
      </c>
      <c r="L1060" s="3" t="s">
        <v>3075</v>
      </c>
      <c r="M1060" s="3" t="s">
        <v>3076</v>
      </c>
      <c r="N1060" s="3" t="s">
        <v>22</v>
      </c>
      <c r="O1060" s="5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3" t="s">
        <v>14</v>
      </c>
      <c r="B1061" s="3" t="s">
        <v>3072</v>
      </c>
      <c r="C1061" s="39" t="s">
        <v>3610</v>
      </c>
      <c r="D1061" s="3" t="s">
        <v>3073</v>
      </c>
      <c r="E1061" s="3" t="s">
        <v>3072</v>
      </c>
      <c r="F1061" s="3" t="s">
        <v>3074</v>
      </c>
      <c r="G1061" s="3" t="s">
        <v>36</v>
      </c>
      <c r="H1061" s="3" t="s">
        <v>2647</v>
      </c>
      <c r="I1061" s="4" t="s">
        <v>36</v>
      </c>
      <c r="J1061" s="4">
        <v>2.0</v>
      </c>
      <c r="K1061" s="3"/>
      <c r="L1061" s="3" t="s">
        <v>3075</v>
      </c>
      <c r="M1061" s="3" t="s">
        <v>3076</v>
      </c>
      <c r="N1061" s="3" t="s">
        <v>22</v>
      </c>
      <c r="O1061" s="5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3" t="s">
        <v>14</v>
      </c>
      <c r="B1062" s="3" t="s">
        <v>3072</v>
      </c>
      <c r="C1062" s="39" t="s">
        <v>3610</v>
      </c>
      <c r="D1062" s="3" t="s">
        <v>3073</v>
      </c>
      <c r="E1062" s="3" t="s">
        <v>3072</v>
      </c>
      <c r="F1062" s="3" t="s">
        <v>3074</v>
      </c>
      <c r="G1062" s="3" t="s">
        <v>36</v>
      </c>
      <c r="H1062" s="3" t="s">
        <v>362</v>
      </c>
      <c r="I1062" s="4" t="s">
        <v>36</v>
      </c>
      <c r="J1062" s="4">
        <v>3.0</v>
      </c>
      <c r="K1062" s="3"/>
      <c r="L1062" s="3" t="s">
        <v>3075</v>
      </c>
      <c r="M1062" s="3" t="s">
        <v>3076</v>
      </c>
      <c r="N1062" s="3" t="s">
        <v>22</v>
      </c>
      <c r="O1062" s="5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3" t="s">
        <v>14</v>
      </c>
      <c r="B1063" s="3" t="s">
        <v>3077</v>
      </c>
      <c r="C1063" s="39" t="s">
        <v>3600</v>
      </c>
      <c r="D1063" s="3" t="s">
        <v>3078</v>
      </c>
      <c r="E1063" s="3" t="s">
        <v>3079</v>
      </c>
      <c r="F1063" s="3" t="s">
        <v>3080</v>
      </c>
      <c r="G1063" s="3" t="s">
        <v>1396</v>
      </c>
      <c r="H1063" s="3" t="s">
        <v>1396</v>
      </c>
      <c r="I1063" s="4">
        <v>1.0</v>
      </c>
      <c r="J1063" s="4">
        <v>1.0</v>
      </c>
      <c r="K1063" s="5"/>
      <c r="L1063" s="3" t="s">
        <v>3081</v>
      </c>
      <c r="M1063" s="3" t="s">
        <v>3082</v>
      </c>
      <c r="N1063" s="3" t="s">
        <v>22</v>
      </c>
      <c r="O1063" s="5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3" t="s">
        <v>14</v>
      </c>
      <c r="B1064" s="3" t="s">
        <v>3077</v>
      </c>
      <c r="C1064" s="39" t="s">
        <v>3600</v>
      </c>
      <c r="D1064" s="3" t="s">
        <v>3078</v>
      </c>
      <c r="E1064" s="3" t="s">
        <v>3079</v>
      </c>
      <c r="F1064" s="3" t="s">
        <v>3080</v>
      </c>
      <c r="G1064" s="3" t="s">
        <v>840</v>
      </c>
      <c r="H1064" s="3" t="s">
        <v>482</v>
      </c>
      <c r="I1064" s="4">
        <v>2.0</v>
      </c>
      <c r="J1064" s="4">
        <v>2.0</v>
      </c>
      <c r="K1064" s="5"/>
      <c r="L1064" s="3" t="s">
        <v>3081</v>
      </c>
      <c r="M1064" s="3" t="s">
        <v>3082</v>
      </c>
      <c r="N1064" s="3" t="s">
        <v>22</v>
      </c>
      <c r="O1064" s="5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15" t="s">
        <v>14</v>
      </c>
      <c r="B1065" s="15" t="s">
        <v>3083</v>
      </c>
      <c r="C1065" s="39" t="s">
        <v>3603</v>
      </c>
      <c r="D1065" s="15" t="s">
        <v>3084</v>
      </c>
      <c r="E1065" s="15" t="s">
        <v>3085</v>
      </c>
      <c r="F1065" s="15" t="s">
        <v>3086</v>
      </c>
      <c r="G1065" s="15" t="s">
        <v>3087</v>
      </c>
      <c r="H1065" s="15" t="s">
        <v>3088</v>
      </c>
      <c r="I1065" s="18">
        <v>1.0</v>
      </c>
      <c r="J1065" s="18">
        <v>1.0</v>
      </c>
      <c r="K1065" s="15" t="s">
        <v>80</v>
      </c>
      <c r="L1065" s="15" t="s">
        <v>3089</v>
      </c>
      <c r="M1065" s="15" t="s">
        <v>3090</v>
      </c>
      <c r="N1065" s="15" t="s">
        <v>22</v>
      </c>
      <c r="O1065" s="20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</row>
    <row r="1066">
      <c r="A1066" s="15" t="s">
        <v>14</v>
      </c>
      <c r="B1066" s="15" t="s">
        <v>3083</v>
      </c>
      <c r="C1066" s="39" t="s">
        <v>3603</v>
      </c>
      <c r="D1066" s="15" t="s">
        <v>3084</v>
      </c>
      <c r="E1066" s="15" t="s">
        <v>3085</v>
      </c>
      <c r="F1066" s="15" t="s">
        <v>3086</v>
      </c>
      <c r="G1066" s="15" t="s">
        <v>158</v>
      </c>
      <c r="H1066" s="15" t="s">
        <v>810</v>
      </c>
      <c r="I1066" s="18">
        <v>2.0</v>
      </c>
      <c r="J1066" s="18">
        <v>2.0</v>
      </c>
      <c r="K1066" s="15"/>
      <c r="L1066" s="15" t="s">
        <v>3089</v>
      </c>
      <c r="M1066" s="15" t="s">
        <v>3090</v>
      </c>
      <c r="N1066" s="15" t="s">
        <v>22</v>
      </c>
      <c r="O1066" s="20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</row>
    <row r="1067">
      <c r="A1067" s="15" t="s">
        <v>14</v>
      </c>
      <c r="B1067" s="15" t="s">
        <v>3083</v>
      </c>
      <c r="C1067" s="39" t="s">
        <v>3603</v>
      </c>
      <c r="D1067" s="15" t="s">
        <v>3084</v>
      </c>
      <c r="E1067" s="15" t="s">
        <v>3085</v>
      </c>
      <c r="F1067" s="15" t="s">
        <v>3086</v>
      </c>
      <c r="G1067" s="15" t="s">
        <v>36</v>
      </c>
      <c r="H1067" s="15" t="s">
        <v>103</v>
      </c>
      <c r="I1067" s="18" t="s">
        <v>36</v>
      </c>
      <c r="J1067" s="18">
        <v>3.0</v>
      </c>
      <c r="K1067" s="20"/>
      <c r="L1067" s="15" t="s">
        <v>3089</v>
      </c>
      <c r="M1067" s="15" t="s">
        <v>3090</v>
      </c>
      <c r="N1067" s="15" t="s">
        <v>22</v>
      </c>
      <c r="O1067" s="20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</row>
    <row r="1068">
      <c r="A1068" s="3" t="s">
        <v>14</v>
      </c>
      <c r="B1068" s="3" t="s">
        <v>3091</v>
      </c>
      <c r="C1068" s="36" t="s">
        <v>3597</v>
      </c>
      <c r="D1068" s="3" t="s">
        <v>3092</v>
      </c>
      <c r="E1068" s="3" t="s">
        <v>3093</v>
      </c>
      <c r="F1068" s="3" t="s">
        <v>3094</v>
      </c>
      <c r="G1068" s="3" t="s">
        <v>1541</v>
      </c>
      <c r="H1068" s="3" t="s">
        <v>3088</v>
      </c>
      <c r="I1068" s="4">
        <v>1.0</v>
      </c>
      <c r="J1068" s="4">
        <v>1.0</v>
      </c>
      <c r="K1068" s="5"/>
      <c r="L1068" s="3" t="s">
        <v>3095</v>
      </c>
      <c r="M1068" s="3" t="s">
        <v>3096</v>
      </c>
      <c r="N1068" s="3" t="s">
        <v>22</v>
      </c>
      <c r="O1068" s="5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3" t="s">
        <v>14</v>
      </c>
      <c r="B1069" s="3" t="s">
        <v>3091</v>
      </c>
      <c r="C1069" s="36" t="s">
        <v>3597</v>
      </c>
      <c r="D1069" s="3" t="s">
        <v>3092</v>
      </c>
      <c r="E1069" s="3" t="s">
        <v>3093</v>
      </c>
      <c r="F1069" s="3" t="s">
        <v>3094</v>
      </c>
      <c r="G1069" s="3" t="s">
        <v>918</v>
      </c>
      <c r="H1069" s="3" t="s">
        <v>918</v>
      </c>
      <c r="I1069" s="4">
        <v>2.0</v>
      </c>
      <c r="J1069" s="4">
        <v>2.0</v>
      </c>
      <c r="K1069" s="5"/>
      <c r="L1069" s="3" t="s">
        <v>3095</v>
      </c>
      <c r="M1069" s="3" t="s">
        <v>3096</v>
      </c>
      <c r="N1069" s="3" t="s">
        <v>22</v>
      </c>
      <c r="O1069" s="5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3" t="s">
        <v>14</v>
      </c>
      <c r="B1070" s="3" t="s">
        <v>3091</v>
      </c>
      <c r="C1070" s="36" t="s">
        <v>3597</v>
      </c>
      <c r="D1070" s="3" t="s">
        <v>3092</v>
      </c>
      <c r="E1070" s="3" t="s">
        <v>3093</v>
      </c>
      <c r="F1070" s="3" t="s">
        <v>3094</v>
      </c>
      <c r="G1070" s="3" t="s">
        <v>784</v>
      </c>
      <c r="H1070" s="3" t="s">
        <v>784</v>
      </c>
      <c r="I1070" s="4">
        <v>3.0</v>
      </c>
      <c r="J1070" s="4">
        <v>3.0</v>
      </c>
      <c r="K1070" s="5"/>
      <c r="L1070" s="3" t="s">
        <v>3095</v>
      </c>
      <c r="M1070" s="3" t="s">
        <v>3096</v>
      </c>
      <c r="N1070" s="3" t="s">
        <v>22</v>
      </c>
      <c r="O1070" s="5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3" t="s">
        <v>14</v>
      </c>
      <c r="B1071" s="3" t="s">
        <v>3097</v>
      </c>
      <c r="C1071" s="33" t="s">
        <v>3600</v>
      </c>
      <c r="D1071" s="3" t="s">
        <v>3098</v>
      </c>
      <c r="E1071" s="3" t="s">
        <v>3099</v>
      </c>
      <c r="F1071" s="3" t="s">
        <v>3100</v>
      </c>
      <c r="G1071" s="3" t="s">
        <v>228</v>
      </c>
      <c r="H1071" s="3" t="s">
        <v>3101</v>
      </c>
      <c r="I1071" s="4">
        <v>1.0</v>
      </c>
      <c r="J1071" s="4">
        <v>1.0</v>
      </c>
      <c r="K1071" s="5"/>
      <c r="L1071" s="3" t="s">
        <v>3102</v>
      </c>
      <c r="M1071" s="3" t="s">
        <v>1736</v>
      </c>
      <c r="N1071" s="3" t="s">
        <v>22</v>
      </c>
      <c r="O1071" s="5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3" t="s">
        <v>14</v>
      </c>
      <c r="B1072" s="3" t="s">
        <v>3097</v>
      </c>
      <c r="C1072" s="33" t="s">
        <v>3600</v>
      </c>
      <c r="D1072" s="3" t="s">
        <v>3098</v>
      </c>
      <c r="E1072" s="3" t="s">
        <v>3099</v>
      </c>
      <c r="F1072" s="3" t="s">
        <v>3100</v>
      </c>
      <c r="G1072" s="3" t="s">
        <v>3103</v>
      </c>
      <c r="H1072" s="3" t="s">
        <v>238</v>
      </c>
      <c r="I1072" s="4">
        <v>2.0</v>
      </c>
      <c r="J1072" s="4">
        <v>2.0</v>
      </c>
      <c r="K1072" s="5"/>
      <c r="L1072" s="3" t="s">
        <v>3102</v>
      </c>
      <c r="M1072" s="3" t="s">
        <v>1736</v>
      </c>
      <c r="N1072" s="3" t="s">
        <v>22</v>
      </c>
      <c r="O1072" s="5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3" t="s">
        <v>14</v>
      </c>
      <c r="B1073" s="3" t="s">
        <v>3104</v>
      </c>
      <c r="C1073" s="36" t="s">
        <v>3597</v>
      </c>
      <c r="D1073" s="3" t="s">
        <v>3105</v>
      </c>
      <c r="E1073" s="3" t="s">
        <v>3106</v>
      </c>
      <c r="F1073" s="3" t="s">
        <v>3107</v>
      </c>
      <c r="G1073" s="3" t="s">
        <v>848</v>
      </c>
      <c r="H1073" s="3" t="s">
        <v>987</v>
      </c>
      <c r="I1073" s="4">
        <v>1.0</v>
      </c>
      <c r="J1073" s="4">
        <v>1.0</v>
      </c>
      <c r="K1073" s="5"/>
      <c r="L1073" s="3" t="s">
        <v>3108</v>
      </c>
      <c r="M1073" s="3" t="s">
        <v>3109</v>
      </c>
      <c r="N1073" s="3" t="s">
        <v>22</v>
      </c>
      <c r="O1073" s="5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3" t="s">
        <v>14</v>
      </c>
      <c r="B1074" s="3" t="s">
        <v>3104</v>
      </c>
      <c r="C1074" s="36" t="s">
        <v>3597</v>
      </c>
      <c r="D1074" s="3" t="s">
        <v>3105</v>
      </c>
      <c r="E1074" s="3" t="s">
        <v>3106</v>
      </c>
      <c r="F1074" s="3" t="s">
        <v>3107</v>
      </c>
      <c r="G1074" s="3" t="s">
        <v>3110</v>
      </c>
      <c r="H1074" s="3" t="s">
        <v>3111</v>
      </c>
      <c r="I1074" s="4">
        <v>2.0</v>
      </c>
      <c r="J1074" s="4">
        <v>2.0</v>
      </c>
      <c r="K1074" s="5"/>
      <c r="L1074" s="3" t="s">
        <v>3108</v>
      </c>
      <c r="M1074" s="3" t="s">
        <v>3109</v>
      </c>
      <c r="N1074" s="3" t="s">
        <v>22</v>
      </c>
      <c r="O1074" s="5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3" t="s">
        <v>14</v>
      </c>
      <c r="B1075" s="3" t="s">
        <v>3104</v>
      </c>
      <c r="C1075" s="36" t="s">
        <v>3597</v>
      </c>
      <c r="D1075" s="3" t="s">
        <v>3105</v>
      </c>
      <c r="E1075" s="3" t="s">
        <v>3106</v>
      </c>
      <c r="F1075" s="3" t="s">
        <v>3107</v>
      </c>
      <c r="G1075" s="3" t="s">
        <v>55</v>
      </c>
      <c r="H1075" s="3" t="s">
        <v>56</v>
      </c>
      <c r="I1075" s="4">
        <v>3.0</v>
      </c>
      <c r="J1075" s="4">
        <v>3.0</v>
      </c>
      <c r="K1075" s="5"/>
      <c r="L1075" s="3" t="s">
        <v>3108</v>
      </c>
      <c r="M1075" s="3" t="s">
        <v>3109</v>
      </c>
      <c r="N1075" s="3" t="s">
        <v>22</v>
      </c>
      <c r="O1075" s="5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3" t="s">
        <v>14</v>
      </c>
      <c r="B1076" s="3" t="s">
        <v>3112</v>
      </c>
      <c r="C1076" s="36" t="s">
        <v>3597</v>
      </c>
      <c r="D1076" s="3" t="s">
        <v>3113</v>
      </c>
      <c r="E1076" s="3" t="s">
        <v>3114</v>
      </c>
      <c r="F1076" s="3" t="s">
        <v>3115</v>
      </c>
      <c r="G1076" s="3" t="s">
        <v>362</v>
      </c>
      <c r="H1076" s="3" t="s">
        <v>301</v>
      </c>
      <c r="I1076" s="4">
        <v>1.0</v>
      </c>
      <c r="J1076" s="4">
        <v>1.0</v>
      </c>
      <c r="K1076" s="5"/>
      <c r="L1076" s="3" t="s">
        <v>3116</v>
      </c>
      <c r="M1076" s="3" t="s">
        <v>479</v>
      </c>
      <c r="N1076" s="3" t="s">
        <v>22</v>
      </c>
      <c r="O1076" s="5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3" t="s">
        <v>14</v>
      </c>
      <c r="B1077" s="3" t="s">
        <v>3112</v>
      </c>
      <c r="C1077" s="36" t="s">
        <v>3597</v>
      </c>
      <c r="D1077" s="3" t="s">
        <v>3113</v>
      </c>
      <c r="E1077" s="3" t="s">
        <v>3114</v>
      </c>
      <c r="F1077" s="3" t="s">
        <v>3115</v>
      </c>
      <c r="G1077" s="3" t="s">
        <v>436</v>
      </c>
      <c r="H1077" s="3" t="s">
        <v>436</v>
      </c>
      <c r="I1077" s="4">
        <v>2.0</v>
      </c>
      <c r="J1077" s="4">
        <v>2.0</v>
      </c>
      <c r="K1077" s="5"/>
      <c r="L1077" s="3" t="s">
        <v>3116</v>
      </c>
      <c r="M1077" s="3" t="s">
        <v>479</v>
      </c>
      <c r="N1077" s="3" t="s">
        <v>22</v>
      </c>
      <c r="O1077" s="5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3" t="s">
        <v>14</v>
      </c>
      <c r="B1078" s="3" t="s">
        <v>3112</v>
      </c>
      <c r="C1078" s="36" t="s">
        <v>3597</v>
      </c>
      <c r="D1078" s="3" t="s">
        <v>3113</v>
      </c>
      <c r="E1078" s="3" t="s">
        <v>3114</v>
      </c>
      <c r="F1078" s="3" t="s">
        <v>3115</v>
      </c>
      <c r="G1078" s="3" t="s">
        <v>190</v>
      </c>
      <c r="H1078" s="3" t="s">
        <v>190</v>
      </c>
      <c r="I1078" s="4">
        <v>3.0</v>
      </c>
      <c r="J1078" s="4">
        <v>3.0</v>
      </c>
      <c r="K1078" s="5"/>
      <c r="L1078" s="3" t="s">
        <v>3116</v>
      </c>
      <c r="M1078" s="3" t="s">
        <v>479</v>
      </c>
      <c r="N1078" s="3" t="s">
        <v>22</v>
      </c>
      <c r="O1078" s="5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3" t="s">
        <v>14</v>
      </c>
      <c r="B1079" s="3" t="s">
        <v>3117</v>
      </c>
      <c r="C1079" s="36" t="s">
        <v>3593</v>
      </c>
      <c r="D1079" s="3" t="s">
        <v>3118</v>
      </c>
      <c r="E1079" s="3" t="s">
        <v>3119</v>
      </c>
      <c r="F1079" s="3" t="s">
        <v>3120</v>
      </c>
      <c r="G1079" s="3" t="s">
        <v>128</v>
      </c>
      <c r="H1079" s="3" t="s">
        <v>1113</v>
      </c>
      <c r="I1079" s="4">
        <v>1.0</v>
      </c>
      <c r="J1079" s="4">
        <v>1.0</v>
      </c>
      <c r="K1079" s="5"/>
      <c r="L1079" s="3" t="s">
        <v>3121</v>
      </c>
      <c r="M1079" s="3" t="s">
        <v>3122</v>
      </c>
      <c r="N1079" s="3" t="s">
        <v>22</v>
      </c>
      <c r="O1079" s="5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3" t="s">
        <v>14</v>
      </c>
      <c r="B1080" s="3" t="s">
        <v>3117</v>
      </c>
      <c r="C1080" s="36" t="s">
        <v>3593</v>
      </c>
      <c r="D1080" s="3" t="s">
        <v>3118</v>
      </c>
      <c r="E1080" s="3" t="s">
        <v>3119</v>
      </c>
      <c r="F1080" s="3" t="s">
        <v>3120</v>
      </c>
      <c r="G1080" s="3" t="s">
        <v>1248</v>
      </c>
      <c r="H1080" s="3" t="s">
        <v>3123</v>
      </c>
      <c r="I1080" s="4">
        <v>2.0</v>
      </c>
      <c r="J1080" s="4">
        <v>2.0</v>
      </c>
      <c r="K1080" s="5"/>
      <c r="L1080" s="3" t="s">
        <v>3121</v>
      </c>
      <c r="M1080" s="3" t="s">
        <v>3122</v>
      </c>
      <c r="N1080" s="3" t="s">
        <v>22</v>
      </c>
      <c r="O1080" s="5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3" t="s">
        <v>14</v>
      </c>
      <c r="B1081" s="3" t="s">
        <v>3117</v>
      </c>
      <c r="C1081" s="36" t="s">
        <v>3593</v>
      </c>
      <c r="D1081" s="3" t="s">
        <v>3118</v>
      </c>
      <c r="E1081" s="3" t="s">
        <v>3119</v>
      </c>
      <c r="F1081" s="3" t="s">
        <v>3120</v>
      </c>
      <c r="G1081" s="3" t="s">
        <v>362</v>
      </c>
      <c r="H1081" s="3" t="s">
        <v>566</v>
      </c>
      <c r="I1081" s="4">
        <v>3.0</v>
      </c>
      <c r="J1081" s="4">
        <v>3.0</v>
      </c>
      <c r="K1081" s="5"/>
      <c r="L1081" s="3" t="s">
        <v>3121</v>
      </c>
      <c r="M1081" s="3" t="s">
        <v>3122</v>
      </c>
      <c r="N1081" s="3" t="s">
        <v>22</v>
      </c>
      <c r="O1081" s="5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15" t="s">
        <v>14</v>
      </c>
      <c r="B1082" s="15" t="s">
        <v>3124</v>
      </c>
      <c r="C1082" s="36" t="s">
        <v>3593</v>
      </c>
      <c r="D1082" s="15" t="s">
        <v>3125</v>
      </c>
      <c r="E1082" s="15" t="s">
        <v>3126</v>
      </c>
      <c r="F1082" s="15" t="s">
        <v>3127</v>
      </c>
      <c r="G1082" s="15" t="s">
        <v>128</v>
      </c>
      <c r="H1082" s="15" t="s">
        <v>36</v>
      </c>
      <c r="I1082" s="18">
        <v>1.0</v>
      </c>
      <c r="J1082" s="18" t="s">
        <v>36</v>
      </c>
      <c r="K1082" s="20"/>
      <c r="L1082" s="15" t="s">
        <v>3128</v>
      </c>
      <c r="M1082" s="15" t="s">
        <v>3129</v>
      </c>
      <c r="N1082" s="15" t="s">
        <v>22</v>
      </c>
      <c r="O1082" s="20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</row>
    <row r="1083">
      <c r="A1083" s="15" t="s">
        <v>14</v>
      </c>
      <c r="B1083" s="15" t="s">
        <v>3124</v>
      </c>
      <c r="C1083" s="36" t="s">
        <v>3593</v>
      </c>
      <c r="D1083" s="15" t="s">
        <v>3125</v>
      </c>
      <c r="E1083" s="15" t="s">
        <v>3126</v>
      </c>
      <c r="F1083" s="15" t="s">
        <v>3127</v>
      </c>
      <c r="G1083" s="15" t="s">
        <v>54</v>
      </c>
      <c r="H1083" s="15" t="s">
        <v>54</v>
      </c>
      <c r="I1083" s="18">
        <v>2.0</v>
      </c>
      <c r="J1083" s="18">
        <v>1.0</v>
      </c>
      <c r="K1083" s="20"/>
      <c r="L1083" s="15" t="s">
        <v>3128</v>
      </c>
      <c r="M1083" s="15" t="s">
        <v>3129</v>
      </c>
      <c r="N1083" s="15" t="s">
        <v>22</v>
      </c>
      <c r="O1083" s="20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</row>
    <row r="1084">
      <c r="A1084" s="15" t="s">
        <v>14</v>
      </c>
      <c r="B1084" s="15" t="s">
        <v>3124</v>
      </c>
      <c r="C1084" s="36" t="s">
        <v>3593</v>
      </c>
      <c r="D1084" s="15" t="s">
        <v>3125</v>
      </c>
      <c r="E1084" s="15" t="s">
        <v>3126</v>
      </c>
      <c r="F1084" s="15" t="s">
        <v>3127</v>
      </c>
      <c r="G1084" s="15" t="s">
        <v>784</v>
      </c>
      <c r="H1084" s="15" t="s">
        <v>2207</v>
      </c>
      <c r="I1084" s="18">
        <v>3.0</v>
      </c>
      <c r="J1084" s="18">
        <v>2.0</v>
      </c>
      <c r="K1084" s="20"/>
      <c r="L1084" s="15" t="s">
        <v>3128</v>
      </c>
      <c r="M1084" s="15" t="s">
        <v>3129</v>
      </c>
      <c r="N1084" s="15" t="s">
        <v>22</v>
      </c>
      <c r="O1084" s="20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</row>
    <row r="1085">
      <c r="A1085" s="3" t="s">
        <v>14</v>
      </c>
      <c r="B1085" s="3" t="s">
        <v>2500</v>
      </c>
      <c r="C1085" s="33" t="s">
        <v>3610</v>
      </c>
      <c r="D1085" s="3" t="s">
        <v>3130</v>
      </c>
      <c r="E1085" s="3" t="s">
        <v>2500</v>
      </c>
      <c r="F1085" s="3" t="s">
        <v>3131</v>
      </c>
      <c r="G1085" s="3" t="s">
        <v>2500</v>
      </c>
      <c r="H1085" s="3" t="s">
        <v>2500</v>
      </c>
      <c r="I1085" s="4">
        <v>1.0</v>
      </c>
      <c r="J1085" s="4">
        <v>1.0</v>
      </c>
      <c r="K1085" s="3" t="s">
        <v>80</v>
      </c>
      <c r="L1085" s="3" t="s">
        <v>3132</v>
      </c>
      <c r="M1085" s="3" t="s">
        <v>3133</v>
      </c>
      <c r="N1085" s="3" t="s">
        <v>22</v>
      </c>
      <c r="O1085" s="5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3" t="s">
        <v>14</v>
      </c>
      <c r="B1086" s="3" t="s">
        <v>2500</v>
      </c>
      <c r="C1086" s="33" t="s">
        <v>3610</v>
      </c>
      <c r="D1086" s="3" t="s">
        <v>3130</v>
      </c>
      <c r="E1086" s="3" t="s">
        <v>2500</v>
      </c>
      <c r="F1086" s="3" t="s">
        <v>3131</v>
      </c>
      <c r="G1086" s="3" t="s">
        <v>36</v>
      </c>
      <c r="H1086" s="3" t="s">
        <v>103</v>
      </c>
      <c r="I1086" s="4" t="s">
        <v>36</v>
      </c>
      <c r="J1086" s="4">
        <v>2.0</v>
      </c>
      <c r="K1086" s="3"/>
      <c r="L1086" s="3" t="s">
        <v>3132</v>
      </c>
      <c r="M1086" s="3" t="s">
        <v>3133</v>
      </c>
      <c r="N1086" s="3" t="s">
        <v>22</v>
      </c>
      <c r="O1086" s="5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3" t="s">
        <v>14</v>
      </c>
      <c r="B1087" s="3" t="s">
        <v>1608</v>
      </c>
      <c r="C1087" s="33" t="s">
        <v>3610</v>
      </c>
      <c r="D1087" s="3" t="s">
        <v>1608</v>
      </c>
      <c r="E1087" s="3" t="s">
        <v>1608</v>
      </c>
      <c r="F1087" s="3" t="s">
        <v>1608</v>
      </c>
      <c r="G1087" s="8" t="s">
        <v>1425</v>
      </c>
      <c r="H1087" s="8" t="s">
        <v>1425</v>
      </c>
      <c r="I1087" s="4">
        <v>1.0</v>
      </c>
      <c r="J1087" s="4">
        <v>1.0</v>
      </c>
      <c r="K1087" s="5"/>
      <c r="L1087" s="3" t="s">
        <v>3134</v>
      </c>
      <c r="M1087" s="3" t="s">
        <v>3135</v>
      </c>
      <c r="N1087" s="3" t="s">
        <v>22</v>
      </c>
      <c r="O1087" s="5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3" t="s">
        <v>14</v>
      </c>
      <c r="B1088" s="3" t="s">
        <v>3136</v>
      </c>
      <c r="C1088" s="33" t="s">
        <v>3600</v>
      </c>
      <c r="D1088" s="3" t="s">
        <v>3137</v>
      </c>
      <c r="E1088" s="3" t="s">
        <v>3138</v>
      </c>
      <c r="F1088" s="3" t="s">
        <v>3138</v>
      </c>
      <c r="G1088" s="3" t="s">
        <v>2569</v>
      </c>
      <c r="H1088" s="3" t="s">
        <v>2569</v>
      </c>
      <c r="I1088" s="4">
        <v>1.0</v>
      </c>
      <c r="J1088" s="4">
        <v>1.0</v>
      </c>
      <c r="K1088" s="5"/>
      <c r="L1088" s="3" t="s">
        <v>3139</v>
      </c>
      <c r="M1088" s="3" t="s">
        <v>3140</v>
      </c>
      <c r="N1088" s="3" t="s">
        <v>22</v>
      </c>
      <c r="O1088" s="5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3" t="s">
        <v>14</v>
      </c>
      <c r="B1089" s="3" t="s">
        <v>3136</v>
      </c>
      <c r="C1089" s="33" t="s">
        <v>3600</v>
      </c>
      <c r="D1089" s="3" t="s">
        <v>3137</v>
      </c>
      <c r="E1089" s="3" t="s">
        <v>3138</v>
      </c>
      <c r="F1089" s="3" t="s">
        <v>3138</v>
      </c>
      <c r="G1089" s="3" t="s">
        <v>213</v>
      </c>
      <c r="H1089" s="3" t="s">
        <v>213</v>
      </c>
      <c r="I1089" s="4">
        <v>2.0</v>
      </c>
      <c r="J1089" s="4">
        <v>2.0</v>
      </c>
      <c r="K1089" s="5"/>
      <c r="L1089" s="3" t="s">
        <v>3139</v>
      </c>
      <c r="M1089" s="3" t="s">
        <v>3140</v>
      </c>
      <c r="N1089" s="3" t="s">
        <v>22</v>
      </c>
      <c r="O1089" s="5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3" t="s">
        <v>14</v>
      </c>
      <c r="B1090" s="3" t="s">
        <v>3141</v>
      </c>
      <c r="C1090" s="33" t="s">
        <v>3600</v>
      </c>
      <c r="D1090" s="3" t="s">
        <v>3142</v>
      </c>
      <c r="E1090" s="3" t="s">
        <v>3143</v>
      </c>
      <c r="F1090" s="3" t="s">
        <v>3144</v>
      </c>
      <c r="G1090" s="3" t="s">
        <v>469</v>
      </c>
      <c r="H1090" s="3" t="s">
        <v>2693</v>
      </c>
      <c r="I1090" s="4">
        <v>1.0</v>
      </c>
      <c r="J1090" s="4">
        <v>1.0</v>
      </c>
      <c r="K1090" s="5"/>
      <c r="L1090" s="3" t="s">
        <v>3145</v>
      </c>
      <c r="M1090" s="3" t="s">
        <v>3146</v>
      </c>
      <c r="N1090" s="3" t="s">
        <v>22</v>
      </c>
      <c r="O1090" s="5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3" t="s">
        <v>14</v>
      </c>
      <c r="B1091" s="3" t="s">
        <v>3141</v>
      </c>
      <c r="C1091" s="33" t="s">
        <v>3600</v>
      </c>
      <c r="D1091" s="3" t="s">
        <v>3142</v>
      </c>
      <c r="E1091" s="3" t="s">
        <v>3143</v>
      </c>
      <c r="F1091" s="3" t="s">
        <v>3144</v>
      </c>
      <c r="G1091" s="3" t="s">
        <v>784</v>
      </c>
      <c r="H1091" s="3" t="s">
        <v>784</v>
      </c>
      <c r="I1091" s="4">
        <v>2.0</v>
      </c>
      <c r="J1091" s="4">
        <v>2.0</v>
      </c>
      <c r="K1091" s="5"/>
      <c r="L1091" s="3" t="s">
        <v>3145</v>
      </c>
      <c r="M1091" s="3" t="s">
        <v>3146</v>
      </c>
      <c r="N1091" s="3" t="s">
        <v>22</v>
      </c>
      <c r="O1091" s="5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3" t="s">
        <v>14</v>
      </c>
      <c r="B1092" s="3" t="s">
        <v>3147</v>
      </c>
      <c r="C1092" s="36" t="s">
        <v>3597</v>
      </c>
      <c r="D1092" s="3" t="s">
        <v>3148</v>
      </c>
      <c r="E1092" s="3" t="s">
        <v>3149</v>
      </c>
      <c r="F1092" s="3" t="s">
        <v>3150</v>
      </c>
      <c r="G1092" s="3" t="s">
        <v>848</v>
      </c>
      <c r="H1092" s="3" t="s">
        <v>301</v>
      </c>
      <c r="I1092" s="4">
        <v>1.0</v>
      </c>
      <c r="J1092" s="4">
        <v>1.0</v>
      </c>
      <c r="K1092" s="5"/>
      <c r="L1092" s="3" t="s">
        <v>3151</v>
      </c>
      <c r="M1092" s="3" t="s">
        <v>3152</v>
      </c>
      <c r="N1092" s="3" t="s">
        <v>22</v>
      </c>
      <c r="O1092" s="5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3" t="s">
        <v>14</v>
      </c>
      <c r="B1093" s="3" t="s">
        <v>3147</v>
      </c>
      <c r="C1093" s="36" t="s">
        <v>3597</v>
      </c>
      <c r="D1093" s="3" t="s">
        <v>3148</v>
      </c>
      <c r="E1093" s="3" t="s">
        <v>3149</v>
      </c>
      <c r="F1093" s="3" t="s">
        <v>3150</v>
      </c>
      <c r="G1093" s="3" t="s">
        <v>3153</v>
      </c>
      <c r="H1093" s="3" t="s">
        <v>3154</v>
      </c>
      <c r="I1093" s="4">
        <v>2.0</v>
      </c>
      <c r="J1093" s="4">
        <v>2.0</v>
      </c>
      <c r="K1093" s="5"/>
      <c r="L1093" s="3" t="s">
        <v>3151</v>
      </c>
      <c r="M1093" s="3" t="s">
        <v>3152</v>
      </c>
      <c r="N1093" s="3" t="s">
        <v>22</v>
      </c>
      <c r="O1093" s="5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3" t="s">
        <v>14</v>
      </c>
      <c r="B1094" s="3" t="s">
        <v>3147</v>
      </c>
      <c r="C1094" s="36" t="s">
        <v>3597</v>
      </c>
      <c r="D1094" s="3" t="s">
        <v>3148</v>
      </c>
      <c r="E1094" s="3" t="s">
        <v>3149</v>
      </c>
      <c r="F1094" s="3" t="s">
        <v>3150</v>
      </c>
      <c r="G1094" s="3" t="s">
        <v>112</v>
      </c>
      <c r="H1094" s="3" t="s">
        <v>387</v>
      </c>
      <c r="I1094" s="4">
        <v>3.0</v>
      </c>
      <c r="J1094" s="4">
        <v>3.0</v>
      </c>
      <c r="K1094" s="5"/>
      <c r="L1094" s="3" t="s">
        <v>3151</v>
      </c>
      <c r="M1094" s="3" t="s">
        <v>3152</v>
      </c>
      <c r="N1094" s="3" t="s">
        <v>22</v>
      </c>
      <c r="O1094" s="5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15" t="s">
        <v>14</v>
      </c>
      <c r="B1095" s="15" t="s">
        <v>3155</v>
      </c>
      <c r="C1095" s="36" t="s">
        <v>3605</v>
      </c>
      <c r="D1095" s="15" t="s">
        <v>3156</v>
      </c>
      <c r="E1095" s="15" t="s">
        <v>3157</v>
      </c>
      <c r="F1095" s="15" t="s">
        <v>3158</v>
      </c>
      <c r="G1095" s="15" t="s">
        <v>1016</v>
      </c>
      <c r="H1095" s="15" t="s">
        <v>1017</v>
      </c>
      <c r="I1095" s="18">
        <v>1.0</v>
      </c>
      <c r="J1095" s="18">
        <v>1.0</v>
      </c>
      <c r="K1095" s="15" t="s">
        <v>80</v>
      </c>
      <c r="L1095" s="15" t="s">
        <v>3159</v>
      </c>
      <c r="M1095" s="15" t="s">
        <v>3160</v>
      </c>
      <c r="N1095" s="15" t="s">
        <v>22</v>
      </c>
      <c r="O1095" s="20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</row>
    <row r="1096">
      <c r="A1096" s="15" t="s">
        <v>14</v>
      </c>
      <c r="B1096" s="15" t="s">
        <v>3155</v>
      </c>
      <c r="C1096" s="36" t="s">
        <v>3605</v>
      </c>
      <c r="D1096" s="15" t="s">
        <v>3156</v>
      </c>
      <c r="E1096" s="15" t="s">
        <v>3157</v>
      </c>
      <c r="F1096" s="15" t="s">
        <v>3158</v>
      </c>
      <c r="G1096" s="15" t="s">
        <v>409</v>
      </c>
      <c r="H1096" s="15" t="s">
        <v>3161</v>
      </c>
      <c r="I1096" s="18">
        <v>2.0</v>
      </c>
      <c r="J1096" s="18">
        <v>2.0</v>
      </c>
      <c r="K1096" s="15"/>
      <c r="L1096" s="15" t="s">
        <v>3159</v>
      </c>
      <c r="M1096" s="15" t="s">
        <v>3160</v>
      </c>
      <c r="N1096" s="15" t="s">
        <v>22</v>
      </c>
      <c r="O1096" s="20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</row>
    <row r="1097">
      <c r="A1097" s="15" t="s">
        <v>14</v>
      </c>
      <c r="B1097" s="15" t="s">
        <v>3155</v>
      </c>
      <c r="C1097" s="36" t="s">
        <v>3605</v>
      </c>
      <c r="D1097" s="15" t="s">
        <v>3156</v>
      </c>
      <c r="E1097" s="15" t="s">
        <v>3157</v>
      </c>
      <c r="F1097" s="15" t="s">
        <v>3158</v>
      </c>
      <c r="G1097" s="15" t="s">
        <v>36</v>
      </c>
      <c r="H1097" s="15" t="s">
        <v>103</v>
      </c>
      <c r="I1097" s="18" t="s">
        <v>36</v>
      </c>
      <c r="J1097" s="18">
        <v>3.0</v>
      </c>
      <c r="K1097" s="20"/>
      <c r="L1097" s="15" t="s">
        <v>3159</v>
      </c>
      <c r="M1097" s="15" t="s">
        <v>3160</v>
      </c>
      <c r="N1097" s="15" t="s">
        <v>22</v>
      </c>
      <c r="O1097" s="20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</row>
    <row r="1098">
      <c r="A1098" s="3" t="s">
        <v>14</v>
      </c>
      <c r="B1098" s="3" t="s">
        <v>3162</v>
      </c>
      <c r="C1098" s="36" t="s">
        <v>3593</v>
      </c>
      <c r="D1098" s="3" t="s">
        <v>3163</v>
      </c>
      <c r="E1098" s="3" t="s">
        <v>3164</v>
      </c>
      <c r="F1098" s="3" t="s">
        <v>3165</v>
      </c>
      <c r="G1098" s="3" t="s">
        <v>128</v>
      </c>
      <c r="H1098" s="3" t="s">
        <v>70</v>
      </c>
      <c r="I1098" s="4">
        <v>1.0</v>
      </c>
      <c r="J1098" s="4">
        <v>1.0</v>
      </c>
      <c r="K1098" s="5"/>
      <c r="L1098" s="3" t="s">
        <v>3166</v>
      </c>
      <c r="M1098" s="3" t="s">
        <v>3167</v>
      </c>
      <c r="N1098" s="3" t="s">
        <v>22</v>
      </c>
      <c r="O1098" s="5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3" t="s">
        <v>14</v>
      </c>
      <c r="B1099" s="3" t="s">
        <v>3162</v>
      </c>
      <c r="C1099" s="36" t="s">
        <v>3593</v>
      </c>
      <c r="D1099" s="3" t="s">
        <v>3163</v>
      </c>
      <c r="E1099" s="3" t="s">
        <v>3164</v>
      </c>
      <c r="F1099" s="3" t="s">
        <v>3165</v>
      </c>
      <c r="G1099" s="3" t="s">
        <v>70</v>
      </c>
      <c r="H1099" s="3" t="s">
        <v>36</v>
      </c>
      <c r="I1099" s="4">
        <v>2.0</v>
      </c>
      <c r="J1099" s="4" t="s">
        <v>36</v>
      </c>
      <c r="K1099" s="5"/>
      <c r="L1099" s="3" t="s">
        <v>3166</v>
      </c>
      <c r="M1099" s="3" t="s">
        <v>3167</v>
      </c>
      <c r="N1099" s="3" t="s">
        <v>22</v>
      </c>
      <c r="O1099" s="5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3" t="s">
        <v>14</v>
      </c>
      <c r="B1100" s="3" t="s">
        <v>3162</v>
      </c>
      <c r="C1100" s="36" t="s">
        <v>3593</v>
      </c>
      <c r="D1100" s="3" t="s">
        <v>3163</v>
      </c>
      <c r="E1100" s="3" t="s">
        <v>3164</v>
      </c>
      <c r="F1100" s="3" t="s">
        <v>3165</v>
      </c>
      <c r="G1100" s="3" t="s">
        <v>425</v>
      </c>
      <c r="H1100" s="3" t="s">
        <v>425</v>
      </c>
      <c r="I1100" s="4">
        <v>3.0</v>
      </c>
      <c r="J1100" s="4">
        <v>2.0</v>
      </c>
      <c r="K1100" s="5"/>
      <c r="L1100" s="3" t="s">
        <v>3166</v>
      </c>
      <c r="M1100" s="3" t="s">
        <v>3167</v>
      </c>
      <c r="N1100" s="3" t="s">
        <v>22</v>
      </c>
      <c r="O1100" s="5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3" t="s">
        <v>14</v>
      </c>
      <c r="B1101" s="3" t="s">
        <v>3168</v>
      </c>
      <c r="C1101" s="33" t="s">
        <v>3600</v>
      </c>
      <c r="D1101" s="3" t="s">
        <v>3168</v>
      </c>
      <c r="E1101" s="3" t="s">
        <v>3169</v>
      </c>
      <c r="F1101" s="3" t="s">
        <v>3169</v>
      </c>
      <c r="G1101" s="3" t="s">
        <v>1248</v>
      </c>
      <c r="H1101" s="3" t="s">
        <v>1248</v>
      </c>
      <c r="I1101" s="4">
        <v>1.0</v>
      </c>
      <c r="J1101" s="4">
        <v>1.0</v>
      </c>
      <c r="K1101" s="5"/>
      <c r="L1101" s="3" t="s">
        <v>3170</v>
      </c>
      <c r="M1101" s="3" t="s">
        <v>3171</v>
      </c>
      <c r="N1101" s="3" t="s">
        <v>22</v>
      </c>
      <c r="O1101" s="5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3" t="s">
        <v>14</v>
      </c>
      <c r="B1102" s="3" t="s">
        <v>3168</v>
      </c>
      <c r="C1102" s="33" t="s">
        <v>3600</v>
      </c>
      <c r="D1102" s="3" t="s">
        <v>3168</v>
      </c>
      <c r="E1102" s="3" t="s">
        <v>3169</v>
      </c>
      <c r="F1102" s="3" t="s">
        <v>3169</v>
      </c>
      <c r="G1102" s="3" t="s">
        <v>668</v>
      </c>
      <c r="H1102" s="3" t="s">
        <v>668</v>
      </c>
      <c r="I1102" s="4">
        <v>2.0</v>
      </c>
      <c r="J1102" s="4">
        <v>2.0</v>
      </c>
      <c r="K1102" s="5"/>
      <c r="L1102" s="3" t="s">
        <v>3170</v>
      </c>
      <c r="M1102" s="3" t="s">
        <v>3171</v>
      </c>
      <c r="N1102" s="3" t="s">
        <v>22</v>
      </c>
      <c r="O1102" s="5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15" t="s">
        <v>14</v>
      </c>
      <c r="B1103" s="15" t="s">
        <v>3172</v>
      </c>
      <c r="C1103" s="36" t="s">
        <v>3605</v>
      </c>
      <c r="D1103" s="15" t="s">
        <v>3173</v>
      </c>
      <c r="E1103" s="15" t="s">
        <v>3174</v>
      </c>
      <c r="F1103" s="15" t="s">
        <v>3175</v>
      </c>
      <c r="G1103" s="15" t="s">
        <v>599</v>
      </c>
      <c r="H1103" s="15" t="s">
        <v>724</v>
      </c>
      <c r="I1103" s="18">
        <v>1.0</v>
      </c>
      <c r="J1103" s="18">
        <v>1.0</v>
      </c>
      <c r="K1103" s="15" t="s">
        <v>80</v>
      </c>
      <c r="L1103" s="15" t="s">
        <v>3176</v>
      </c>
      <c r="M1103" s="15" t="s">
        <v>3177</v>
      </c>
      <c r="N1103" s="15" t="s">
        <v>22</v>
      </c>
      <c r="O1103" s="20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</row>
    <row r="1104">
      <c r="A1104" s="15" t="s">
        <v>14</v>
      </c>
      <c r="B1104" s="15" t="s">
        <v>3172</v>
      </c>
      <c r="C1104" s="36" t="s">
        <v>3605</v>
      </c>
      <c r="D1104" s="15" t="s">
        <v>3173</v>
      </c>
      <c r="E1104" s="15" t="s">
        <v>3174</v>
      </c>
      <c r="F1104" s="15" t="s">
        <v>3175</v>
      </c>
      <c r="G1104" s="15" t="s">
        <v>1777</v>
      </c>
      <c r="H1104" s="15" t="s">
        <v>251</v>
      </c>
      <c r="I1104" s="18">
        <v>2.0</v>
      </c>
      <c r="J1104" s="18">
        <v>2.0</v>
      </c>
      <c r="K1104" s="15"/>
      <c r="L1104" s="15" t="s">
        <v>3176</v>
      </c>
      <c r="M1104" s="15" t="s">
        <v>3177</v>
      </c>
      <c r="N1104" s="15" t="s">
        <v>22</v>
      </c>
      <c r="O1104" s="20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</row>
    <row r="1105">
      <c r="A1105" s="15" t="s">
        <v>14</v>
      </c>
      <c r="B1105" s="15" t="s">
        <v>3172</v>
      </c>
      <c r="C1105" s="36" t="s">
        <v>3605</v>
      </c>
      <c r="D1105" s="15" t="s">
        <v>3173</v>
      </c>
      <c r="E1105" s="15" t="s">
        <v>3174</v>
      </c>
      <c r="F1105" s="15" t="s">
        <v>3175</v>
      </c>
      <c r="G1105" s="15" t="s">
        <v>36</v>
      </c>
      <c r="H1105" s="15" t="s">
        <v>103</v>
      </c>
      <c r="I1105" s="18" t="s">
        <v>36</v>
      </c>
      <c r="J1105" s="18">
        <v>3.0</v>
      </c>
      <c r="K1105" s="20"/>
      <c r="L1105" s="15" t="s">
        <v>3176</v>
      </c>
      <c r="M1105" s="15" t="s">
        <v>3177</v>
      </c>
      <c r="N1105" s="15" t="s">
        <v>22</v>
      </c>
      <c r="O1105" s="20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</row>
    <row r="1106">
      <c r="A1106" s="3" t="s">
        <v>14</v>
      </c>
      <c r="B1106" s="3" t="s">
        <v>3178</v>
      </c>
      <c r="C1106" s="36" t="s">
        <v>3595</v>
      </c>
      <c r="D1106" s="3" t="s">
        <v>3179</v>
      </c>
      <c r="E1106" s="3" t="s">
        <v>3180</v>
      </c>
      <c r="F1106" s="3" t="s">
        <v>3181</v>
      </c>
      <c r="G1106" s="3" t="s">
        <v>143</v>
      </c>
      <c r="H1106" s="3" t="s">
        <v>143</v>
      </c>
      <c r="I1106" s="4">
        <v>1.0</v>
      </c>
      <c r="J1106" s="4">
        <v>1.0</v>
      </c>
      <c r="K1106" s="3" t="s">
        <v>72</v>
      </c>
      <c r="L1106" s="3" t="s">
        <v>3182</v>
      </c>
      <c r="M1106" s="3" t="s">
        <v>3183</v>
      </c>
      <c r="N1106" s="3" t="s">
        <v>22</v>
      </c>
      <c r="O1106" s="5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3" t="s">
        <v>14</v>
      </c>
      <c r="B1107" s="3" t="s">
        <v>3178</v>
      </c>
      <c r="C1107" s="36" t="s">
        <v>3595</v>
      </c>
      <c r="D1107" s="3" t="s">
        <v>3179</v>
      </c>
      <c r="E1107" s="3" t="s">
        <v>3180</v>
      </c>
      <c r="F1107" s="3" t="s">
        <v>3181</v>
      </c>
      <c r="G1107" s="3" t="s">
        <v>2003</v>
      </c>
      <c r="H1107" s="3" t="s">
        <v>2004</v>
      </c>
      <c r="I1107" s="4">
        <v>2.0</v>
      </c>
      <c r="J1107" s="4">
        <v>2.0</v>
      </c>
      <c r="K1107" s="3"/>
      <c r="L1107" s="3" t="s">
        <v>3182</v>
      </c>
      <c r="M1107" s="3" t="s">
        <v>3183</v>
      </c>
      <c r="N1107" s="3" t="s">
        <v>22</v>
      </c>
      <c r="O1107" s="5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15" t="s">
        <v>14</v>
      </c>
      <c r="B1108" s="15" t="s">
        <v>3184</v>
      </c>
      <c r="C1108" s="36" t="s">
        <v>3593</v>
      </c>
      <c r="D1108" s="15" t="s">
        <v>3185</v>
      </c>
      <c r="E1108" s="15" t="s">
        <v>3186</v>
      </c>
      <c r="F1108" s="15" t="s">
        <v>3187</v>
      </c>
      <c r="G1108" s="15" t="s">
        <v>128</v>
      </c>
      <c r="H1108" s="15" t="s">
        <v>36</v>
      </c>
      <c r="I1108" s="18">
        <v>1.0</v>
      </c>
      <c r="J1108" s="18" t="s">
        <v>36</v>
      </c>
      <c r="K1108" s="20"/>
      <c r="L1108" s="15" t="s">
        <v>3188</v>
      </c>
      <c r="M1108" s="15" t="s">
        <v>3189</v>
      </c>
      <c r="N1108" s="15" t="s">
        <v>22</v>
      </c>
      <c r="O1108" s="20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</row>
    <row r="1109">
      <c r="A1109" s="15" t="s">
        <v>14</v>
      </c>
      <c r="B1109" s="15" t="s">
        <v>3184</v>
      </c>
      <c r="C1109" s="36" t="s">
        <v>3593</v>
      </c>
      <c r="D1109" s="15" t="s">
        <v>3185</v>
      </c>
      <c r="E1109" s="15" t="s">
        <v>3186</v>
      </c>
      <c r="F1109" s="15" t="s">
        <v>3187</v>
      </c>
      <c r="G1109" s="15" t="s">
        <v>3190</v>
      </c>
      <c r="H1109" s="15" t="s">
        <v>3190</v>
      </c>
      <c r="I1109" s="18">
        <v>2.0</v>
      </c>
      <c r="J1109" s="18">
        <v>1.0</v>
      </c>
      <c r="K1109" s="20"/>
      <c r="L1109" s="15" t="s">
        <v>3188</v>
      </c>
      <c r="M1109" s="15" t="s">
        <v>3189</v>
      </c>
      <c r="N1109" s="15" t="s">
        <v>22</v>
      </c>
      <c r="O1109" s="20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</row>
    <row r="1110">
      <c r="A1110" s="15" t="s">
        <v>14</v>
      </c>
      <c r="B1110" s="15" t="s">
        <v>3184</v>
      </c>
      <c r="C1110" s="36" t="s">
        <v>3593</v>
      </c>
      <c r="D1110" s="15" t="s">
        <v>3185</v>
      </c>
      <c r="E1110" s="15" t="s">
        <v>3186</v>
      </c>
      <c r="F1110" s="15" t="s">
        <v>3187</v>
      </c>
      <c r="G1110" s="15" t="s">
        <v>175</v>
      </c>
      <c r="H1110" s="15" t="s">
        <v>175</v>
      </c>
      <c r="I1110" s="18">
        <v>3.0</v>
      </c>
      <c r="J1110" s="18">
        <v>2.0</v>
      </c>
      <c r="K1110" s="20"/>
      <c r="L1110" s="15" t="s">
        <v>3188</v>
      </c>
      <c r="M1110" s="15" t="s">
        <v>3189</v>
      </c>
      <c r="N1110" s="15" t="s">
        <v>22</v>
      </c>
      <c r="O1110" s="20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</row>
    <row r="1111">
      <c r="A1111" s="26" t="s">
        <v>14</v>
      </c>
      <c r="B1111" s="26" t="s">
        <v>3191</v>
      </c>
      <c r="C1111" s="36" t="s">
        <v>3597</v>
      </c>
      <c r="D1111" s="26" t="s">
        <v>3192</v>
      </c>
      <c r="E1111" s="26" t="s">
        <v>3193</v>
      </c>
      <c r="F1111" s="26" t="s">
        <v>3194</v>
      </c>
      <c r="G1111" s="26" t="s">
        <v>36</v>
      </c>
      <c r="H1111" s="26" t="s">
        <v>3059</v>
      </c>
      <c r="I1111" s="27" t="s">
        <v>36</v>
      </c>
      <c r="J1111" s="27">
        <v>1.0</v>
      </c>
      <c r="K1111" s="26" t="s">
        <v>80</v>
      </c>
      <c r="L1111" s="26" t="s">
        <v>3195</v>
      </c>
      <c r="M1111" s="26" t="s">
        <v>1579</v>
      </c>
      <c r="N1111" s="26" t="s">
        <v>22</v>
      </c>
      <c r="O1111" s="28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</row>
    <row r="1112">
      <c r="A1112" s="26" t="s">
        <v>14</v>
      </c>
      <c r="B1112" s="26" t="s">
        <v>3191</v>
      </c>
      <c r="C1112" s="36" t="s">
        <v>3597</v>
      </c>
      <c r="D1112" s="26" t="s">
        <v>3192</v>
      </c>
      <c r="E1112" s="26" t="s">
        <v>3193</v>
      </c>
      <c r="F1112" s="26" t="s">
        <v>3194</v>
      </c>
      <c r="G1112" s="26" t="s">
        <v>1186</v>
      </c>
      <c r="H1112" s="26" t="s">
        <v>1186</v>
      </c>
      <c r="I1112" s="27">
        <v>1.0</v>
      </c>
      <c r="J1112" s="27">
        <v>2.0</v>
      </c>
      <c r="K1112" s="28"/>
      <c r="L1112" s="26" t="s">
        <v>3195</v>
      </c>
      <c r="M1112" s="26" t="s">
        <v>1579</v>
      </c>
      <c r="N1112" s="26" t="s">
        <v>22</v>
      </c>
      <c r="O1112" s="28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</row>
    <row r="1113">
      <c r="A1113" s="26" t="s">
        <v>14</v>
      </c>
      <c r="B1113" s="26" t="s">
        <v>3191</v>
      </c>
      <c r="C1113" s="36" t="s">
        <v>3597</v>
      </c>
      <c r="D1113" s="26" t="s">
        <v>3192</v>
      </c>
      <c r="E1113" s="26" t="s">
        <v>3193</v>
      </c>
      <c r="F1113" s="26" t="s">
        <v>3194</v>
      </c>
      <c r="G1113" s="26" t="s">
        <v>3196</v>
      </c>
      <c r="H1113" s="26" t="s">
        <v>3196</v>
      </c>
      <c r="I1113" s="27">
        <v>2.0</v>
      </c>
      <c r="J1113" s="27">
        <v>3.0</v>
      </c>
      <c r="K1113" s="26"/>
      <c r="L1113" s="26" t="s">
        <v>3195</v>
      </c>
      <c r="M1113" s="26" t="s">
        <v>1579</v>
      </c>
      <c r="N1113" s="26" t="s">
        <v>22</v>
      </c>
      <c r="O1113" s="28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</row>
    <row r="1114">
      <c r="A1114" s="26" t="s">
        <v>14</v>
      </c>
      <c r="B1114" s="26" t="s">
        <v>3191</v>
      </c>
      <c r="C1114" s="36" t="s">
        <v>3597</v>
      </c>
      <c r="D1114" s="26" t="s">
        <v>3192</v>
      </c>
      <c r="E1114" s="26" t="s">
        <v>3193</v>
      </c>
      <c r="F1114" s="26" t="s">
        <v>3194</v>
      </c>
      <c r="G1114" s="26" t="s">
        <v>152</v>
      </c>
      <c r="H1114" s="26" t="s">
        <v>56</v>
      </c>
      <c r="I1114" s="27">
        <v>3.0</v>
      </c>
      <c r="J1114" s="27">
        <v>4.0</v>
      </c>
      <c r="K1114" s="28"/>
      <c r="L1114" s="26" t="s">
        <v>3195</v>
      </c>
      <c r="M1114" s="26" t="s">
        <v>1579</v>
      </c>
      <c r="N1114" s="26" t="s">
        <v>22</v>
      </c>
      <c r="O1114" s="28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</row>
    <row r="1115">
      <c r="A1115" s="3" t="s">
        <v>14</v>
      </c>
      <c r="B1115" s="3" t="s">
        <v>3197</v>
      </c>
      <c r="C1115" s="36" t="s">
        <v>3597</v>
      </c>
      <c r="D1115" s="3" t="s">
        <v>3198</v>
      </c>
      <c r="E1115" s="3" t="s">
        <v>3199</v>
      </c>
      <c r="F1115" s="3" t="s">
        <v>3200</v>
      </c>
      <c r="G1115" s="3" t="s">
        <v>386</v>
      </c>
      <c r="H1115" s="3" t="s">
        <v>190</v>
      </c>
      <c r="I1115" s="4">
        <v>1.0</v>
      </c>
      <c r="J1115" s="4">
        <v>1.0</v>
      </c>
      <c r="K1115" s="5"/>
      <c r="L1115" s="3" t="s">
        <v>3201</v>
      </c>
      <c r="M1115" s="3" t="s">
        <v>3202</v>
      </c>
      <c r="N1115" s="3" t="s">
        <v>22</v>
      </c>
      <c r="O1115" s="5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3" t="s">
        <v>14</v>
      </c>
      <c r="B1116" s="3" t="s">
        <v>3197</v>
      </c>
      <c r="C1116" s="36" t="s">
        <v>3597</v>
      </c>
      <c r="D1116" s="3" t="s">
        <v>3198</v>
      </c>
      <c r="E1116" s="3" t="s">
        <v>3199</v>
      </c>
      <c r="F1116" s="3" t="s">
        <v>3200</v>
      </c>
      <c r="G1116" s="3" t="s">
        <v>326</v>
      </c>
      <c r="H1116" s="3" t="s">
        <v>327</v>
      </c>
      <c r="I1116" s="4">
        <v>2.0</v>
      </c>
      <c r="J1116" s="4">
        <v>2.0</v>
      </c>
      <c r="K1116" s="5"/>
      <c r="L1116" s="3" t="s">
        <v>3201</v>
      </c>
      <c r="M1116" s="3" t="s">
        <v>3202</v>
      </c>
      <c r="N1116" s="3" t="s">
        <v>22</v>
      </c>
      <c r="O1116" s="5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3" t="s">
        <v>14</v>
      </c>
      <c r="B1117" s="3" t="s">
        <v>3197</v>
      </c>
      <c r="C1117" s="36" t="s">
        <v>3597</v>
      </c>
      <c r="D1117" s="3" t="s">
        <v>3198</v>
      </c>
      <c r="E1117" s="3" t="s">
        <v>3199</v>
      </c>
      <c r="F1117" s="3" t="s">
        <v>3200</v>
      </c>
      <c r="G1117" s="3" t="s">
        <v>79</v>
      </c>
      <c r="H1117" s="3" t="s">
        <v>79</v>
      </c>
      <c r="I1117" s="4">
        <v>3.0</v>
      </c>
      <c r="J1117" s="4">
        <v>3.0</v>
      </c>
      <c r="K1117" s="5"/>
      <c r="L1117" s="3" t="s">
        <v>3201</v>
      </c>
      <c r="M1117" s="3" t="s">
        <v>3202</v>
      </c>
      <c r="N1117" s="3" t="s">
        <v>22</v>
      </c>
      <c r="O1117" s="5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15" t="s">
        <v>14</v>
      </c>
      <c r="B1118" s="15" t="s">
        <v>3203</v>
      </c>
      <c r="C1118" s="36" t="s">
        <v>3593</v>
      </c>
      <c r="D1118" s="15" t="s">
        <v>3204</v>
      </c>
      <c r="E1118" s="15" t="s">
        <v>3205</v>
      </c>
      <c r="F1118" s="15" t="s">
        <v>3206</v>
      </c>
      <c r="G1118" s="15" t="s">
        <v>128</v>
      </c>
      <c r="H1118" s="15" t="s">
        <v>36</v>
      </c>
      <c r="I1118" s="18">
        <v>1.0</v>
      </c>
      <c r="J1118" s="18" t="s">
        <v>36</v>
      </c>
      <c r="K1118" s="20"/>
      <c r="L1118" s="15" t="s">
        <v>3207</v>
      </c>
      <c r="M1118" s="15" t="s">
        <v>3208</v>
      </c>
      <c r="N1118" s="15" t="s">
        <v>22</v>
      </c>
      <c r="O1118" s="20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</row>
    <row r="1119">
      <c r="A1119" s="15" t="s">
        <v>14</v>
      </c>
      <c r="B1119" s="15" t="s">
        <v>3203</v>
      </c>
      <c r="C1119" s="36" t="s">
        <v>3593</v>
      </c>
      <c r="D1119" s="15" t="s">
        <v>3204</v>
      </c>
      <c r="E1119" s="15" t="s">
        <v>3205</v>
      </c>
      <c r="F1119" s="15" t="s">
        <v>3206</v>
      </c>
      <c r="G1119" s="15" t="s">
        <v>629</v>
      </c>
      <c r="H1119" s="15" t="s">
        <v>630</v>
      </c>
      <c r="I1119" s="18">
        <v>2.0</v>
      </c>
      <c r="J1119" s="18">
        <v>1.0</v>
      </c>
      <c r="K1119" s="20"/>
      <c r="L1119" s="15" t="s">
        <v>3207</v>
      </c>
      <c r="M1119" s="15" t="s">
        <v>3208</v>
      </c>
      <c r="N1119" s="15" t="s">
        <v>22</v>
      </c>
      <c r="O1119" s="20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</row>
    <row r="1120">
      <c r="A1120" s="15" t="s">
        <v>14</v>
      </c>
      <c r="B1120" s="15" t="s">
        <v>3203</v>
      </c>
      <c r="C1120" s="36" t="s">
        <v>3593</v>
      </c>
      <c r="D1120" s="15" t="s">
        <v>3204</v>
      </c>
      <c r="E1120" s="15" t="s">
        <v>3205</v>
      </c>
      <c r="F1120" s="15" t="s">
        <v>3206</v>
      </c>
      <c r="G1120" s="15" t="s">
        <v>1210</v>
      </c>
      <c r="H1120" s="15" t="s">
        <v>1210</v>
      </c>
      <c r="I1120" s="18">
        <v>3.0</v>
      </c>
      <c r="J1120" s="18">
        <v>2.0</v>
      </c>
      <c r="K1120" s="20"/>
      <c r="L1120" s="15" t="s">
        <v>3207</v>
      </c>
      <c r="M1120" s="15" t="s">
        <v>3208</v>
      </c>
      <c r="N1120" s="15" t="s">
        <v>22</v>
      </c>
      <c r="O1120" s="20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</row>
    <row r="1121">
      <c r="A1121" s="3" t="s">
        <v>14</v>
      </c>
      <c r="B1121" s="3" t="s">
        <v>3209</v>
      </c>
      <c r="C1121" s="33" t="s">
        <v>3603</v>
      </c>
      <c r="D1121" s="3" t="s">
        <v>3210</v>
      </c>
      <c r="E1121" s="6" t="s">
        <v>3211</v>
      </c>
      <c r="F1121" s="3" t="s">
        <v>3212</v>
      </c>
      <c r="G1121" s="6" t="s">
        <v>3213</v>
      </c>
      <c r="H1121" s="3" t="s">
        <v>301</v>
      </c>
      <c r="I1121" s="4">
        <v>1.0</v>
      </c>
      <c r="J1121" s="4">
        <v>1.0</v>
      </c>
      <c r="K1121" s="3" t="s">
        <v>80</v>
      </c>
      <c r="L1121" s="3" t="s">
        <v>3214</v>
      </c>
      <c r="M1121" s="3" t="s">
        <v>3215</v>
      </c>
      <c r="N1121" s="3" t="s">
        <v>22</v>
      </c>
      <c r="O1121" s="5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3" t="s">
        <v>14</v>
      </c>
      <c r="B1122" s="3" t="s">
        <v>3209</v>
      </c>
      <c r="C1122" s="33" t="s">
        <v>3603</v>
      </c>
      <c r="D1122" s="3" t="s">
        <v>3210</v>
      </c>
      <c r="E1122" s="6" t="s">
        <v>3211</v>
      </c>
      <c r="F1122" s="3" t="s">
        <v>3212</v>
      </c>
      <c r="G1122" s="6" t="s">
        <v>36</v>
      </c>
      <c r="H1122" s="3" t="s">
        <v>1075</v>
      </c>
      <c r="I1122" s="4" t="s">
        <v>36</v>
      </c>
      <c r="J1122" s="4">
        <v>2.0</v>
      </c>
      <c r="K1122" s="3"/>
      <c r="L1122" s="3" t="s">
        <v>3214</v>
      </c>
      <c r="M1122" s="3" t="s">
        <v>3215</v>
      </c>
      <c r="N1122" s="3" t="s">
        <v>22</v>
      </c>
      <c r="O1122" s="5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3" t="s">
        <v>14</v>
      </c>
      <c r="B1123" s="3" t="s">
        <v>3209</v>
      </c>
      <c r="C1123" s="33" t="s">
        <v>3603</v>
      </c>
      <c r="D1123" s="3" t="s">
        <v>3210</v>
      </c>
      <c r="E1123" s="6" t="s">
        <v>3211</v>
      </c>
      <c r="F1123" s="3" t="s">
        <v>3212</v>
      </c>
      <c r="G1123" s="6" t="s">
        <v>175</v>
      </c>
      <c r="H1123" s="3" t="s">
        <v>175</v>
      </c>
      <c r="I1123" s="4">
        <v>2.0</v>
      </c>
      <c r="J1123" s="4">
        <v>3.0</v>
      </c>
      <c r="K1123" s="5"/>
      <c r="L1123" s="3" t="s">
        <v>3214</v>
      </c>
      <c r="M1123" s="3" t="s">
        <v>3215</v>
      </c>
      <c r="N1123" s="3" t="s">
        <v>22</v>
      </c>
      <c r="O1123" s="5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3" t="s">
        <v>14</v>
      </c>
      <c r="B1124" s="3" t="s">
        <v>3216</v>
      </c>
      <c r="C1124" s="33" t="s">
        <v>3600</v>
      </c>
      <c r="D1124" s="3" t="s">
        <v>3216</v>
      </c>
      <c r="E1124" s="3" t="s">
        <v>3217</v>
      </c>
      <c r="F1124" s="3" t="s">
        <v>3217</v>
      </c>
      <c r="G1124" s="3" t="s">
        <v>596</v>
      </c>
      <c r="H1124" s="3" t="s">
        <v>596</v>
      </c>
      <c r="I1124" s="4">
        <v>1.0</v>
      </c>
      <c r="J1124" s="4">
        <v>1.0</v>
      </c>
      <c r="K1124" s="5"/>
      <c r="L1124" s="3" t="s">
        <v>3218</v>
      </c>
      <c r="M1124" s="3" t="s">
        <v>3219</v>
      </c>
      <c r="N1124" s="3" t="s">
        <v>22</v>
      </c>
      <c r="O1124" s="5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3" t="s">
        <v>14</v>
      </c>
      <c r="B1125" s="3" t="s">
        <v>3216</v>
      </c>
      <c r="C1125" s="33" t="s">
        <v>3600</v>
      </c>
      <c r="D1125" s="3" t="s">
        <v>3216</v>
      </c>
      <c r="E1125" s="3" t="s">
        <v>3217</v>
      </c>
      <c r="F1125" s="3" t="s">
        <v>3217</v>
      </c>
      <c r="G1125" s="3" t="s">
        <v>437</v>
      </c>
      <c r="H1125" s="3" t="s">
        <v>437</v>
      </c>
      <c r="I1125" s="4">
        <v>2.0</v>
      </c>
      <c r="J1125" s="4">
        <v>2.0</v>
      </c>
      <c r="K1125" s="5"/>
      <c r="L1125" s="3" t="s">
        <v>3218</v>
      </c>
      <c r="M1125" s="3" t="s">
        <v>3219</v>
      </c>
      <c r="N1125" s="3" t="s">
        <v>22</v>
      </c>
      <c r="O1125" s="5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3" t="s">
        <v>14</v>
      </c>
      <c r="B1126" s="3" t="s">
        <v>3220</v>
      </c>
      <c r="C1126" s="33" t="s">
        <v>3596</v>
      </c>
      <c r="D1126" s="3" t="s">
        <v>3221</v>
      </c>
      <c r="E1126" s="3" t="s">
        <v>3220</v>
      </c>
      <c r="F1126" s="3" t="s">
        <v>3222</v>
      </c>
      <c r="G1126" s="3" t="s">
        <v>3220</v>
      </c>
      <c r="H1126" s="3" t="s">
        <v>3223</v>
      </c>
      <c r="I1126" s="4">
        <v>1.0</v>
      </c>
      <c r="J1126" s="4">
        <v>1.0</v>
      </c>
      <c r="K1126" s="3" t="s">
        <v>80</v>
      </c>
      <c r="L1126" s="3" t="s">
        <v>3224</v>
      </c>
      <c r="M1126" s="3" t="s">
        <v>3225</v>
      </c>
      <c r="N1126" s="3" t="s">
        <v>22</v>
      </c>
      <c r="O1126" s="5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3" t="s">
        <v>14</v>
      </c>
      <c r="B1127" s="3" t="s">
        <v>3220</v>
      </c>
      <c r="C1127" s="33" t="s">
        <v>3596</v>
      </c>
      <c r="D1127" s="3" t="s">
        <v>3221</v>
      </c>
      <c r="E1127" s="3" t="s">
        <v>3220</v>
      </c>
      <c r="F1127" s="3" t="s">
        <v>3222</v>
      </c>
      <c r="G1127" s="3" t="s">
        <v>36</v>
      </c>
      <c r="H1127" s="3" t="s">
        <v>116</v>
      </c>
      <c r="I1127" s="4" t="s">
        <v>36</v>
      </c>
      <c r="J1127" s="4">
        <v>2.0</v>
      </c>
      <c r="K1127" s="3"/>
      <c r="L1127" s="3" t="s">
        <v>3224</v>
      </c>
      <c r="M1127" s="3" t="s">
        <v>3225</v>
      </c>
      <c r="N1127" s="3" t="s">
        <v>22</v>
      </c>
      <c r="O1127" s="5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>
      <c r="A1128" s="3" t="s">
        <v>14</v>
      </c>
      <c r="B1128" s="3" t="s">
        <v>3226</v>
      </c>
      <c r="C1128" s="36" t="s">
        <v>3616</v>
      </c>
      <c r="D1128" s="3" t="s">
        <v>3227</v>
      </c>
      <c r="E1128" s="3" t="s">
        <v>3228</v>
      </c>
      <c r="F1128" s="3" t="s">
        <v>3229</v>
      </c>
      <c r="G1128" s="3" t="s">
        <v>3230</v>
      </c>
      <c r="H1128" s="3" t="s">
        <v>425</v>
      </c>
      <c r="I1128" s="4">
        <v>1.0</v>
      </c>
      <c r="J1128" s="4">
        <v>1.0</v>
      </c>
      <c r="K1128" s="3" t="s">
        <v>80</v>
      </c>
      <c r="L1128" s="3" t="s">
        <v>3231</v>
      </c>
      <c r="M1128" s="3" t="s">
        <v>3232</v>
      </c>
      <c r="N1128" s="3" t="s">
        <v>22</v>
      </c>
      <c r="O1128" s="5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>
      <c r="A1129" s="3" t="s">
        <v>14</v>
      </c>
      <c r="B1129" s="3" t="s">
        <v>3226</v>
      </c>
      <c r="C1129" s="36" t="s">
        <v>3616</v>
      </c>
      <c r="D1129" s="3" t="s">
        <v>3227</v>
      </c>
      <c r="E1129" s="3" t="s">
        <v>3228</v>
      </c>
      <c r="F1129" s="3" t="s">
        <v>3229</v>
      </c>
      <c r="G1129" s="3" t="s">
        <v>36</v>
      </c>
      <c r="H1129" s="3" t="s">
        <v>49</v>
      </c>
      <c r="I1129" s="4" t="s">
        <v>36</v>
      </c>
      <c r="J1129" s="4">
        <v>2.0</v>
      </c>
      <c r="K1129" s="3"/>
      <c r="L1129" s="3" t="s">
        <v>3231</v>
      </c>
      <c r="M1129" s="3" t="s">
        <v>3232</v>
      </c>
      <c r="N1129" s="3" t="s">
        <v>22</v>
      </c>
      <c r="O1129" s="5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>
      <c r="A1130" s="3" t="s">
        <v>14</v>
      </c>
      <c r="B1130" s="3" t="s">
        <v>3226</v>
      </c>
      <c r="C1130" s="36" t="s">
        <v>3616</v>
      </c>
      <c r="D1130" s="3" t="s">
        <v>3227</v>
      </c>
      <c r="E1130" s="3" t="s">
        <v>3228</v>
      </c>
      <c r="F1130" s="3" t="s">
        <v>3229</v>
      </c>
      <c r="G1130" s="3" t="s">
        <v>878</v>
      </c>
      <c r="H1130" s="3" t="s">
        <v>879</v>
      </c>
      <c r="I1130" s="4">
        <v>2.0</v>
      </c>
      <c r="J1130" s="4">
        <v>3.0</v>
      </c>
      <c r="K1130" s="5"/>
      <c r="L1130" s="3" t="s">
        <v>3231</v>
      </c>
      <c r="M1130" s="3" t="s">
        <v>3232</v>
      </c>
      <c r="N1130" s="3" t="s">
        <v>22</v>
      </c>
      <c r="O1130" s="5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>
      <c r="A1131" s="3" t="s">
        <v>14</v>
      </c>
      <c r="B1131" s="3" t="s">
        <v>3233</v>
      </c>
      <c r="C1131" s="36" t="s">
        <v>3605</v>
      </c>
      <c r="D1131" s="3" t="s">
        <v>3234</v>
      </c>
      <c r="E1131" s="3" t="s">
        <v>3235</v>
      </c>
      <c r="F1131" s="3" t="s">
        <v>3236</v>
      </c>
      <c r="G1131" s="3" t="s">
        <v>1435</v>
      </c>
      <c r="H1131" s="3" t="s">
        <v>1435</v>
      </c>
      <c r="I1131" s="4">
        <v>1.0</v>
      </c>
      <c r="J1131" s="4">
        <v>1.0</v>
      </c>
      <c r="K1131" s="3" t="s">
        <v>72</v>
      </c>
      <c r="L1131" s="3" t="s">
        <v>3237</v>
      </c>
      <c r="M1131" s="3" t="s">
        <v>3238</v>
      </c>
      <c r="N1131" s="3" t="s">
        <v>22</v>
      </c>
      <c r="O1131" s="5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>
      <c r="A1132" s="3" t="s">
        <v>14</v>
      </c>
      <c r="B1132" s="3" t="s">
        <v>3233</v>
      </c>
      <c r="C1132" s="36" t="s">
        <v>3605</v>
      </c>
      <c r="D1132" s="3" t="s">
        <v>3234</v>
      </c>
      <c r="E1132" s="3" t="s">
        <v>3235</v>
      </c>
      <c r="F1132" s="3" t="s">
        <v>3236</v>
      </c>
      <c r="G1132" s="3" t="s">
        <v>36</v>
      </c>
      <c r="H1132" s="3" t="s">
        <v>233</v>
      </c>
      <c r="I1132" s="4" t="s">
        <v>36</v>
      </c>
      <c r="J1132" s="4">
        <v>2.0</v>
      </c>
      <c r="K1132" s="3"/>
      <c r="L1132" s="3" t="s">
        <v>3237</v>
      </c>
      <c r="M1132" s="3" t="s">
        <v>3238</v>
      </c>
      <c r="N1132" s="3" t="s">
        <v>22</v>
      </c>
      <c r="O1132" s="5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>
      <c r="A1133" s="3" t="s">
        <v>14</v>
      </c>
      <c r="B1133" s="3" t="s">
        <v>3233</v>
      </c>
      <c r="C1133" s="36" t="s">
        <v>3605</v>
      </c>
      <c r="D1133" s="3" t="s">
        <v>3234</v>
      </c>
      <c r="E1133" s="3" t="s">
        <v>3235</v>
      </c>
      <c r="F1133" s="3" t="s">
        <v>3236</v>
      </c>
      <c r="G1133" s="3" t="s">
        <v>3239</v>
      </c>
      <c r="H1133" s="3" t="s">
        <v>3240</v>
      </c>
      <c r="I1133" s="4">
        <v>2.0</v>
      </c>
      <c r="J1133" s="4">
        <v>3.0</v>
      </c>
      <c r="K1133" s="3"/>
      <c r="L1133" s="3" t="s">
        <v>3237</v>
      </c>
      <c r="M1133" s="3" t="s">
        <v>3238</v>
      </c>
      <c r="N1133" s="3" t="s">
        <v>22</v>
      </c>
      <c r="O1133" s="5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>
      <c r="A1134" s="3" t="s">
        <v>14</v>
      </c>
      <c r="B1134" s="3" t="s">
        <v>3241</v>
      </c>
      <c r="C1134" s="33" t="s">
        <v>3600</v>
      </c>
      <c r="D1134" s="3" t="s">
        <v>1439</v>
      </c>
      <c r="E1134" s="3" t="s">
        <v>3242</v>
      </c>
      <c r="F1134" s="3" t="s">
        <v>1441</v>
      </c>
      <c r="G1134" s="3" t="s">
        <v>3243</v>
      </c>
      <c r="H1134" s="3" t="s">
        <v>1435</v>
      </c>
      <c r="I1134" s="4">
        <v>1.0</v>
      </c>
      <c r="J1134" s="4">
        <v>1.0</v>
      </c>
      <c r="K1134" s="5"/>
      <c r="L1134" s="3" t="s">
        <v>3244</v>
      </c>
      <c r="M1134" s="3" t="s">
        <v>3245</v>
      </c>
      <c r="N1134" s="3" t="s">
        <v>22</v>
      </c>
      <c r="O1134" s="5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>
      <c r="A1135" s="3" t="s">
        <v>14</v>
      </c>
      <c r="B1135" s="3" t="s">
        <v>3241</v>
      </c>
      <c r="C1135" s="33" t="s">
        <v>3600</v>
      </c>
      <c r="D1135" s="3" t="s">
        <v>1439</v>
      </c>
      <c r="E1135" s="3" t="s">
        <v>3242</v>
      </c>
      <c r="F1135" s="3" t="s">
        <v>1441</v>
      </c>
      <c r="G1135" s="3" t="s">
        <v>402</v>
      </c>
      <c r="H1135" s="3" t="s">
        <v>1129</v>
      </c>
      <c r="I1135" s="4">
        <v>2.0</v>
      </c>
      <c r="J1135" s="4">
        <v>2.0</v>
      </c>
      <c r="K1135" s="5"/>
      <c r="L1135" s="3" t="s">
        <v>3244</v>
      </c>
      <c r="M1135" s="3" t="s">
        <v>3245</v>
      </c>
      <c r="N1135" s="3" t="s">
        <v>22</v>
      </c>
      <c r="O1135" s="5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>
      <c r="A1136" s="3" t="s">
        <v>14</v>
      </c>
      <c r="B1136" s="3" t="s">
        <v>3246</v>
      </c>
      <c r="C1136" s="36" t="s">
        <v>3597</v>
      </c>
      <c r="D1136" s="3" t="s">
        <v>3247</v>
      </c>
      <c r="E1136" s="3" t="s">
        <v>3248</v>
      </c>
      <c r="F1136" s="3" t="s">
        <v>3249</v>
      </c>
      <c r="G1136" s="3" t="s">
        <v>157</v>
      </c>
      <c r="H1136" s="3" t="s">
        <v>3250</v>
      </c>
      <c r="I1136" s="4">
        <v>1.0</v>
      </c>
      <c r="J1136" s="4">
        <v>1.0</v>
      </c>
      <c r="K1136" s="5"/>
      <c r="L1136" s="3" t="s">
        <v>3251</v>
      </c>
      <c r="M1136" s="3" t="s">
        <v>3252</v>
      </c>
      <c r="N1136" s="3" t="s">
        <v>22</v>
      </c>
      <c r="O1136" s="5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>
      <c r="A1137" s="3" t="s">
        <v>14</v>
      </c>
      <c r="B1137" s="3" t="s">
        <v>3246</v>
      </c>
      <c r="C1137" s="36" t="s">
        <v>3597</v>
      </c>
      <c r="D1137" s="3" t="s">
        <v>3247</v>
      </c>
      <c r="E1137" s="3" t="s">
        <v>3248</v>
      </c>
      <c r="F1137" s="3" t="s">
        <v>3249</v>
      </c>
      <c r="G1137" s="3" t="s">
        <v>2023</v>
      </c>
      <c r="H1137" s="3" t="s">
        <v>1040</v>
      </c>
      <c r="I1137" s="4">
        <v>2.0</v>
      </c>
      <c r="J1137" s="4">
        <v>2.0</v>
      </c>
      <c r="K1137" s="5"/>
      <c r="L1137" s="3" t="s">
        <v>3251</v>
      </c>
      <c r="M1137" s="3" t="s">
        <v>3252</v>
      </c>
      <c r="N1137" s="3" t="s">
        <v>22</v>
      </c>
      <c r="O1137" s="5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>
      <c r="A1138" s="3" t="s">
        <v>14</v>
      </c>
      <c r="B1138" s="3" t="s">
        <v>3246</v>
      </c>
      <c r="C1138" s="36" t="s">
        <v>3597</v>
      </c>
      <c r="D1138" s="3" t="s">
        <v>3247</v>
      </c>
      <c r="E1138" s="3" t="s">
        <v>3248</v>
      </c>
      <c r="F1138" s="3" t="s">
        <v>3249</v>
      </c>
      <c r="G1138" s="3" t="s">
        <v>245</v>
      </c>
      <c r="H1138" s="3" t="s">
        <v>245</v>
      </c>
      <c r="I1138" s="4">
        <v>3.0</v>
      </c>
      <c r="J1138" s="4">
        <v>3.0</v>
      </c>
      <c r="K1138" s="5"/>
      <c r="L1138" s="3" t="s">
        <v>3251</v>
      </c>
      <c r="M1138" s="3" t="s">
        <v>3252</v>
      </c>
      <c r="N1138" s="3" t="s">
        <v>22</v>
      </c>
      <c r="O1138" s="5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>
      <c r="A1139" s="3" t="s">
        <v>14</v>
      </c>
      <c r="B1139" s="3" t="s">
        <v>3253</v>
      </c>
      <c r="C1139" s="36" t="s">
        <v>3597</v>
      </c>
      <c r="D1139" s="3" t="s">
        <v>3254</v>
      </c>
      <c r="E1139" s="3" t="s">
        <v>3255</v>
      </c>
      <c r="F1139" s="3" t="s">
        <v>3256</v>
      </c>
      <c r="G1139" s="3" t="s">
        <v>157</v>
      </c>
      <c r="H1139" s="3" t="s">
        <v>158</v>
      </c>
      <c r="I1139" s="4">
        <v>1.0</v>
      </c>
      <c r="J1139" s="4">
        <v>1.0</v>
      </c>
      <c r="K1139" s="5"/>
      <c r="L1139" s="3" t="s">
        <v>3257</v>
      </c>
      <c r="M1139" s="3" t="s">
        <v>3258</v>
      </c>
      <c r="N1139" s="3" t="s">
        <v>22</v>
      </c>
      <c r="O1139" s="5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>
      <c r="A1140" s="3" t="s">
        <v>14</v>
      </c>
      <c r="B1140" s="3" t="s">
        <v>3253</v>
      </c>
      <c r="C1140" s="36" t="s">
        <v>3597</v>
      </c>
      <c r="D1140" s="3" t="s">
        <v>3254</v>
      </c>
      <c r="E1140" s="3" t="s">
        <v>3255</v>
      </c>
      <c r="F1140" s="3" t="s">
        <v>3256</v>
      </c>
      <c r="G1140" s="3" t="s">
        <v>1032</v>
      </c>
      <c r="H1140" s="3" t="s">
        <v>3259</v>
      </c>
      <c r="I1140" s="4">
        <v>2.0</v>
      </c>
      <c r="J1140" s="4">
        <v>2.0</v>
      </c>
      <c r="K1140" s="5"/>
      <c r="L1140" s="3" t="s">
        <v>3257</v>
      </c>
      <c r="M1140" s="3" t="s">
        <v>3258</v>
      </c>
      <c r="N1140" s="3" t="s">
        <v>22</v>
      </c>
      <c r="O1140" s="5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>
      <c r="A1141" s="3" t="s">
        <v>14</v>
      </c>
      <c r="B1141" s="3" t="s">
        <v>3253</v>
      </c>
      <c r="C1141" s="36" t="s">
        <v>3597</v>
      </c>
      <c r="D1141" s="3" t="s">
        <v>3254</v>
      </c>
      <c r="E1141" s="3" t="s">
        <v>3255</v>
      </c>
      <c r="F1141" s="3" t="s">
        <v>3256</v>
      </c>
      <c r="G1141" s="3" t="s">
        <v>387</v>
      </c>
      <c r="H1141" s="3" t="s">
        <v>387</v>
      </c>
      <c r="I1141" s="4">
        <v>3.0</v>
      </c>
      <c r="J1141" s="4">
        <v>3.0</v>
      </c>
      <c r="K1141" s="5"/>
      <c r="L1141" s="3" t="s">
        <v>3257</v>
      </c>
      <c r="M1141" s="3" t="s">
        <v>3258</v>
      </c>
      <c r="N1141" s="3" t="s">
        <v>22</v>
      </c>
      <c r="O1141" s="5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>
      <c r="A1142" s="3" t="s">
        <v>14</v>
      </c>
      <c r="B1142" s="3" t="s">
        <v>3260</v>
      </c>
      <c r="C1142" s="33" t="s">
        <v>3603</v>
      </c>
      <c r="D1142" s="3" t="s">
        <v>3261</v>
      </c>
      <c r="E1142" s="3" t="s">
        <v>3262</v>
      </c>
      <c r="F1142" s="3" t="s">
        <v>3263</v>
      </c>
      <c r="G1142" s="3" t="s">
        <v>3264</v>
      </c>
      <c r="H1142" s="3" t="s">
        <v>610</v>
      </c>
      <c r="I1142" s="4">
        <v>1.0</v>
      </c>
      <c r="J1142" s="4">
        <v>1.0</v>
      </c>
      <c r="K1142" s="3" t="s">
        <v>80</v>
      </c>
      <c r="L1142" s="3" t="s">
        <v>3265</v>
      </c>
      <c r="M1142" s="3" t="s">
        <v>3266</v>
      </c>
      <c r="N1142" s="3" t="s">
        <v>22</v>
      </c>
      <c r="O1142" s="5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>
      <c r="A1143" s="3" t="s">
        <v>14</v>
      </c>
      <c r="B1143" s="3" t="s">
        <v>3260</v>
      </c>
      <c r="C1143" s="33" t="s">
        <v>3603</v>
      </c>
      <c r="D1143" s="3" t="s">
        <v>3261</v>
      </c>
      <c r="E1143" s="3" t="s">
        <v>3262</v>
      </c>
      <c r="F1143" s="3" t="s">
        <v>3263</v>
      </c>
      <c r="G1143" s="3" t="s">
        <v>36</v>
      </c>
      <c r="H1143" s="3" t="s">
        <v>2352</v>
      </c>
      <c r="I1143" s="4" t="s">
        <v>36</v>
      </c>
      <c r="J1143" s="4">
        <v>2.0</v>
      </c>
      <c r="K1143" s="3"/>
      <c r="L1143" s="3" t="s">
        <v>3265</v>
      </c>
      <c r="M1143" s="3" t="s">
        <v>3266</v>
      </c>
      <c r="N1143" s="3" t="s">
        <v>22</v>
      </c>
      <c r="O1143" s="5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>
      <c r="A1144" s="3" t="s">
        <v>14</v>
      </c>
      <c r="B1144" s="3" t="s">
        <v>3260</v>
      </c>
      <c r="C1144" s="33" t="s">
        <v>3603</v>
      </c>
      <c r="D1144" s="3" t="s">
        <v>3261</v>
      </c>
      <c r="E1144" s="3" t="s">
        <v>3262</v>
      </c>
      <c r="F1144" s="3" t="s">
        <v>3263</v>
      </c>
      <c r="G1144" s="3" t="s">
        <v>116</v>
      </c>
      <c r="H1144" s="3" t="s">
        <v>116</v>
      </c>
      <c r="I1144" s="4">
        <v>2.0</v>
      </c>
      <c r="J1144" s="4">
        <v>3.0</v>
      </c>
      <c r="K1144" s="5"/>
      <c r="L1144" s="3" t="s">
        <v>3265</v>
      </c>
      <c r="M1144" s="3" t="s">
        <v>3266</v>
      </c>
      <c r="N1144" s="3" t="s">
        <v>22</v>
      </c>
      <c r="O1144" s="5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>
      <c r="A1145" s="3" t="s">
        <v>14</v>
      </c>
      <c r="B1145" s="3" t="s">
        <v>3267</v>
      </c>
      <c r="C1145" s="36" t="s">
        <v>3597</v>
      </c>
      <c r="D1145" s="3" t="s">
        <v>3268</v>
      </c>
      <c r="E1145" s="3" t="s">
        <v>3269</v>
      </c>
      <c r="F1145" s="3" t="s">
        <v>3270</v>
      </c>
      <c r="G1145" s="3" t="s">
        <v>1541</v>
      </c>
      <c r="H1145" s="3" t="s">
        <v>254</v>
      </c>
      <c r="I1145" s="4">
        <v>1.0</v>
      </c>
      <c r="J1145" s="4">
        <v>1.0</v>
      </c>
      <c r="K1145" s="5"/>
      <c r="L1145" s="3" t="s">
        <v>3271</v>
      </c>
      <c r="M1145" s="3" t="s">
        <v>3272</v>
      </c>
      <c r="N1145" s="3" t="s">
        <v>22</v>
      </c>
      <c r="O1145" s="5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>
      <c r="A1146" s="3" t="s">
        <v>14</v>
      </c>
      <c r="B1146" s="3" t="s">
        <v>3267</v>
      </c>
      <c r="C1146" s="36" t="s">
        <v>3597</v>
      </c>
      <c r="D1146" s="3" t="s">
        <v>3268</v>
      </c>
      <c r="E1146" s="3" t="s">
        <v>3269</v>
      </c>
      <c r="F1146" s="3" t="s">
        <v>3270</v>
      </c>
      <c r="G1146" s="3" t="s">
        <v>3273</v>
      </c>
      <c r="H1146" s="3" t="s">
        <v>3196</v>
      </c>
      <c r="I1146" s="4">
        <v>2.0</v>
      </c>
      <c r="J1146" s="4">
        <v>2.0</v>
      </c>
      <c r="K1146" s="5"/>
      <c r="L1146" s="3" t="s">
        <v>3271</v>
      </c>
      <c r="M1146" s="3" t="s">
        <v>3272</v>
      </c>
      <c r="N1146" s="3" t="s">
        <v>22</v>
      </c>
      <c r="O1146" s="5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>
      <c r="A1147" s="3" t="s">
        <v>14</v>
      </c>
      <c r="B1147" s="3" t="s">
        <v>3267</v>
      </c>
      <c r="C1147" s="36" t="s">
        <v>3597</v>
      </c>
      <c r="D1147" s="3" t="s">
        <v>3268</v>
      </c>
      <c r="E1147" s="3" t="s">
        <v>3269</v>
      </c>
      <c r="F1147" s="3" t="s">
        <v>3270</v>
      </c>
      <c r="G1147" s="3" t="s">
        <v>1426</v>
      </c>
      <c r="H1147" s="3" t="s">
        <v>1426</v>
      </c>
      <c r="I1147" s="4">
        <v>3.0</v>
      </c>
      <c r="J1147" s="4">
        <v>3.0</v>
      </c>
      <c r="K1147" s="5"/>
      <c r="L1147" s="3" t="s">
        <v>3271</v>
      </c>
      <c r="M1147" s="3" t="s">
        <v>3272</v>
      </c>
      <c r="N1147" s="3" t="s">
        <v>22</v>
      </c>
      <c r="O1147" s="5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>
      <c r="A1148" s="3" t="s">
        <v>14</v>
      </c>
      <c r="B1148" s="3" t="s">
        <v>3274</v>
      </c>
      <c r="C1148" s="33" t="s">
        <v>3600</v>
      </c>
      <c r="D1148" s="3" t="s">
        <v>3275</v>
      </c>
      <c r="E1148" s="3" t="s">
        <v>3276</v>
      </c>
      <c r="F1148" s="3" t="s">
        <v>3277</v>
      </c>
      <c r="G1148" s="3" t="s">
        <v>3278</v>
      </c>
      <c r="H1148" s="3" t="s">
        <v>3278</v>
      </c>
      <c r="I1148" s="4">
        <v>1.0</v>
      </c>
      <c r="J1148" s="4">
        <v>1.0</v>
      </c>
      <c r="K1148" s="3"/>
      <c r="L1148" s="3" t="s">
        <v>3279</v>
      </c>
      <c r="M1148" s="3" t="s">
        <v>3280</v>
      </c>
      <c r="N1148" s="3" t="s">
        <v>22</v>
      </c>
      <c r="O1148" s="5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>
      <c r="A1149" s="3" t="s">
        <v>14</v>
      </c>
      <c r="B1149" s="3" t="s">
        <v>3274</v>
      </c>
      <c r="C1149" s="33" t="s">
        <v>3600</v>
      </c>
      <c r="D1149" s="3" t="s">
        <v>3275</v>
      </c>
      <c r="E1149" s="3" t="s">
        <v>3276</v>
      </c>
      <c r="F1149" s="3" t="s">
        <v>3277</v>
      </c>
      <c r="G1149" s="3" t="s">
        <v>152</v>
      </c>
      <c r="H1149" s="3" t="s">
        <v>56</v>
      </c>
      <c r="I1149" s="4">
        <v>2.0</v>
      </c>
      <c r="J1149" s="4">
        <v>2.0</v>
      </c>
      <c r="K1149" s="3"/>
      <c r="L1149" s="3" t="s">
        <v>3279</v>
      </c>
      <c r="M1149" s="3" t="s">
        <v>3280</v>
      </c>
      <c r="N1149" s="3" t="s">
        <v>22</v>
      </c>
      <c r="O1149" s="5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>
      <c r="A1150" s="3" t="s">
        <v>14</v>
      </c>
      <c r="B1150" s="3" t="s">
        <v>3281</v>
      </c>
      <c r="C1150" s="36" t="s">
        <v>3597</v>
      </c>
      <c r="D1150" s="3" t="s">
        <v>3282</v>
      </c>
      <c r="E1150" s="3" t="s">
        <v>3283</v>
      </c>
      <c r="F1150" s="3" t="s">
        <v>3284</v>
      </c>
      <c r="G1150" s="3" t="s">
        <v>233</v>
      </c>
      <c r="H1150" s="3" t="s">
        <v>1234</v>
      </c>
      <c r="I1150" s="4">
        <v>1.0</v>
      </c>
      <c r="J1150" s="4">
        <v>1.0</v>
      </c>
      <c r="K1150" s="5"/>
      <c r="L1150" s="3" t="s">
        <v>3285</v>
      </c>
      <c r="M1150" s="3" t="s">
        <v>3286</v>
      </c>
      <c r="N1150" s="3" t="s">
        <v>22</v>
      </c>
      <c r="O1150" s="5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>
      <c r="A1151" s="3" t="s">
        <v>14</v>
      </c>
      <c r="B1151" s="3" t="s">
        <v>3281</v>
      </c>
      <c r="C1151" s="36" t="s">
        <v>3597</v>
      </c>
      <c r="D1151" s="3" t="s">
        <v>3282</v>
      </c>
      <c r="E1151" s="3" t="s">
        <v>3283</v>
      </c>
      <c r="F1151" s="3" t="s">
        <v>3284</v>
      </c>
      <c r="G1151" s="3" t="s">
        <v>3273</v>
      </c>
      <c r="H1151" s="3" t="s">
        <v>3287</v>
      </c>
      <c r="I1151" s="4">
        <v>2.0</v>
      </c>
      <c r="J1151" s="4">
        <v>2.0</v>
      </c>
      <c r="K1151" s="5"/>
      <c r="L1151" s="3" t="s">
        <v>3285</v>
      </c>
      <c r="M1151" s="3" t="s">
        <v>3286</v>
      </c>
      <c r="N1151" s="3" t="s">
        <v>22</v>
      </c>
      <c r="O1151" s="5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>
      <c r="A1152" s="3" t="s">
        <v>14</v>
      </c>
      <c r="B1152" s="3" t="s">
        <v>3281</v>
      </c>
      <c r="C1152" s="36" t="s">
        <v>3597</v>
      </c>
      <c r="D1152" s="3" t="s">
        <v>3282</v>
      </c>
      <c r="E1152" s="3" t="s">
        <v>3283</v>
      </c>
      <c r="F1152" s="3" t="s">
        <v>3284</v>
      </c>
      <c r="G1152" s="3" t="s">
        <v>668</v>
      </c>
      <c r="H1152" s="3" t="s">
        <v>103</v>
      </c>
      <c r="I1152" s="4">
        <v>3.0</v>
      </c>
      <c r="J1152" s="4">
        <v>3.0</v>
      </c>
      <c r="K1152" s="5"/>
      <c r="L1152" s="3" t="s">
        <v>3285</v>
      </c>
      <c r="M1152" s="3" t="s">
        <v>3286</v>
      </c>
      <c r="N1152" s="3" t="s">
        <v>22</v>
      </c>
      <c r="O1152" s="5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>
      <c r="A1153" s="3" t="s">
        <v>14</v>
      </c>
      <c r="B1153" s="3" t="s">
        <v>3288</v>
      </c>
      <c r="C1153" s="33" t="s">
        <v>3600</v>
      </c>
      <c r="D1153" s="3" t="s">
        <v>3289</v>
      </c>
      <c r="E1153" s="3" t="s">
        <v>3290</v>
      </c>
      <c r="F1153" s="3" t="s">
        <v>3291</v>
      </c>
      <c r="G1153" s="3" t="s">
        <v>976</v>
      </c>
      <c r="H1153" s="3" t="s">
        <v>977</v>
      </c>
      <c r="I1153" s="4">
        <v>1.0</v>
      </c>
      <c r="J1153" s="4">
        <v>1.0</v>
      </c>
      <c r="K1153" s="5"/>
      <c r="L1153" s="3" t="s">
        <v>3292</v>
      </c>
      <c r="M1153" s="3" t="s">
        <v>3293</v>
      </c>
      <c r="N1153" s="3" t="s">
        <v>22</v>
      </c>
      <c r="O1153" s="5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>
      <c r="A1154" s="3" t="s">
        <v>14</v>
      </c>
      <c r="B1154" s="3" t="s">
        <v>3288</v>
      </c>
      <c r="C1154" s="33" t="s">
        <v>3600</v>
      </c>
      <c r="D1154" s="3" t="s">
        <v>3289</v>
      </c>
      <c r="E1154" s="3" t="s">
        <v>3290</v>
      </c>
      <c r="F1154" s="3" t="s">
        <v>3291</v>
      </c>
      <c r="G1154" s="3" t="s">
        <v>784</v>
      </c>
      <c r="H1154" s="3" t="s">
        <v>784</v>
      </c>
      <c r="I1154" s="4">
        <v>2.0</v>
      </c>
      <c r="J1154" s="4">
        <v>2.0</v>
      </c>
      <c r="K1154" s="5"/>
      <c r="L1154" s="3" t="s">
        <v>3292</v>
      </c>
      <c r="M1154" s="3" t="s">
        <v>3293</v>
      </c>
      <c r="N1154" s="3" t="s">
        <v>22</v>
      </c>
      <c r="O1154" s="5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>
      <c r="A1155" s="3" t="s">
        <v>14</v>
      </c>
      <c r="B1155" s="3" t="s">
        <v>3294</v>
      </c>
      <c r="C1155" s="33" t="s">
        <v>3600</v>
      </c>
      <c r="D1155" s="3" t="s">
        <v>3295</v>
      </c>
      <c r="E1155" s="3" t="s">
        <v>3296</v>
      </c>
      <c r="F1155" s="3" t="s">
        <v>3297</v>
      </c>
      <c r="G1155" s="3" t="s">
        <v>780</v>
      </c>
      <c r="H1155" s="3" t="s">
        <v>781</v>
      </c>
      <c r="I1155" s="4">
        <v>1.0</v>
      </c>
      <c r="J1155" s="4">
        <v>1.0</v>
      </c>
      <c r="K1155" s="5"/>
      <c r="L1155" s="3" t="s">
        <v>3298</v>
      </c>
      <c r="M1155" s="3" t="s">
        <v>548</v>
      </c>
      <c r="N1155" s="3" t="s">
        <v>22</v>
      </c>
      <c r="O1155" s="5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>
      <c r="A1156" s="3" t="s">
        <v>14</v>
      </c>
      <c r="B1156" s="3" t="s">
        <v>3294</v>
      </c>
      <c r="C1156" s="33" t="s">
        <v>3600</v>
      </c>
      <c r="D1156" s="3" t="s">
        <v>3295</v>
      </c>
      <c r="E1156" s="3" t="s">
        <v>3296</v>
      </c>
      <c r="F1156" s="3" t="s">
        <v>3297</v>
      </c>
      <c r="G1156" s="3" t="s">
        <v>98</v>
      </c>
      <c r="H1156" s="3" t="s">
        <v>98</v>
      </c>
      <c r="I1156" s="4">
        <v>2.0</v>
      </c>
      <c r="J1156" s="4">
        <v>2.0</v>
      </c>
      <c r="K1156" s="5"/>
      <c r="L1156" s="3" t="s">
        <v>3298</v>
      </c>
      <c r="M1156" s="3" t="s">
        <v>548</v>
      </c>
      <c r="N1156" s="3" t="s">
        <v>22</v>
      </c>
      <c r="O1156" s="5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>
      <c r="A1157" s="3" t="s">
        <v>14</v>
      </c>
      <c r="B1157" s="3" t="s">
        <v>3299</v>
      </c>
      <c r="C1157" s="33" t="s">
        <v>3600</v>
      </c>
      <c r="D1157" s="3" t="s">
        <v>3300</v>
      </c>
      <c r="E1157" s="3" t="s">
        <v>3301</v>
      </c>
      <c r="F1157" s="3" t="s">
        <v>3302</v>
      </c>
      <c r="G1157" s="3" t="s">
        <v>789</v>
      </c>
      <c r="H1157" s="3" t="s">
        <v>790</v>
      </c>
      <c r="I1157" s="4">
        <v>1.0</v>
      </c>
      <c r="J1157" s="4">
        <v>1.0</v>
      </c>
      <c r="K1157" s="5"/>
      <c r="L1157" s="3" t="s">
        <v>3303</v>
      </c>
      <c r="M1157" s="3" t="s">
        <v>3304</v>
      </c>
      <c r="N1157" s="3" t="s">
        <v>22</v>
      </c>
      <c r="O1157" s="5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>
      <c r="A1158" s="3" t="s">
        <v>14</v>
      </c>
      <c r="B1158" s="3" t="s">
        <v>3299</v>
      </c>
      <c r="C1158" s="33" t="s">
        <v>3600</v>
      </c>
      <c r="D1158" s="3" t="s">
        <v>3300</v>
      </c>
      <c r="E1158" s="3" t="s">
        <v>3301</v>
      </c>
      <c r="F1158" s="3" t="s">
        <v>3302</v>
      </c>
      <c r="G1158" s="3" t="s">
        <v>116</v>
      </c>
      <c r="H1158" s="3" t="s">
        <v>116</v>
      </c>
      <c r="I1158" s="4">
        <v>2.0</v>
      </c>
      <c r="J1158" s="4">
        <v>2.0</v>
      </c>
      <c r="K1158" s="5"/>
      <c r="L1158" s="3" t="s">
        <v>3303</v>
      </c>
      <c r="M1158" s="3" t="s">
        <v>3304</v>
      </c>
      <c r="N1158" s="3" t="s">
        <v>22</v>
      </c>
      <c r="O1158" s="5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>
      <c r="A1159" s="3" t="s">
        <v>14</v>
      </c>
      <c r="B1159" s="3" t="s">
        <v>3305</v>
      </c>
      <c r="C1159" s="36" t="s">
        <v>3597</v>
      </c>
      <c r="D1159" s="3" t="s">
        <v>3306</v>
      </c>
      <c r="E1159" s="3" t="s">
        <v>3307</v>
      </c>
      <c r="F1159" s="3" t="s">
        <v>3308</v>
      </c>
      <c r="G1159" s="3" t="s">
        <v>2175</v>
      </c>
      <c r="H1159" s="3" t="s">
        <v>1137</v>
      </c>
      <c r="I1159" s="4">
        <v>1.0</v>
      </c>
      <c r="J1159" s="4">
        <v>1.0</v>
      </c>
      <c r="K1159" s="5"/>
      <c r="L1159" s="3" t="s">
        <v>3309</v>
      </c>
      <c r="M1159" s="3" t="s">
        <v>3202</v>
      </c>
      <c r="N1159" s="3" t="s">
        <v>22</v>
      </c>
      <c r="O1159" s="5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>
      <c r="A1160" s="3" t="s">
        <v>14</v>
      </c>
      <c r="B1160" s="3" t="s">
        <v>3305</v>
      </c>
      <c r="C1160" s="36" t="s">
        <v>3597</v>
      </c>
      <c r="D1160" s="3" t="s">
        <v>3306</v>
      </c>
      <c r="E1160" s="3" t="s">
        <v>3307</v>
      </c>
      <c r="F1160" s="3" t="s">
        <v>3308</v>
      </c>
      <c r="G1160" s="3" t="s">
        <v>3310</v>
      </c>
      <c r="H1160" s="3" t="s">
        <v>878</v>
      </c>
      <c r="I1160" s="4">
        <v>2.0</v>
      </c>
      <c r="J1160" s="4">
        <v>2.0</v>
      </c>
      <c r="K1160" s="5"/>
      <c r="L1160" s="3" t="s">
        <v>3309</v>
      </c>
      <c r="M1160" s="3" t="s">
        <v>3202</v>
      </c>
      <c r="N1160" s="3" t="s">
        <v>22</v>
      </c>
      <c r="O1160" s="5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>
      <c r="A1161" s="3" t="s">
        <v>14</v>
      </c>
      <c r="B1161" s="3" t="s">
        <v>3305</v>
      </c>
      <c r="C1161" s="36" t="s">
        <v>3597</v>
      </c>
      <c r="D1161" s="3" t="s">
        <v>3306</v>
      </c>
      <c r="E1161" s="3" t="s">
        <v>3307</v>
      </c>
      <c r="F1161" s="3" t="s">
        <v>3308</v>
      </c>
      <c r="G1161" s="3" t="s">
        <v>158</v>
      </c>
      <c r="H1161" s="3" t="s">
        <v>158</v>
      </c>
      <c r="I1161" s="4">
        <v>3.0</v>
      </c>
      <c r="J1161" s="4">
        <v>3.0</v>
      </c>
      <c r="K1161" s="5"/>
      <c r="L1161" s="3" t="s">
        <v>3309</v>
      </c>
      <c r="M1161" s="3" t="s">
        <v>3202</v>
      </c>
      <c r="N1161" s="3" t="s">
        <v>22</v>
      </c>
      <c r="O1161" s="5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>
      <c r="A1162" s="15" t="s">
        <v>14</v>
      </c>
      <c r="B1162" s="15" t="s">
        <v>3311</v>
      </c>
      <c r="C1162" s="33" t="s">
        <v>3600</v>
      </c>
      <c r="D1162" s="15" t="s">
        <v>3312</v>
      </c>
      <c r="E1162" s="15" t="s">
        <v>3313</v>
      </c>
      <c r="F1162" s="15" t="s">
        <v>3314</v>
      </c>
      <c r="G1162" s="15" t="s">
        <v>36</v>
      </c>
      <c r="H1162" s="15" t="s">
        <v>1113</v>
      </c>
      <c r="I1162" s="18" t="s">
        <v>36</v>
      </c>
      <c r="J1162" s="18">
        <v>1.0</v>
      </c>
      <c r="K1162" s="15" t="s">
        <v>80</v>
      </c>
      <c r="L1162" s="15" t="s">
        <v>3315</v>
      </c>
      <c r="M1162" s="15" t="s">
        <v>3316</v>
      </c>
      <c r="N1162" s="15" t="s">
        <v>22</v>
      </c>
      <c r="O1162" s="20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</row>
    <row r="1163">
      <c r="A1163" s="15" t="s">
        <v>14</v>
      </c>
      <c r="B1163" s="15" t="s">
        <v>3311</v>
      </c>
      <c r="C1163" s="33" t="s">
        <v>3600</v>
      </c>
      <c r="D1163" s="15" t="s">
        <v>3312</v>
      </c>
      <c r="E1163" s="15" t="s">
        <v>3313</v>
      </c>
      <c r="F1163" s="15" t="s">
        <v>3314</v>
      </c>
      <c r="G1163" s="15" t="s">
        <v>1032</v>
      </c>
      <c r="H1163" s="15" t="s">
        <v>3259</v>
      </c>
      <c r="I1163" s="18">
        <v>1.0</v>
      </c>
      <c r="J1163" s="18">
        <v>2.0</v>
      </c>
      <c r="K1163" s="15"/>
      <c r="L1163" s="15" t="s">
        <v>3315</v>
      </c>
      <c r="M1163" s="15" t="s">
        <v>3316</v>
      </c>
      <c r="N1163" s="15" t="s">
        <v>22</v>
      </c>
      <c r="O1163" s="20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</row>
    <row r="1164">
      <c r="A1164" s="15" t="s">
        <v>14</v>
      </c>
      <c r="B1164" s="15" t="s">
        <v>3311</v>
      </c>
      <c r="C1164" s="33" t="s">
        <v>3600</v>
      </c>
      <c r="D1164" s="15" t="s">
        <v>3312</v>
      </c>
      <c r="E1164" s="15" t="s">
        <v>3313</v>
      </c>
      <c r="F1164" s="15" t="s">
        <v>3314</v>
      </c>
      <c r="G1164" s="15" t="s">
        <v>116</v>
      </c>
      <c r="H1164" s="15" t="s">
        <v>116</v>
      </c>
      <c r="I1164" s="18">
        <v>2.0</v>
      </c>
      <c r="J1164" s="18">
        <v>3.0</v>
      </c>
      <c r="K1164" s="20"/>
      <c r="L1164" s="15" t="s">
        <v>3315</v>
      </c>
      <c r="M1164" s="15" t="s">
        <v>3316</v>
      </c>
      <c r="N1164" s="15" t="s">
        <v>22</v>
      </c>
      <c r="O1164" s="20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</row>
    <row r="1165">
      <c r="A1165" s="3" t="s">
        <v>14</v>
      </c>
      <c r="B1165" s="3" t="s">
        <v>3317</v>
      </c>
      <c r="C1165" s="33" t="s">
        <v>3600</v>
      </c>
      <c r="D1165" s="3" t="s">
        <v>3318</v>
      </c>
      <c r="E1165" s="3" t="s">
        <v>3319</v>
      </c>
      <c r="F1165" s="3" t="s">
        <v>3320</v>
      </c>
      <c r="G1165" s="3" t="s">
        <v>214</v>
      </c>
      <c r="H1165" s="3" t="s">
        <v>3321</v>
      </c>
      <c r="I1165" s="4">
        <v>1.0</v>
      </c>
      <c r="J1165" s="4">
        <v>1.0</v>
      </c>
      <c r="K1165" s="5"/>
      <c r="L1165" s="3" t="s">
        <v>3322</v>
      </c>
      <c r="M1165" s="3" t="s">
        <v>3323</v>
      </c>
      <c r="N1165" s="3" t="s">
        <v>22</v>
      </c>
      <c r="O1165" s="5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>
      <c r="A1166" s="3" t="s">
        <v>14</v>
      </c>
      <c r="B1166" s="3" t="s">
        <v>3317</v>
      </c>
      <c r="C1166" s="33" t="s">
        <v>3600</v>
      </c>
      <c r="D1166" s="3" t="s">
        <v>3318</v>
      </c>
      <c r="E1166" s="3" t="s">
        <v>3319</v>
      </c>
      <c r="F1166" s="3" t="s">
        <v>3320</v>
      </c>
      <c r="G1166" s="3" t="s">
        <v>312</v>
      </c>
      <c r="H1166" s="3" t="s">
        <v>312</v>
      </c>
      <c r="I1166" s="4">
        <v>2.0</v>
      </c>
      <c r="J1166" s="4">
        <v>2.0</v>
      </c>
      <c r="K1166" s="5"/>
      <c r="L1166" s="3" t="s">
        <v>3322</v>
      </c>
      <c r="M1166" s="3" t="s">
        <v>3323</v>
      </c>
      <c r="N1166" s="3" t="s">
        <v>22</v>
      </c>
      <c r="O1166" s="5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>
      <c r="A1167" s="15" t="s">
        <v>14</v>
      </c>
      <c r="B1167" s="15" t="s">
        <v>3324</v>
      </c>
      <c r="C1167" s="33" t="s">
        <v>3600</v>
      </c>
      <c r="D1167" s="15" t="s">
        <v>3325</v>
      </c>
      <c r="E1167" s="15" t="s">
        <v>3326</v>
      </c>
      <c r="F1167" s="15" t="s">
        <v>3327</v>
      </c>
      <c r="G1167" s="15" t="s">
        <v>36</v>
      </c>
      <c r="H1167" s="15" t="s">
        <v>49</v>
      </c>
      <c r="I1167" s="18" t="s">
        <v>36</v>
      </c>
      <c r="J1167" s="18">
        <v>1.0</v>
      </c>
      <c r="K1167" s="15" t="s">
        <v>80</v>
      </c>
      <c r="L1167" s="15" t="s">
        <v>3328</v>
      </c>
      <c r="M1167" s="15" t="s">
        <v>3329</v>
      </c>
      <c r="N1167" s="15" t="s">
        <v>22</v>
      </c>
      <c r="O1167" s="20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</row>
    <row r="1168">
      <c r="A1168" s="15" t="s">
        <v>14</v>
      </c>
      <c r="B1168" s="15" t="s">
        <v>3324</v>
      </c>
      <c r="C1168" s="33" t="s">
        <v>3600</v>
      </c>
      <c r="D1168" s="15" t="s">
        <v>3325</v>
      </c>
      <c r="E1168" s="15" t="s">
        <v>3326</v>
      </c>
      <c r="F1168" s="15" t="s">
        <v>3327</v>
      </c>
      <c r="G1168" s="15" t="s">
        <v>251</v>
      </c>
      <c r="H1168" s="15" t="s">
        <v>3330</v>
      </c>
      <c r="I1168" s="18">
        <v>1.0</v>
      </c>
      <c r="J1168" s="18">
        <v>2.0</v>
      </c>
      <c r="K1168" s="15"/>
      <c r="L1168" s="15" t="s">
        <v>3328</v>
      </c>
      <c r="M1168" s="15" t="s">
        <v>3329</v>
      </c>
      <c r="N1168" s="15" t="s">
        <v>22</v>
      </c>
      <c r="O1168" s="20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</row>
    <row r="1169">
      <c r="A1169" s="15" t="s">
        <v>14</v>
      </c>
      <c r="B1169" s="15" t="s">
        <v>3324</v>
      </c>
      <c r="C1169" s="33" t="s">
        <v>3600</v>
      </c>
      <c r="D1169" s="15" t="s">
        <v>3325</v>
      </c>
      <c r="E1169" s="15" t="s">
        <v>3326</v>
      </c>
      <c r="F1169" s="15" t="s">
        <v>3327</v>
      </c>
      <c r="G1169" s="15" t="s">
        <v>55</v>
      </c>
      <c r="H1169" s="15" t="s">
        <v>56</v>
      </c>
      <c r="I1169" s="18">
        <v>2.0</v>
      </c>
      <c r="J1169" s="18">
        <v>3.0</v>
      </c>
      <c r="K1169" s="20"/>
      <c r="L1169" s="15" t="s">
        <v>3328</v>
      </c>
      <c r="M1169" s="15" t="s">
        <v>3329</v>
      </c>
      <c r="N1169" s="15" t="s">
        <v>22</v>
      </c>
      <c r="O1169" s="20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</row>
    <row r="1170">
      <c r="A1170" s="15" t="s">
        <v>14</v>
      </c>
      <c r="B1170" s="15" t="s">
        <v>3331</v>
      </c>
      <c r="C1170" s="36" t="s">
        <v>3595</v>
      </c>
      <c r="D1170" s="15" t="s">
        <v>3332</v>
      </c>
      <c r="E1170" s="15" t="s">
        <v>3333</v>
      </c>
      <c r="F1170" s="15" t="s">
        <v>3334</v>
      </c>
      <c r="G1170" s="15" t="s">
        <v>362</v>
      </c>
      <c r="H1170" s="15" t="s">
        <v>301</v>
      </c>
      <c r="I1170" s="18">
        <v>1.0</v>
      </c>
      <c r="J1170" s="18">
        <v>1.0</v>
      </c>
      <c r="K1170" s="15" t="s">
        <v>80</v>
      </c>
      <c r="L1170" s="15" t="s">
        <v>3335</v>
      </c>
      <c r="M1170" s="15" t="s">
        <v>3336</v>
      </c>
      <c r="N1170" s="15" t="s">
        <v>22</v>
      </c>
      <c r="O1170" s="20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</row>
    <row r="1171">
      <c r="A1171" s="15" t="s">
        <v>14</v>
      </c>
      <c r="B1171" s="15" t="s">
        <v>3331</v>
      </c>
      <c r="C1171" s="36" t="s">
        <v>3595</v>
      </c>
      <c r="D1171" s="15" t="s">
        <v>3332</v>
      </c>
      <c r="E1171" s="15" t="s">
        <v>3333</v>
      </c>
      <c r="F1171" s="15" t="s">
        <v>3334</v>
      </c>
      <c r="G1171" s="15" t="s">
        <v>317</v>
      </c>
      <c r="H1171" s="15" t="s">
        <v>3337</v>
      </c>
      <c r="I1171" s="18">
        <v>2.0</v>
      </c>
      <c r="J1171" s="18">
        <v>2.0</v>
      </c>
      <c r="K1171" s="15"/>
      <c r="L1171" s="15" t="s">
        <v>3335</v>
      </c>
      <c r="M1171" s="15" t="s">
        <v>3336</v>
      </c>
      <c r="N1171" s="15" t="s">
        <v>22</v>
      </c>
      <c r="O1171" s="20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</row>
    <row r="1172">
      <c r="A1172" s="15" t="s">
        <v>14</v>
      </c>
      <c r="B1172" s="15" t="s">
        <v>3331</v>
      </c>
      <c r="C1172" s="36" t="s">
        <v>3595</v>
      </c>
      <c r="D1172" s="15" t="s">
        <v>3332</v>
      </c>
      <c r="E1172" s="15" t="s">
        <v>3333</v>
      </c>
      <c r="F1172" s="15" t="s">
        <v>3334</v>
      </c>
      <c r="G1172" s="15" t="s">
        <v>36</v>
      </c>
      <c r="H1172" s="15" t="s">
        <v>24</v>
      </c>
      <c r="I1172" s="18" t="s">
        <v>36</v>
      </c>
      <c r="J1172" s="18">
        <v>3.0</v>
      </c>
      <c r="K1172" s="20"/>
      <c r="L1172" s="15" t="s">
        <v>3335</v>
      </c>
      <c r="M1172" s="15" t="s">
        <v>3336</v>
      </c>
      <c r="N1172" s="15" t="s">
        <v>22</v>
      </c>
      <c r="O1172" s="20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</row>
    <row r="1173">
      <c r="A1173" s="3" t="s">
        <v>14</v>
      </c>
      <c r="B1173" s="3" t="s">
        <v>3338</v>
      </c>
      <c r="C1173" s="33" t="s">
        <v>3600</v>
      </c>
      <c r="D1173" s="3" t="s">
        <v>3338</v>
      </c>
      <c r="E1173" s="3" t="s">
        <v>3339</v>
      </c>
      <c r="F1173" s="3" t="s">
        <v>3339</v>
      </c>
      <c r="G1173" s="3" t="s">
        <v>2003</v>
      </c>
      <c r="H1173" s="3" t="s">
        <v>2003</v>
      </c>
      <c r="I1173" s="4">
        <v>1.0</v>
      </c>
      <c r="J1173" s="4">
        <v>1.0</v>
      </c>
      <c r="K1173" s="5"/>
      <c r="L1173" s="3" t="s">
        <v>3340</v>
      </c>
      <c r="M1173" s="3" t="s">
        <v>1373</v>
      </c>
      <c r="N1173" s="3" t="s">
        <v>22</v>
      </c>
      <c r="O1173" s="5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>
      <c r="A1174" s="3" t="s">
        <v>14</v>
      </c>
      <c r="B1174" s="3" t="s">
        <v>3338</v>
      </c>
      <c r="C1174" s="33" t="s">
        <v>3600</v>
      </c>
      <c r="D1174" s="3" t="s">
        <v>3338</v>
      </c>
      <c r="E1174" s="3" t="s">
        <v>3339</v>
      </c>
      <c r="F1174" s="3" t="s">
        <v>3339</v>
      </c>
      <c r="G1174" s="3" t="s">
        <v>254</v>
      </c>
      <c r="H1174" s="3" t="s">
        <v>254</v>
      </c>
      <c r="I1174" s="4">
        <v>2.0</v>
      </c>
      <c r="J1174" s="4">
        <v>2.0</v>
      </c>
      <c r="K1174" s="5"/>
      <c r="L1174" s="3" t="s">
        <v>3340</v>
      </c>
      <c r="M1174" s="3" t="s">
        <v>1373</v>
      </c>
      <c r="N1174" s="3" t="s">
        <v>22</v>
      </c>
      <c r="O1174" s="5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>
      <c r="A1175" s="15" t="s">
        <v>14</v>
      </c>
      <c r="B1175" s="15" t="s">
        <v>3341</v>
      </c>
      <c r="C1175" s="36" t="s">
        <v>3593</v>
      </c>
      <c r="D1175" s="15" t="s">
        <v>3342</v>
      </c>
      <c r="E1175" s="15" t="s">
        <v>3343</v>
      </c>
      <c r="F1175" s="15" t="s">
        <v>3344</v>
      </c>
      <c r="G1175" s="15" t="s">
        <v>128</v>
      </c>
      <c r="H1175" s="15" t="s">
        <v>36</v>
      </c>
      <c r="I1175" s="18">
        <v>1.0</v>
      </c>
      <c r="J1175" s="18" t="s">
        <v>36</v>
      </c>
      <c r="K1175" s="20"/>
      <c r="L1175" s="15" t="s">
        <v>3345</v>
      </c>
      <c r="M1175" s="15" t="s">
        <v>3346</v>
      </c>
      <c r="N1175" s="15" t="s">
        <v>22</v>
      </c>
      <c r="O1175" s="20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</row>
    <row r="1176">
      <c r="A1176" s="15" t="s">
        <v>14</v>
      </c>
      <c r="B1176" s="15" t="s">
        <v>3341</v>
      </c>
      <c r="C1176" s="36" t="s">
        <v>3593</v>
      </c>
      <c r="D1176" s="15" t="s">
        <v>3342</v>
      </c>
      <c r="E1176" s="15" t="s">
        <v>3343</v>
      </c>
      <c r="F1176" s="15" t="s">
        <v>3344</v>
      </c>
      <c r="G1176" s="15" t="s">
        <v>1075</v>
      </c>
      <c r="H1176" s="15" t="s">
        <v>1075</v>
      </c>
      <c r="I1176" s="18">
        <v>2.0</v>
      </c>
      <c r="J1176" s="18">
        <v>1.0</v>
      </c>
      <c r="K1176" s="20"/>
      <c r="L1176" s="15" t="s">
        <v>3345</v>
      </c>
      <c r="M1176" s="15" t="s">
        <v>3346</v>
      </c>
      <c r="N1176" s="15" t="s">
        <v>22</v>
      </c>
      <c r="O1176" s="20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</row>
    <row r="1177">
      <c r="A1177" s="15" t="s">
        <v>14</v>
      </c>
      <c r="B1177" s="15" t="s">
        <v>3341</v>
      </c>
      <c r="C1177" s="36" t="s">
        <v>3593</v>
      </c>
      <c r="D1177" s="15" t="s">
        <v>3342</v>
      </c>
      <c r="E1177" s="15" t="s">
        <v>3343</v>
      </c>
      <c r="F1177" s="15" t="s">
        <v>3344</v>
      </c>
      <c r="G1177" s="15" t="s">
        <v>362</v>
      </c>
      <c r="H1177" s="15" t="s">
        <v>566</v>
      </c>
      <c r="I1177" s="18">
        <v>3.0</v>
      </c>
      <c r="J1177" s="18">
        <v>2.0</v>
      </c>
      <c r="K1177" s="20"/>
      <c r="L1177" s="15" t="s">
        <v>3345</v>
      </c>
      <c r="M1177" s="15" t="s">
        <v>3346</v>
      </c>
      <c r="N1177" s="15" t="s">
        <v>22</v>
      </c>
      <c r="O1177" s="20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</row>
    <row r="1178">
      <c r="A1178" s="3" t="s">
        <v>14</v>
      </c>
      <c r="B1178" s="3" t="s">
        <v>3347</v>
      </c>
      <c r="C1178" s="33" t="s">
        <v>3600</v>
      </c>
      <c r="D1178" s="3" t="s">
        <v>3347</v>
      </c>
      <c r="E1178" s="3" t="s">
        <v>3348</v>
      </c>
      <c r="F1178" s="3" t="s">
        <v>3348</v>
      </c>
      <c r="G1178" s="3" t="s">
        <v>2700</v>
      </c>
      <c r="H1178" s="3" t="s">
        <v>2700</v>
      </c>
      <c r="I1178" s="4">
        <v>1.0</v>
      </c>
      <c r="J1178" s="4">
        <v>1.0</v>
      </c>
      <c r="K1178" s="5"/>
      <c r="L1178" s="3" t="s">
        <v>3349</v>
      </c>
      <c r="M1178" s="3" t="s">
        <v>3350</v>
      </c>
      <c r="N1178" s="3" t="s">
        <v>22</v>
      </c>
      <c r="O1178" s="5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>
      <c r="A1179" s="3" t="s">
        <v>14</v>
      </c>
      <c r="B1179" s="3" t="s">
        <v>3347</v>
      </c>
      <c r="C1179" s="33" t="s">
        <v>3600</v>
      </c>
      <c r="D1179" s="3" t="s">
        <v>3347</v>
      </c>
      <c r="E1179" s="3" t="s">
        <v>3348</v>
      </c>
      <c r="F1179" s="3" t="s">
        <v>3348</v>
      </c>
      <c r="G1179" s="3" t="s">
        <v>1426</v>
      </c>
      <c r="H1179" s="3" t="s">
        <v>1426</v>
      </c>
      <c r="I1179" s="4">
        <v>2.0</v>
      </c>
      <c r="J1179" s="4">
        <v>2.0</v>
      </c>
      <c r="K1179" s="5"/>
      <c r="L1179" s="3" t="s">
        <v>3349</v>
      </c>
      <c r="M1179" s="3" t="s">
        <v>3350</v>
      </c>
      <c r="N1179" s="3" t="s">
        <v>22</v>
      </c>
      <c r="O1179" s="5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>
      <c r="A1180" s="15" t="s">
        <v>14</v>
      </c>
      <c r="B1180" s="15" t="s">
        <v>3351</v>
      </c>
      <c r="C1180" s="36" t="s">
        <v>3593</v>
      </c>
      <c r="D1180" s="15" t="s">
        <v>3352</v>
      </c>
      <c r="E1180" s="15" t="s">
        <v>3353</v>
      </c>
      <c r="F1180" s="15" t="s">
        <v>3354</v>
      </c>
      <c r="G1180" s="15" t="s">
        <v>753</v>
      </c>
      <c r="H1180" s="15" t="s">
        <v>2834</v>
      </c>
      <c r="I1180" s="18">
        <v>1.0</v>
      </c>
      <c r="J1180" s="18">
        <v>1.0</v>
      </c>
      <c r="K1180" s="20"/>
      <c r="L1180" s="15" t="s">
        <v>3355</v>
      </c>
      <c r="M1180" s="15" t="s">
        <v>3356</v>
      </c>
      <c r="N1180" s="15" t="s">
        <v>22</v>
      </c>
      <c r="O1180" s="20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</row>
    <row r="1181">
      <c r="A1181" s="15" t="s">
        <v>14</v>
      </c>
      <c r="B1181" s="15" t="s">
        <v>3351</v>
      </c>
      <c r="C1181" s="36" t="s">
        <v>3593</v>
      </c>
      <c r="D1181" s="15" t="s">
        <v>3352</v>
      </c>
      <c r="E1181" s="15" t="s">
        <v>3353</v>
      </c>
      <c r="F1181" s="15" t="s">
        <v>3354</v>
      </c>
      <c r="G1181" s="15" t="s">
        <v>3357</v>
      </c>
      <c r="H1181" s="15" t="s">
        <v>3358</v>
      </c>
      <c r="I1181" s="18">
        <v>2.0</v>
      </c>
      <c r="J1181" s="18">
        <v>2.0</v>
      </c>
      <c r="K1181" s="20"/>
      <c r="L1181" s="15" t="s">
        <v>3355</v>
      </c>
      <c r="M1181" s="15" t="s">
        <v>3356</v>
      </c>
      <c r="N1181" s="15" t="s">
        <v>22</v>
      </c>
      <c r="O1181" s="20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</row>
    <row r="1182">
      <c r="A1182" s="15" t="s">
        <v>14</v>
      </c>
      <c r="B1182" s="15" t="s">
        <v>3351</v>
      </c>
      <c r="C1182" s="36" t="s">
        <v>3593</v>
      </c>
      <c r="D1182" s="15" t="s">
        <v>3352</v>
      </c>
      <c r="E1182" s="15" t="s">
        <v>3353</v>
      </c>
      <c r="F1182" s="15" t="s">
        <v>3354</v>
      </c>
      <c r="G1182" s="15" t="s">
        <v>245</v>
      </c>
      <c r="H1182" s="15" t="s">
        <v>36</v>
      </c>
      <c r="I1182" s="18">
        <v>3.0</v>
      </c>
      <c r="J1182" s="18" t="s">
        <v>36</v>
      </c>
      <c r="K1182" s="20"/>
      <c r="L1182" s="15" t="s">
        <v>3355</v>
      </c>
      <c r="M1182" s="15" t="s">
        <v>3356</v>
      </c>
      <c r="N1182" s="15" t="s">
        <v>22</v>
      </c>
      <c r="O1182" s="20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</row>
    <row r="1183">
      <c r="A1183" s="3" t="s">
        <v>14</v>
      </c>
      <c r="B1183" s="3" t="s">
        <v>3359</v>
      </c>
      <c r="C1183" s="36" t="s">
        <v>3597</v>
      </c>
      <c r="D1183" s="3" t="s">
        <v>3360</v>
      </c>
      <c r="E1183" s="3" t="s">
        <v>3361</v>
      </c>
      <c r="F1183" s="3" t="s">
        <v>3362</v>
      </c>
      <c r="G1183" s="3" t="s">
        <v>349</v>
      </c>
      <c r="H1183" s="3" t="s">
        <v>1086</v>
      </c>
      <c r="I1183" s="4">
        <v>1.0</v>
      </c>
      <c r="J1183" s="4">
        <v>1.0</v>
      </c>
      <c r="K1183" s="5"/>
      <c r="L1183" s="3" t="s">
        <v>3363</v>
      </c>
      <c r="M1183" s="3" t="s">
        <v>3364</v>
      </c>
      <c r="N1183" s="3" t="s">
        <v>22</v>
      </c>
      <c r="O1183" s="5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>
      <c r="A1184" s="3" t="s">
        <v>14</v>
      </c>
      <c r="B1184" s="3" t="s">
        <v>3359</v>
      </c>
      <c r="C1184" s="36" t="s">
        <v>3597</v>
      </c>
      <c r="D1184" s="3" t="s">
        <v>3360</v>
      </c>
      <c r="E1184" s="3" t="s">
        <v>3361</v>
      </c>
      <c r="F1184" s="3" t="s">
        <v>3362</v>
      </c>
      <c r="G1184" s="3" t="s">
        <v>214</v>
      </c>
      <c r="H1184" s="3" t="s">
        <v>2332</v>
      </c>
      <c r="I1184" s="4">
        <v>2.0</v>
      </c>
      <c r="J1184" s="4">
        <v>2.0</v>
      </c>
      <c r="K1184" s="5"/>
      <c r="L1184" s="3" t="s">
        <v>3363</v>
      </c>
      <c r="M1184" s="3" t="s">
        <v>3364</v>
      </c>
      <c r="N1184" s="3" t="s">
        <v>22</v>
      </c>
      <c r="O1184" s="5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>
      <c r="A1185" s="3" t="s">
        <v>14</v>
      </c>
      <c r="B1185" s="3" t="s">
        <v>3359</v>
      </c>
      <c r="C1185" s="36" t="s">
        <v>3597</v>
      </c>
      <c r="D1185" s="3" t="s">
        <v>3360</v>
      </c>
      <c r="E1185" s="3" t="s">
        <v>3361</v>
      </c>
      <c r="F1185" s="3" t="s">
        <v>3362</v>
      </c>
      <c r="G1185" s="3" t="s">
        <v>387</v>
      </c>
      <c r="H1185" s="3" t="s">
        <v>387</v>
      </c>
      <c r="I1185" s="4">
        <v>3.0</v>
      </c>
      <c r="J1185" s="4">
        <v>3.0</v>
      </c>
      <c r="K1185" s="5"/>
      <c r="L1185" s="3" t="s">
        <v>3363</v>
      </c>
      <c r="M1185" s="3" t="s">
        <v>3364</v>
      </c>
      <c r="N1185" s="3" t="s">
        <v>22</v>
      </c>
      <c r="O1185" s="5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>
      <c r="A1186" s="3" t="s">
        <v>14</v>
      </c>
      <c r="B1186" s="3" t="s">
        <v>3365</v>
      </c>
      <c r="C1186" s="33" t="s">
        <v>3600</v>
      </c>
      <c r="D1186" s="3" t="s">
        <v>3366</v>
      </c>
      <c r="E1186" s="3" t="s">
        <v>3367</v>
      </c>
      <c r="F1186" s="3" t="s">
        <v>3368</v>
      </c>
      <c r="G1186" s="3" t="s">
        <v>3369</v>
      </c>
      <c r="H1186" s="3" t="s">
        <v>370</v>
      </c>
      <c r="I1186" s="4">
        <v>1.0</v>
      </c>
      <c r="J1186" s="4">
        <v>1.0</v>
      </c>
      <c r="K1186" s="5"/>
      <c r="L1186" s="3" t="s">
        <v>3370</v>
      </c>
      <c r="M1186" s="3" t="s">
        <v>3371</v>
      </c>
      <c r="N1186" s="3" t="s">
        <v>22</v>
      </c>
      <c r="O1186" s="5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>
      <c r="A1187" s="3" t="s">
        <v>14</v>
      </c>
      <c r="B1187" s="3" t="s">
        <v>3365</v>
      </c>
      <c r="C1187" s="33" t="s">
        <v>3600</v>
      </c>
      <c r="D1187" s="3" t="s">
        <v>3366</v>
      </c>
      <c r="E1187" s="3" t="s">
        <v>3367</v>
      </c>
      <c r="F1187" s="3" t="s">
        <v>3368</v>
      </c>
      <c r="G1187" s="3" t="s">
        <v>238</v>
      </c>
      <c r="H1187" s="3" t="s">
        <v>238</v>
      </c>
      <c r="I1187" s="4">
        <v>2.0</v>
      </c>
      <c r="J1187" s="4">
        <v>2.0</v>
      </c>
      <c r="K1187" s="5"/>
      <c r="L1187" s="3" t="s">
        <v>3370</v>
      </c>
      <c r="M1187" s="3" t="s">
        <v>3371</v>
      </c>
      <c r="N1187" s="3" t="s">
        <v>22</v>
      </c>
      <c r="O1187" s="5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>
      <c r="A1188" s="3" t="s">
        <v>14</v>
      </c>
      <c r="B1188" s="3" t="s">
        <v>3372</v>
      </c>
      <c r="C1188" s="36" t="s">
        <v>3597</v>
      </c>
      <c r="D1188" s="3" t="s">
        <v>3373</v>
      </c>
      <c r="E1188" s="3" t="s">
        <v>3374</v>
      </c>
      <c r="F1188" s="3" t="s">
        <v>3375</v>
      </c>
      <c r="G1188" s="3" t="s">
        <v>108</v>
      </c>
      <c r="H1188" s="3" t="s">
        <v>175</v>
      </c>
      <c r="I1188" s="4">
        <v>1.0</v>
      </c>
      <c r="J1188" s="4">
        <v>1.0</v>
      </c>
      <c r="K1188" s="5"/>
      <c r="L1188" s="3" t="s">
        <v>3376</v>
      </c>
      <c r="M1188" s="3" t="s">
        <v>3377</v>
      </c>
      <c r="N1188" s="3" t="s">
        <v>22</v>
      </c>
      <c r="O1188" s="5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>
      <c r="A1189" s="3" t="s">
        <v>14</v>
      </c>
      <c r="B1189" s="3" t="s">
        <v>3372</v>
      </c>
      <c r="C1189" s="36" t="s">
        <v>3597</v>
      </c>
      <c r="D1189" s="3" t="s">
        <v>3373</v>
      </c>
      <c r="E1189" s="3" t="s">
        <v>3374</v>
      </c>
      <c r="F1189" s="3" t="s">
        <v>3375</v>
      </c>
      <c r="G1189" s="3" t="s">
        <v>918</v>
      </c>
      <c r="H1189" s="3" t="s">
        <v>918</v>
      </c>
      <c r="I1189" s="4">
        <v>2.0</v>
      </c>
      <c r="J1189" s="4">
        <v>2.0</v>
      </c>
      <c r="K1189" s="5"/>
      <c r="L1189" s="3" t="s">
        <v>3376</v>
      </c>
      <c r="M1189" s="3" t="s">
        <v>3377</v>
      </c>
      <c r="N1189" s="3" t="s">
        <v>22</v>
      </c>
      <c r="O1189" s="5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>
      <c r="A1190" s="3" t="s">
        <v>14</v>
      </c>
      <c r="B1190" s="3" t="s">
        <v>3372</v>
      </c>
      <c r="C1190" s="36" t="s">
        <v>3597</v>
      </c>
      <c r="D1190" s="3" t="s">
        <v>3373</v>
      </c>
      <c r="E1190" s="3" t="s">
        <v>3374</v>
      </c>
      <c r="F1190" s="3" t="s">
        <v>3375</v>
      </c>
      <c r="G1190" s="3" t="s">
        <v>296</v>
      </c>
      <c r="H1190" s="3" t="s">
        <v>296</v>
      </c>
      <c r="I1190" s="4">
        <v>3.0</v>
      </c>
      <c r="J1190" s="4">
        <v>3.0</v>
      </c>
      <c r="K1190" s="5"/>
      <c r="L1190" s="3" t="s">
        <v>3376</v>
      </c>
      <c r="M1190" s="3" t="s">
        <v>3377</v>
      </c>
      <c r="N1190" s="3" t="s">
        <v>22</v>
      </c>
      <c r="O1190" s="5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>
      <c r="A1191" s="3" t="s">
        <v>14</v>
      </c>
      <c r="B1191" s="3" t="s">
        <v>3378</v>
      </c>
      <c r="C1191" s="36" t="s">
        <v>3609</v>
      </c>
      <c r="D1191" s="3" t="s">
        <v>3379</v>
      </c>
      <c r="E1191" s="3" t="s">
        <v>3380</v>
      </c>
      <c r="F1191" s="3" t="s">
        <v>3381</v>
      </c>
      <c r="G1191" s="3" t="s">
        <v>108</v>
      </c>
      <c r="H1191" s="3" t="s">
        <v>109</v>
      </c>
      <c r="I1191" s="4">
        <v>1.0</v>
      </c>
      <c r="J1191" s="4">
        <v>1.0</v>
      </c>
      <c r="K1191" s="3" t="s">
        <v>72</v>
      </c>
      <c r="L1191" s="3" t="s">
        <v>3382</v>
      </c>
      <c r="M1191" s="3" t="s">
        <v>3383</v>
      </c>
      <c r="N1191" s="3" t="s">
        <v>22</v>
      </c>
      <c r="O1191" s="5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>
      <c r="A1192" s="3" t="s">
        <v>14</v>
      </c>
      <c r="B1192" s="3" t="s">
        <v>3378</v>
      </c>
      <c r="C1192" s="36" t="s">
        <v>3609</v>
      </c>
      <c r="D1192" s="3" t="s">
        <v>3379</v>
      </c>
      <c r="E1192" s="3" t="s">
        <v>3380</v>
      </c>
      <c r="F1192" s="3" t="s">
        <v>3381</v>
      </c>
      <c r="G1192" s="3" t="s">
        <v>197</v>
      </c>
      <c r="H1192" s="3" t="s">
        <v>36</v>
      </c>
      <c r="I1192" s="4">
        <v>2.0</v>
      </c>
      <c r="J1192" s="4" t="s">
        <v>36</v>
      </c>
      <c r="K1192" s="5"/>
      <c r="L1192" s="3" t="s">
        <v>3382</v>
      </c>
      <c r="M1192" s="3" t="s">
        <v>3383</v>
      </c>
      <c r="N1192" s="3" t="s">
        <v>22</v>
      </c>
      <c r="O1192" s="5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>
      <c r="A1193" s="3" t="s">
        <v>14</v>
      </c>
      <c r="B1193" s="3" t="s">
        <v>3378</v>
      </c>
      <c r="C1193" s="36" t="s">
        <v>3609</v>
      </c>
      <c r="D1193" s="3" t="s">
        <v>3379</v>
      </c>
      <c r="E1193" s="3" t="s">
        <v>3380</v>
      </c>
      <c r="F1193" s="3" t="s">
        <v>3381</v>
      </c>
      <c r="G1193" s="3" t="s">
        <v>181</v>
      </c>
      <c r="H1193" s="3" t="s">
        <v>428</v>
      </c>
      <c r="I1193" s="4">
        <v>3.0</v>
      </c>
      <c r="J1193" s="4">
        <v>2.0</v>
      </c>
      <c r="K1193" s="3"/>
      <c r="L1193" s="3" t="s">
        <v>3382</v>
      </c>
      <c r="M1193" s="3" t="s">
        <v>3383</v>
      </c>
      <c r="N1193" s="3" t="s">
        <v>22</v>
      </c>
      <c r="O1193" s="5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>
      <c r="A1194" s="3" t="s">
        <v>14</v>
      </c>
      <c r="B1194" s="3" t="s">
        <v>3384</v>
      </c>
      <c r="C1194" s="33" t="s">
        <v>3600</v>
      </c>
      <c r="D1194" s="3" t="s">
        <v>3385</v>
      </c>
      <c r="E1194" s="3" t="s">
        <v>3386</v>
      </c>
      <c r="F1194" s="3" t="s">
        <v>3387</v>
      </c>
      <c r="G1194" s="3" t="s">
        <v>194</v>
      </c>
      <c r="H1194" s="3" t="s">
        <v>810</v>
      </c>
      <c r="I1194" s="4">
        <v>1.0</v>
      </c>
      <c r="J1194" s="4">
        <v>1.0</v>
      </c>
      <c r="K1194" s="5"/>
      <c r="L1194" s="3" t="s">
        <v>3388</v>
      </c>
      <c r="M1194" s="3" t="s">
        <v>3389</v>
      </c>
      <c r="N1194" s="3" t="s">
        <v>22</v>
      </c>
      <c r="O1194" s="5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>
      <c r="A1195" s="3" t="s">
        <v>14</v>
      </c>
      <c r="B1195" s="3" t="s">
        <v>3384</v>
      </c>
      <c r="C1195" s="33" t="s">
        <v>3600</v>
      </c>
      <c r="D1195" s="3" t="s">
        <v>3385</v>
      </c>
      <c r="E1195" s="3" t="s">
        <v>3386</v>
      </c>
      <c r="F1195" s="3" t="s">
        <v>3387</v>
      </c>
      <c r="G1195" s="3" t="s">
        <v>840</v>
      </c>
      <c r="H1195" s="3" t="s">
        <v>49</v>
      </c>
      <c r="I1195" s="4">
        <v>2.0</v>
      </c>
      <c r="J1195" s="4">
        <v>2.0</v>
      </c>
      <c r="K1195" s="5"/>
      <c r="L1195" s="3" t="s">
        <v>3388</v>
      </c>
      <c r="M1195" s="3" t="s">
        <v>3389</v>
      </c>
      <c r="N1195" s="3" t="s">
        <v>22</v>
      </c>
      <c r="O1195" s="5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>
      <c r="A1196" s="3" t="s">
        <v>14</v>
      </c>
      <c r="B1196" s="3" t="s">
        <v>3390</v>
      </c>
      <c r="C1196" s="33" t="s">
        <v>3600</v>
      </c>
      <c r="D1196" s="3" t="s">
        <v>3391</v>
      </c>
      <c r="E1196" s="3" t="s">
        <v>3392</v>
      </c>
      <c r="F1196" s="3" t="s">
        <v>3393</v>
      </c>
      <c r="G1196" s="3" t="s">
        <v>614</v>
      </c>
      <c r="H1196" s="3" t="s">
        <v>1032</v>
      </c>
      <c r="I1196" s="4">
        <v>1.0</v>
      </c>
      <c r="J1196" s="4">
        <v>1.0</v>
      </c>
      <c r="K1196" s="5"/>
      <c r="L1196" s="3" t="s">
        <v>3394</v>
      </c>
      <c r="M1196" s="3" t="s">
        <v>3395</v>
      </c>
      <c r="N1196" s="3" t="s">
        <v>22</v>
      </c>
      <c r="O1196" s="5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>
      <c r="A1197" s="3" t="s">
        <v>14</v>
      </c>
      <c r="B1197" s="3" t="s">
        <v>3390</v>
      </c>
      <c r="C1197" s="33" t="s">
        <v>3600</v>
      </c>
      <c r="D1197" s="3" t="s">
        <v>3391</v>
      </c>
      <c r="E1197" s="3" t="s">
        <v>3392</v>
      </c>
      <c r="F1197" s="3" t="s">
        <v>3393</v>
      </c>
      <c r="G1197" s="3" t="s">
        <v>840</v>
      </c>
      <c r="H1197" s="3" t="s">
        <v>840</v>
      </c>
      <c r="I1197" s="4">
        <v>2.0</v>
      </c>
      <c r="J1197" s="4">
        <v>2.0</v>
      </c>
      <c r="K1197" s="5"/>
      <c r="L1197" s="3" t="s">
        <v>3394</v>
      </c>
      <c r="M1197" s="3" t="s">
        <v>3395</v>
      </c>
      <c r="N1197" s="3" t="s">
        <v>22</v>
      </c>
      <c r="O1197" s="5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>
      <c r="A1198" s="3" t="s">
        <v>14</v>
      </c>
      <c r="B1198" s="3" t="s">
        <v>3396</v>
      </c>
      <c r="C1198" s="36" t="s">
        <v>3595</v>
      </c>
      <c r="D1198" s="3" t="s">
        <v>3397</v>
      </c>
      <c r="E1198" s="3" t="s">
        <v>3398</v>
      </c>
      <c r="F1198" s="3" t="s">
        <v>3399</v>
      </c>
      <c r="G1198" s="3" t="s">
        <v>244</v>
      </c>
      <c r="H1198" s="3" t="s">
        <v>1686</v>
      </c>
      <c r="I1198" s="4">
        <v>1.0</v>
      </c>
      <c r="J1198" s="4">
        <v>1.0</v>
      </c>
      <c r="K1198" s="5"/>
      <c r="L1198" s="3" t="s">
        <v>3400</v>
      </c>
      <c r="M1198" s="3" t="s">
        <v>3401</v>
      </c>
      <c r="N1198" s="3" t="s">
        <v>22</v>
      </c>
      <c r="O1198" s="5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>
      <c r="A1199" s="3" t="s">
        <v>14</v>
      </c>
      <c r="B1199" s="3" t="s">
        <v>3396</v>
      </c>
      <c r="C1199" s="36" t="s">
        <v>3595</v>
      </c>
      <c r="D1199" s="3" t="s">
        <v>3397</v>
      </c>
      <c r="E1199" s="3" t="s">
        <v>3398</v>
      </c>
      <c r="F1199" s="3" t="s">
        <v>3399</v>
      </c>
      <c r="G1199" s="3" t="s">
        <v>469</v>
      </c>
      <c r="H1199" s="3" t="s">
        <v>3402</v>
      </c>
      <c r="I1199" s="4">
        <v>2.0</v>
      </c>
      <c r="J1199" s="4">
        <v>2.0</v>
      </c>
      <c r="K1199" s="5"/>
      <c r="L1199" s="3" t="s">
        <v>3400</v>
      </c>
      <c r="M1199" s="3" t="s">
        <v>3401</v>
      </c>
      <c r="N1199" s="3" t="s">
        <v>22</v>
      </c>
      <c r="O1199" s="5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>
      <c r="A1200" s="3" t="s">
        <v>14</v>
      </c>
      <c r="B1200" s="3" t="s">
        <v>3403</v>
      </c>
      <c r="C1200" s="33" t="s">
        <v>3600</v>
      </c>
      <c r="D1200" s="3" t="s">
        <v>3404</v>
      </c>
      <c r="E1200" s="3" t="s">
        <v>3405</v>
      </c>
      <c r="F1200" s="3" t="s">
        <v>3406</v>
      </c>
      <c r="G1200" s="3" t="s">
        <v>614</v>
      </c>
      <c r="H1200" s="3" t="s">
        <v>615</v>
      </c>
      <c r="I1200" s="4">
        <v>1.0</v>
      </c>
      <c r="J1200" s="4">
        <v>1.0</v>
      </c>
      <c r="K1200" s="5"/>
      <c r="L1200" s="3" t="s">
        <v>3407</v>
      </c>
      <c r="M1200" s="3" t="s">
        <v>3408</v>
      </c>
      <c r="N1200" s="3" t="s">
        <v>22</v>
      </c>
      <c r="O1200" s="5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>
      <c r="A1201" s="3" t="s">
        <v>14</v>
      </c>
      <c r="B1201" s="3" t="s">
        <v>3403</v>
      </c>
      <c r="C1201" s="33" t="s">
        <v>3600</v>
      </c>
      <c r="D1201" s="3" t="s">
        <v>3404</v>
      </c>
      <c r="E1201" s="3" t="s">
        <v>3405</v>
      </c>
      <c r="F1201" s="3" t="s">
        <v>3406</v>
      </c>
      <c r="G1201" s="3" t="s">
        <v>116</v>
      </c>
      <c r="H1201" s="3" t="s">
        <v>116</v>
      </c>
      <c r="I1201" s="4">
        <v>2.0</v>
      </c>
      <c r="J1201" s="4">
        <v>2.0</v>
      </c>
      <c r="K1201" s="5"/>
      <c r="L1201" s="3" t="s">
        <v>3407</v>
      </c>
      <c r="M1201" s="3" t="s">
        <v>3408</v>
      </c>
      <c r="N1201" s="3" t="s">
        <v>22</v>
      </c>
      <c r="O1201" s="5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>
      <c r="A1202" s="3" t="s">
        <v>14</v>
      </c>
      <c r="B1202" s="3" t="s">
        <v>3409</v>
      </c>
      <c r="C1202" s="36" t="s">
        <v>3597</v>
      </c>
      <c r="D1202" s="3" t="s">
        <v>3410</v>
      </c>
      <c r="E1202" s="3" t="s">
        <v>3411</v>
      </c>
      <c r="F1202" s="3" t="s">
        <v>3412</v>
      </c>
      <c r="G1202" s="3" t="s">
        <v>55</v>
      </c>
      <c r="H1202" s="3" t="s">
        <v>56</v>
      </c>
      <c r="I1202" s="4">
        <v>1.0</v>
      </c>
      <c r="J1202" s="4">
        <v>1.0</v>
      </c>
      <c r="K1202" s="5"/>
      <c r="L1202" s="3" t="s">
        <v>3413</v>
      </c>
      <c r="M1202" s="3" t="s">
        <v>3414</v>
      </c>
      <c r="N1202" s="3" t="s">
        <v>22</v>
      </c>
      <c r="O1202" s="5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>
      <c r="A1203" s="3" t="s">
        <v>14</v>
      </c>
      <c r="B1203" s="3" t="s">
        <v>3409</v>
      </c>
      <c r="C1203" s="36" t="s">
        <v>3597</v>
      </c>
      <c r="D1203" s="3" t="s">
        <v>3410</v>
      </c>
      <c r="E1203" s="3" t="s">
        <v>3411</v>
      </c>
      <c r="F1203" s="3" t="s">
        <v>3412</v>
      </c>
      <c r="G1203" s="3" t="s">
        <v>214</v>
      </c>
      <c r="H1203" s="3" t="s">
        <v>3321</v>
      </c>
      <c r="I1203" s="4">
        <v>2.0</v>
      </c>
      <c r="J1203" s="4">
        <v>2.0</v>
      </c>
      <c r="K1203" s="5"/>
      <c r="L1203" s="3" t="s">
        <v>3413</v>
      </c>
      <c r="M1203" s="3" t="s">
        <v>3414</v>
      </c>
      <c r="N1203" s="3" t="s">
        <v>22</v>
      </c>
      <c r="O1203" s="5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>
      <c r="A1204" s="3" t="s">
        <v>14</v>
      </c>
      <c r="B1204" s="3" t="s">
        <v>3409</v>
      </c>
      <c r="C1204" s="36" t="s">
        <v>3597</v>
      </c>
      <c r="D1204" s="3" t="s">
        <v>3410</v>
      </c>
      <c r="E1204" s="3" t="s">
        <v>3411</v>
      </c>
      <c r="F1204" s="3" t="s">
        <v>3412</v>
      </c>
      <c r="G1204" s="3" t="s">
        <v>387</v>
      </c>
      <c r="H1204" s="3" t="s">
        <v>387</v>
      </c>
      <c r="I1204" s="4">
        <v>3.0</v>
      </c>
      <c r="J1204" s="4">
        <v>3.0</v>
      </c>
      <c r="K1204" s="5"/>
      <c r="L1204" s="3" t="s">
        <v>3413</v>
      </c>
      <c r="M1204" s="3" t="s">
        <v>3414</v>
      </c>
      <c r="N1204" s="3" t="s">
        <v>22</v>
      </c>
      <c r="O1204" s="5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>
      <c r="A1205" s="15" t="s">
        <v>14</v>
      </c>
      <c r="B1205" s="15" t="s">
        <v>3415</v>
      </c>
      <c r="C1205" s="33" t="s">
        <v>3613</v>
      </c>
      <c r="D1205" s="15" t="s">
        <v>3416</v>
      </c>
      <c r="E1205" s="15" t="s">
        <v>3417</v>
      </c>
      <c r="F1205" s="15" t="s">
        <v>3418</v>
      </c>
      <c r="G1205" s="15" t="s">
        <v>19</v>
      </c>
      <c r="H1205" s="15" t="s">
        <v>19</v>
      </c>
      <c r="I1205" s="18">
        <v>1.0</v>
      </c>
      <c r="J1205" s="18">
        <v>1.0</v>
      </c>
      <c r="K1205" s="15" t="s">
        <v>80</v>
      </c>
      <c r="L1205" s="15" t="s">
        <v>3419</v>
      </c>
      <c r="M1205" s="15" t="s">
        <v>3419</v>
      </c>
      <c r="N1205" s="15" t="s">
        <v>22</v>
      </c>
      <c r="O1205" s="20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</row>
    <row r="1206">
      <c r="A1206" s="15" t="s">
        <v>14</v>
      </c>
      <c r="B1206" s="15" t="s">
        <v>3415</v>
      </c>
      <c r="C1206" s="33" t="s">
        <v>3613</v>
      </c>
      <c r="D1206" s="15" t="s">
        <v>3416</v>
      </c>
      <c r="E1206" s="15" t="s">
        <v>3417</v>
      </c>
      <c r="F1206" s="15" t="s">
        <v>3418</v>
      </c>
      <c r="G1206" s="15" t="s">
        <v>1186</v>
      </c>
      <c r="H1206" s="15" t="s">
        <v>3420</v>
      </c>
      <c r="I1206" s="18">
        <v>2.0</v>
      </c>
      <c r="J1206" s="18">
        <v>2.0</v>
      </c>
      <c r="K1206" s="15"/>
      <c r="L1206" s="15" t="s">
        <v>3419</v>
      </c>
      <c r="M1206" s="15" t="s">
        <v>3419</v>
      </c>
      <c r="N1206" s="15" t="s">
        <v>22</v>
      </c>
      <c r="O1206" s="20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</row>
    <row r="1207">
      <c r="A1207" s="15" t="s">
        <v>14</v>
      </c>
      <c r="B1207" s="15" t="s">
        <v>3415</v>
      </c>
      <c r="C1207" s="33" t="s">
        <v>3613</v>
      </c>
      <c r="D1207" s="15" t="s">
        <v>3416</v>
      </c>
      <c r="E1207" s="15" t="s">
        <v>3417</v>
      </c>
      <c r="F1207" s="15" t="s">
        <v>3418</v>
      </c>
      <c r="G1207" s="15" t="s">
        <v>175</v>
      </c>
      <c r="H1207" s="15" t="s">
        <v>175</v>
      </c>
      <c r="I1207" s="18">
        <v>3.0</v>
      </c>
      <c r="J1207" s="18">
        <v>3.0</v>
      </c>
      <c r="K1207" s="20"/>
      <c r="L1207" s="15" t="s">
        <v>3419</v>
      </c>
      <c r="M1207" s="15" t="s">
        <v>3419</v>
      </c>
      <c r="N1207" s="15" t="s">
        <v>22</v>
      </c>
      <c r="O1207" s="20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</row>
    <row r="1208">
      <c r="A1208" s="3" t="s">
        <v>14</v>
      </c>
      <c r="B1208" s="3" t="s">
        <v>3421</v>
      </c>
      <c r="C1208" s="36" t="s">
        <v>3595</v>
      </c>
      <c r="D1208" s="3" t="s">
        <v>3422</v>
      </c>
      <c r="E1208" s="3" t="s">
        <v>3423</v>
      </c>
      <c r="F1208" s="3" t="s">
        <v>3424</v>
      </c>
      <c r="G1208" s="3" t="s">
        <v>386</v>
      </c>
      <c r="H1208" s="3" t="s">
        <v>190</v>
      </c>
      <c r="I1208" s="4">
        <v>1.0</v>
      </c>
      <c r="J1208" s="4">
        <v>1.0</v>
      </c>
      <c r="K1208" s="3" t="s">
        <v>72</v>
      </c>
      <c r="L1208" s="3" t="s">
        <v>3425</v>
      </c>
      <c r="M1208" s="3" t="s">
        <v>3426</v>
      </c>
      <c r="N1208" s="3" t="s">
        <v>22</v>
      </c>
      <c r="O1208" s="5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>
      <c r="A1209" s="3" t="s">
        <v>14</v>
      </c>
      <c r="B1209" s="3" t="s">
        <v>3421</v>
      </c>
      <c r="C1209" s="36" t="s">
        <v>3595</v>
      </c>
      <c r="D1209" s="3" t="s">
        <v>3422</v>
      </c>
      <c r="E1209" s="3" t="s">
        <v>3423</v>
      </c>
      <c r="F1209" s="3" t="s">
        <v>3424</v>
      </c>
      <c r="G1209" s="3" t="s">
        <v>70</v>
      </c>
      <c r="H1209" s="3" t="s">
        <v>3427</v>
      </c>
      <c r="I1209" s="4">
        <v>2.0</v>
      </c>
      <c r="J1209" s="4">
        <v>2.0</v>
      </c>
      <c r="K1209" s="3"/>
      <c r="L1209" s="3" t="s">
        <v>3425</v>
      </c>
      <c r="M1209" s="3" t="s">
        <v>3426</v>
      </c>
      <c r="N1209" s="3" t="s">
        <v>22</v>
      </c>
      <c r="O1209" s="5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>
      <c r="A1210" s="15" t="s">
        <v>14</v>
      </c>
      <c r="B1210" s="15" t="s">
        <v>2092</v>
      </c>
      <c r="C1210" s="33" t="s">
        <v>3622</v>
      </c>
      <c r="D1210" s="15" t="s">
        <v>3428</v>
      </c>
      <c r="E1210" s="15" t="s">
        <v>2092</v>
      </c>
      <c r="F1210" s="15" t="s">
        <v>3429</v>
      </c>
      <c r="G1210" s="15"/>
      <c r="H1210" s="15"/>
      <c r="I1210" s="18"/>
      <c r="J1210" s="30"/>
      <c r="K1210" s="20"/>
      <c r="L1210" s="15" t="s">
        <v>3430</v>
      </c>
      <c r="M1210" s="15" t="s">
        <v>3431</v>
      </c>
      <c r="N1210" s="15" t="s">
        <v>22</v>
      </c>
      <c r="O1210" s="15" t="s">
        <v>560</v>
      </c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</row>
    <row r="1211">
      <c r="A1211" s="3" t="s">
        <v>14</v>
      </c>
      <c r="B1211" s="3" t="s">
        <v>3432</v>
      </c>
      <c r="C1211" s="33" t="s">
        <v>3604</v>
      </c>
      <c r="D1211" s="3" t="s">
        <v>3433</v>
      </c>
      <c r="E1211" s="3" t="s">
        <v>3434</v>
      </c>
      <c r="F1211" s="3" t="s">
        <v>3435</v>
      </c>
      <c r="G1211" s="3" t="s">
        <v>3436</v>
      </c>
      <c r="H1211" s="3" t="s">
        <v>3437</v>
      </c>
      <c r="I1211" s="4">
        <v>1.0</v>
      </c>
      <c r="J1211" s="4">
        <v>1.0</v>
      </c>
      <c r="K1211" s="5"/>
      <c r="L1211" s="3" t="s">
        <v>3431</v>
      </c>
      <c r="M1211" s="3" t="s">
        <v>3438</v>
      </c>
      <c r="N1211" s="3" t="s">
        <v>22</v>
      </c>
      <c r="O1211" s="5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>
      <c r="A1212" s="3" t="s">
        <v>14</v>
      </c>
      <c r="B1212" s="3" t="s">
        <v>3432</v>
      </c>
      <c r="C1212" s="33" t="s">
        <v>3604</v>
      </c>
      <c r="D1212" s="3" t="s">
        <v>3433</v>
      </c>
      <c r="E1212" s="3" t="s">
        <v>3434</v>
      </c>
      <c r="F1212" s="3" t="s">
        <v>3435</v>
      </c>
      <c r="G1212" s="3" t="s">
        <v>848</v>
      </c>
      <c r="H1212" s="3" t="s">
        <v>987</v>
      </c>
      <c r="I1212" s="4">
        <v>2.0</v>
      </c>
      <c r="J1212" s="4">
        <v>2.0</v>
      </c>
      <c r="K1212" s="5"/>
      <c r="L1212" s="3" t="s">
        <v>3431</v>
      </c>
      <c r="M1212" s="3" t="s">
        <v>3438</v>
      </c>
      <c r="N1212" s="3" t="s">
        <v>22</v>
      </c>
      <c r="O1212" s="5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>
      <c r="A1213" s="3" t="s">
        <v>14</v>
      </c>
      <c r="B1213" s="3" t="s">
        <v>3432</v>
      </c>
      <c r="C1213" s="33" t="s">
        <v>3604</v>
      </c>
      <c r="D1213" s="3" t="s">
        <v>3433</v>
      </c>
      <c r="E1213" s="3" t="s">
        <v>3434</v>
      </c>
      <c r="F1213" s="3" t="s">
        <v>3435</v>
      </c>
      <c r="G1213" s="3" t="s">
        <v>233</v>
      </c>
      <c r="H1213" s="3" t="s">
        <v>1234</v>
      </c>
      <c r="I1213" s="4">
        <v>3.0</v>
      </c>
      <c r="J1213" s="4">
        <v>3.0</v>
      </c>
      <c r="K1213" s="5"/>
      <c r="L1213" s="3" t="s">
        <v>3431</v>
      </c>
      <c r="M1213" s="3" t="s">
        <v>3438</v>
      </c>
      <c r="N1213" s="3" t="s">
        <v>22</v>
      </c>
      <c r="O1213" s="5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>
      <c r="A1214" s="3" t="s">
        <v>14</v>
      </c>
      <c r="B1214" s="3" t="s">
        <v>3439</v>
      </c>
      <c r="C1214" s="36" t="s">
        <v>3609</v>
      </c>
      <c r="D1214" s="3" t="s">
        <v>3440</v>
      </c>
      <c r="E1214" s="3" t="s">
        <v>3441</v>
      </c>
      <c r="F1214" s="3" t="s">
        <v>3442</v>
      </c>
      <c r="G1214" s="3" t="s">
        <v>437</v>
      </c>
      <c r="H1214" s="3" t="s">
        <v>1599</v>
      </c>
      <c r="I1214" s="4">
        <v>1.0</v>
      </c>
      <c r="J1214" s="4">
        <v>1.0</v>
      </c>
      <c r="K1214" s="3" t="s">
        <v>80</v>
      </c>
      <c r="L1214" s="3" t="s">
        <v>3443</v>
      </c>
      <c r="M1214" s="3" t="s">
        <v>3443</v>
      </c>
      <c r="N1214" s="3" t="s">
        <v>22</v>
      </c>
      <c r="O1214" s="5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>
      <c r="A1215" s="3" t="s">
        <v>14</v>
      </c>
      <c r="B1215" s="3" t="s">
        <v>3439</v>
      </c>
      <c r="C1215" s="36" t="s">
        <v>3609</v>
      </c>
      <c r="D1215" s="3" t="s">
        <v>3440</v>
      </c>
      <c r="E1215" s="3" t="s">
        <v>3441</v>
      </c>
      <c r="F1215" s="3" t="s">
        <v>3442</v>
      </c>
      <c r="G1215" s="3" t="s">
        <v>784</v>
      </c>
      <c r="H1215" s="3" t="s">
        <v>784</v>
      </c>
      <c r="I1215" s="4">
        <v>2.0</v>
      </c>
      <c r="J1215" s="4">
        <v>2.0</v>
      </c>
      <c r="K1215" s="3"/>
      <c r="L1215" s="3" t="s">
        <v>3443</v>
      </c>
      <c r="M1215" s="3" t="s">
        <v>3443</v>
      </c>
      <c r="N1215" s="3" t="s">
        <v>22</v>
      </c>
      <c r="O1215" s="5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>
      <c r="A1216" s="3" t="s">
        <v>14</v>
      </c>
      <c r="B1216" s="3" t="s">
        <v>3439</v>
      </c>
      <c r="C1216" s="36" t="s">
        <v>3609</v>
      </c>
      <c r="D1216" s="3" t="s">
        <v>3440</v>
      </c>
      <c r="E1216" s="3" t="s">
        <v>3441</v>
      </c>
      <c r="F1216" s="3" t="s">
        <v>3442</v>
      </c>
      <c r="G1216" s="3" t="s">
        <v>629</v>
      </c>
      <c r="H1216" s="3" t="s">
        <v>3444</v>
      </c>
      <c r="I1216" s="4">
        <v>3.0</v>
      </c>
      <c r="J1216" s="4">
        <v>3.0</v>
      </c>
      <c r="K1216" s="3"/>
      <c r="L1216" s="3" t="s">
        <v>3443</v>
      </c>
      <c r="M1216" s="3" t="s">
        <v>3443</v>
      </c>
      <c r="N1216" s="3" t="s">
        <v>22</v>
      </c>
      <c r="O1216" s="5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>
      <c r="A1217" s="3" t="s">
        <v>14</v>
      </c>
      <c r="B1217" s="3" t="s">
        <v>3445</v>
      </c>
      <c r="C1217" s="36" t="s">
        <v>3609</v>
      </c>
      <c r="D1217" s="3" t="s">
        <v>3446</v>
      </c>
      <c r="E1217" s="3" t="s">
        <v>3447</v>
      </c>
      <c r="F1217" s="3" t="s">
        <v>3448</v>
      </c>
      <c r="G1217" s="3" t="s">
        <v>2013</v>
      </c>
      <c r="H1217" s="3" t="s">
        <v>3449</v>
      </c>
      <c r="I1217" s="4">
        <v>1.0</v>
      </c>
      <c r="J1217" s="4">
        <v>1.0</v>
      </c>
      <c r="K1217" s="3" t="s">
        <v>72</v>
      </c>
      <c r="L1217" s="3" t="s">
        <v>3450</v>
      </c>
      <c r="M1217" s="3" t="s">
        <v>3451</v>
      </c>
      <c r="N1217" s="3" t="s">
        <v>22</v>
      </c>
      <c r="O1217" s="5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>
      <c r="A1218" s="3" t="s">
        <v>14</v>
      </c>
      <c r="B1218" s="3" t="s">
        <v>3445</v>
      </c>
      <c r="C1218" s="36" t="s">
        <v>3609</v>
      </c>
      <c r="D1218" s="3" t="s">
        <v>3446</v>
      </c>
      <c r="E1218" s="3" t="s">
        <v>3447</v>
      </c>
      <c r="F1218" s="3" t="s">
        <v>3448</v>
      </c>
      <c r="G1218" s="3" t="s">
        <v>1807</v>
      </c>
      <c r="H1218" s="3" t="s">
        <v>784</v>
      </c>
      <c r="I1218" s="4">
        <v>2.0</v>
      </c>
      <c r="J1218" s="4">
        <v>2.0</v>
      </c>
      <c r="K1218" s="5"/>
      <c r="L1218" s="3" t="s">
        <v>3450</v>
      </c>
      <c r="M1218" s="3" t="s">
        <v>3451</v>
      </c>
      <c r="N1218" s="3" t="s">
        <v>22</v>
      </c>
      <c r="O1218" s="5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>
      <c r="A1219" s="3" t="s">
        <v>14</v>
      </c>
      <c r="B1219" s="3" t="s">
        <v>3445</v>
      </c>
      <c r="C1219" s="36" t="s">
        <v>3609</v>
      </c>
      <c r="D1219" s="3" t="s">
        <v>3446</v>
      </c>
      <c r="E1219" s="3" t="s">
        <v>3447</v>
      </c>
      <c r="F1219" s="3" t="s">
        <v>3448</v>
      </c>
      <c r="G1219" s="3" t="s">
        <v>194</v>
      </c>
      <c r="H1219" s="3" t="s">
        <v>194</v>
      </c>
      <c r="I1219" s="4">
        <v>3.0</v>
      </c>
      <c r="J1219" s="4">
        <v>3.0</v>
      </c>
      <c r="K1219" s="5"/>
      <c r="L1219" s="3" t="s">
        <v>3450</v>
      </c>
      <c r="M1219" s="3" t="s">
        <v>3451</v>
      </c>
      <c r="N1219" s="3" t="s">
        <v>22</v>
      </c>
      <c r="O1219" s="5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>
      <c r="A1220" s="15" t="s">
        <v>14</v>
      </c>
      <c r="B1220" s="15" t="s">
        <v>3452</v>
      </c>
      <c r="C1220" s="36" t="s">
        <v>3619</v>
      </c>
      <c r="D1220" s="15" t="s">
        <v>3453</v>
      </c>
      <c r="E1220" s="15" t="s">
        <v>3454</v>
      </c>
      <c r="F1220" s="15" t="s">
        <v>3455</v>
      </c>
      <c r="G1220" s="15" t="s">
        <v>801</v>
      </c>
      <c r="H1220" s="15" t="s">
        <v>3456</v>
      </c>
      <c r="I1220" s="18">
        <v>1.0</v>
      </c>
      <c r="J1220" s="18">
        <v>1.0</v>
      </c>
      <c r="K1220" s="20"/>
      <c r="L1220" s="15" t="s">
        <v>3457</v>
      </c>
      <c r="M1220" s="15" t="s">
        <v>3458</v>
      </c>
      <c r="N1220" s="15" t="s">
        <v>22</v>
      </c>
      <c r="O1220" s="20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</row>
    <row r="1221">
      <c r="A1221" s="15" t="s">
        <v>14</v>
      </c>
      <c r="B1221" s="15" t="s">
        <v>3452</v>
      </c>
      <c r="C1221" s="36" t="s">
        <v>3619</v>
      </c>
      <c r="D1221" s="15" t="s">
        <v>3453</v>
      </c>
      <c r="E1221" s="15" t="s">
        <v>3454</v>
      </c>
      <c r="F1221" s="15" t="s">
        <v>3455</v>
      </c>
      <c r="G1221" s="15" t="s">
        <v>362</v>
      </c>
      <c r="H1221" s="15" t="s">
        <v>128</v>
      </c>
      <c r="I1221" s="18">
        <v>2.0</v>
      </c>
      <c r="J1221" s="18">
        <v>2.0</v>
      </c>
      <c r="K1221" s="20"/>
      <c r="L1221" s="15" t="s">
        <v>3457</v>
      </c>
      <c r="M1221" s="15" t="s">
        <v>3458</v>
      </c>
      <c r="N1221" s="15" t="s">
        <v>22</v>
      </c>
      <c r="O1221" s="20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</row>
    <row r="1222">
      <c r="A1222" s="15" t="s">
        <v>14</v>
      </c>
      <c r="B1222" s="15" t="s">
        <v>3452</v>
      </c>
      <c r="C1222" s="36" t="s">
        <v>3619</v>
      </c>
      <c r="D1222" s="15" t="s">
        <v>3453</v>
      </c>
      <c r="E1222" s="15" t="s">
        <v>3454</v>
      </c>
      <c r="F1222" s="15" t="s">
        <v>3455</v>
      </c>
      <c r="G1222" s="15" t="s">
        <v>1541</v>
      </c>
      <c r="H1222" s="15" t="s">
        <v>1396</v>
      </c>
      <c r="I1222" s="18">
        <v>3.0</v>
      </c>
      <c r="J1222" s="18">
        <v>3.0</v>
      </c>
      <c r="K1222" s="20"/>
      <c r="L1222" s="15" t="s">
        <v>3457</v>
      </c>
      <c r="M1222" s="15" t="s">
        <v>3458</v>
      </c>
      <c r="N1222" s="15" t="s">
        <v>22</v>
      </c>
      <c r="O1222" s="20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</row>
    <row r="1223">
      <c r="A1223" s="15" t="s">
        <v>14</v>
      </c>
      <c r="B1223" s="15" t="s">
        <v>3452</v>
      </c>
      <c r="C1223" s="36" t="s">
        <v>3619</v>
      </c>
      <c r="D1223" s="15" t="s">
        <v>3453</v>
      </c>
      <c r="E1223" s="15" t="s">
        <v>3454</v>
      </c>
      <c r="F1223" s="15" t="s">
        <v>3455</v>
      </c>
      <c r="G1223" s="15" t="s">
        <v>629</v>
      </c>
      <c r="H1223" s="15" t="s">
        <v>3459</v>
      </c>
      <c r="I1223" s="18">
        <v>4.0</v>
      </c>
      <c r="J1223" s="18">
        <v>4.0</v>
      </c>
      <c r="K1223" s="20"/>
      <c r="L1223" s="15" t="s">
        <v>3457</v>
      </c>
      <c r="M1223" s="15" t="s">
        <v>3458</v>
      </c>
      <c r="N1223" s="15" t="s">
        <v>22</v>
      </c>
      <c r="O1223" s="20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</row>
    <row r="1224">
      <c r="A1224" s="3" t="s">
        <v>14</v>
      </c>
      <c r="B1224" s="3" t="s">
        <v>3460</v>
      </c>
      <c r="C1224" s="33" t="s">
        <v>3596</v>
      </c>
      <c r="D1224" s="3" t="s">
        <v>3461</v>
      </c>
      <c r="E1224" s="3" t="s">
        <v>3460</v>
      </c>
      <c r="F1224" s="3" t="s">
        <v>3462</v>
      </c>
      <c r="G1224" s="3" t="s">
        <v>3460</v>
      </c>
      <c r="H1224" s="3" t="s">
        <v>172</v>
      </c>
      <c r="I1224" s="4">
        <v>1.0</v>
      </c>
      <c r="J1224" s="4">
        <v>1.0</v>
      </c>
      <c r="K1224" s="3" t="s">
        <v>80</v>
      </c>
      <c r="L1224" s="3" t="s">
        <v>3463</v>
      </c>
      <c r="M1224" s="3" t="s">
        <v>3464</v>
      </c>
      <c r="N1224" s="3" t="s">
        <v>22</v>
      </c>
      <c r="O1224" s="5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>
      <c r="A1225" s="3" t="s">
        <v>14</v>
      </c>
      <c r="B1225" s="3" t="s">
        <v>3460</v>
      </c>
      <c r="C1225" s="33" t="s">
        <v>3596</v>
      </c>
      <c r="D1225" s="3" t="s">
        <v>3461</v>
      </c>
      <c r="E1225" s="3" t="s">
        <v>3460</v>
      </c>
      <c r="F1225" s="3" t="s">
        <v>3462</v>
      </c>
      <c r="G1225" s="3" t="s">
        <v>36</v>
      </c>
      <c r="H1225" s="3" t="s">
        <v>3465</v>
      </c>
      <c r="I1225" s="4" t="s">
        <v>36</v>
      </c>
      <c r="J1225" s="4">
        <v>2.0</v>
      </c>
      <c r="K1225" s="3"/>
      <c r="L1225" s="3" t="s">
        <v>3463</v>
      </c>
      <c r="M1225" s="3" t="s">
        <v>3464</v>
      </c>
      <c r="N1225" s="3" t="s">
        <v>22</v>
      </c>
      <c r="O1225" s="5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>
      <c r="A1226" s="3" t="s">
        <v>14</v>
      </c>
      <c r="B1226" s="3" t="s">
        <v>3460</v>
      </c>
      <c r="C1226" s="33" t="s">
        <v>3596</v>
      </c>
      <c r="D1226" s="3" t="s">
        <v>3461</v>
      </c>
      <c r="E1226" s="3" t="s">
        <v>3460</v>
      </c>
      <c r="F1226" s="3" t="s">
        <v>3462</v>
      </c>
      <c r="G1226" s="3" t="s">
        <v>36</v>
      </c>
      <c r="H1226" s="3" t="s">
        <v>1983</v>
      </c>
      <c r="I1226" s="4" t="s">
        <v>36</v>
      </c>
      <c r="J1226" s="4">
        <v>3.0</v>
      </c>
      <c r="K1226" s="3"/>
      <c r="L1226" s="3" t="s">
        <v>3463</v>
      </c>
      <c r="M1226" s="3" t="s">
        <v>3464</v>
      </c>
      <c r="N1226" s="3" t="s">
        <v>22</v>
      </c>
      <c r="O1226" s="5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>
      <c r="A1227" s="3" t="s">
        <v>14</v>
      </c>
      <c r="B1227" s="3" t="s">
        <v>3466</v>
      </c>
      <c r="C1227" s="36" t="s">
        <v>3595</v>
      </c>
      <c r="D1227" s="3" t="s">
        <v>3467</v>
      </c>
      <c r="E1227" s="3" t="s">
        <v>3468</v>
      </c>
      <c r="F1227" s="3" t="s">
        <v>3469</v>
      </c>
      <c r="G1227" s="3" t="s">
        <v>1163</v>
      </c>
      <c r="H1227" s="3" t="s">
        <v>79</v>
      </c>
      <c r="I1227" s="4">
        <v>1.0</v>
      </c>
      <c r="J1227" s="4">
        <v>1.0</v>
      </c>
      <c r="K1227" s="5"/>
      <c r="L1227" s="3" t="s">
        <v>3470</v>
      </c>
      <c r="M1227" s="3" t="s">
        <v>3470</v>
      </c>
      <c r="N1227" s="3" t="s">
        <v>22</v>
      </c>
      <c r="O1227" s="5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>
      <c r="A1228" s="3" t="s">
        <v>14</v>
      </c>
      <c r="B1228" s="3" t="s">
        <v>3466</v>
      </c>
      <c r="C1228" s="36" t="s">
        <v>3595</v>
      </c>
      <c r="D1228" s="3" t="s">
        <v>3467</v>
      </c>
      <c r="E1228" s="3" t="s">
        <v>3468</v>
      </c>
      <c r="F1228" s="3" t="s">
        <v>3469</v>
      </c>
      <c r="G1228" s="3" t="s">
        <v>2279</v>
      </c>
      <c r="H1228" s="3" t="s">
        <v>3471</v>
      </c>
      <c r="I1228" s="4">
        <v>2.0</v>
      </c>
      <c r="J1228" s="4">
        <v>2.0</v>
      </c>
      <c r="K1228" s="5"/>
      <c r="L1228" s="3" t="s">
        <v>3470</v>
      </c>
      <c r="M1228" s="3" t="s">
        <v>3470</v>
      </c>
      <c r="N1228" s="3" t="s">
        <v>22</v>
      </c>
      <c r="O1228" s="5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>
      <c r="A1229" s="3" t="s">
        <v>14</v>
      </c>
      <c r="B1229" s="3" t="s">
        <v>3472</v>
      </c>
      <c r="C1229" s="36" t="s">
        <v>3597</v>
      </c>
      <c r="D1229" s="3" t="s">
        <v>3473</v>
      </c>
      <c r="E1229" s="3" t="s">
        <v>3474</v>
      </c>
      <c r="F1229" s="3" t="s">
        <v>3475</v>
      </c>
      <c r="G1229" s="3" t="s">
        <v>1210</v>
      </c>
      <c r="H1229" s="3" t="s">
        <v>1217</v>
      </c>
      <c r="I1229" s="4">
        <v>1.0</v>
      </c>
      <c r="J1229" s="4">
        <v>1.0</v>
      </c>
      <c r="K1229" s="5"/>
      <c r="L1229" s="3" t="s">
        <v>3476</v>
      </c>
      <c r="M1229" s="3" t="s">
        <v>3477</v>
      </c>
      <c r="N1229" s="3" t="s">
        <v>22</v>
      </c>
      <c r="O1229" s="5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>
      <c r="A1230" s="3" t="s">
        <v>14</v>
      </c>
      <c r="B1230" s="3" t="s">
        <v>3472</v>
      </c>
      <c r="C1230" s="36" t="s">
        <v>3597</v>
      </c>
      <c r="D1230" s="3" t="s">
        <v>3473</v>
      </c>
      <c r="E1230" s="3" t="s">
        <v>3474</v>
      </c>
      <c r="F1230" s="3" t="s">
        <v>3475</v>
      </c>
      <c r="G1230" s="3" t="s">
        <v>2424</v>
      </c>
      <c r="H1230" s="3" t="s">
        <v>2424</v>
      </c>
      <c r="I1230" s="4">
        <v>2.0</v>
      </c>
      <c r="J1230" s="4">
        <v>2.0</v>
      </c>
      <c r="K1230" s="5"/>
      <c r="L1230" s="3" t="s">
        <v>3476</v>
      </c>
      <c r="M1230" s="3" t="s">
        <v>3477</v>
      </c>
      <c r="N1230" s="3" t="s">
        <v>22</v>
      </c>
      <c r="O1230" s="5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>
      <c r="A1231" s="3" t="s">
        <v>14</v>
      </c>
      <c r="B1231" s="3" t="s">
        <v>3472</v>
      </c>
      <c r="C1231" s="36" t="s">
        <v>3597</v>
      </c>
      <c r="D1231" s="3" t="s">
        <v>3473</v>
      </c>
      <c r="E1231" s="3" t="s">
        <v>3474</v>
      </c>
      <c r="F1231" s="3" t="s">
        <v>3475</v>
      </c>
      <c r="G1231" s="3" t="s">
        <v>65</v>
      </c>
      <c r="H1231" s="3" t="s">
        <v>65</v>
      </c>
      <c r="I1231" s="4">
        <v>3.0</v>
      </c>
      <c r="J1231" s="4">
        <v>3.0</v>
      </c>
      <c r="K1231" s="5"/>
      <c r="L1231" s="3" t="s">
        <v>3476</v>
      </c>
      <c r="M1231" s="3" t="s">
        <v>3477</v>
      </c>
      <c r="N1231" s="3" t="s">
        <v>22</v>
      </c>
      <c r="O1231" s="5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>
      <c r="A1232" s="15" t="s">
        <v>14</v>
      </c>
      <c r="B1232" s="15" t="s">
        <v>3478</v>
      </c>
      <c r="C1232" s="36" t="s">
        <v>3595</v>
      </c>
      <c r="D1232" s="15" t="s">
        <v>3479</v>
      </c>
      <c r="E1232" s="15" t="s">
        <v>3480</v>
      </c>
      <c r="F1232" s="15" t="s">
        <v>3481</v>
      </c>
      <c r="G1232" s="15" t="s">
        <v>425</v>
      </c>
      <c r="H1232" s="15" t="s">
        <v>175</v>
      </c>
      <c r="I1232" s="18">
        <v>1.0</v>
      </c>
      <c r="J1232" s="18">
        <v>1.0</v>
      </c>
      <c r="K1232" s="15" t="s">
        <v>80</v>
      </c>
      <c r="L1232" s="15" t="s">
        <v>3482</v>
      </c>
      <c r="M1232" s="15" t="s">
        <v>3483</v>
      </c>
      <c r="N1232" s="15" t="s">
        <v>22</v>
      </c>
      <c r="O1232" s="20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</row>
    <row r="1233">
      <c r="A1233" s="15" t="s">
        <v>14</v>
      </c>
      <c r="B1233" s="15" t="s">
        <v>3478</v>
      </c>
      <c r="C1233" s="36" t="s">
        <v>3595</v>
      </c>
      <c r="D1233" s="15" t="s">
        <v>3479</v>
      </c>
      <c r="E1233" s="15" t="s">
        <v>3480</v>
      </c>
      <c r="F1233" s="15" t="s">
        <v>3481</v>
      </c>
      <c r="G1233" s="15" t="s">
        <v>1830</v>
      </c>
      <c r="H1233" s="15" t="s">
        <v>918</v>
      </c>
      <c r="I1233" s="18">
        <v>2.0</v>
      </c>
      <c r="J1233" s="18">
        <v>2.0</v>
      </c>
      <c r="K1233" s="15"/>
      <c r="L1233" s="15" t="s">
        <v>3482</v>
      </c>
      <c r="M1233" s="15" t="s">
        <v>3483</v>
      </c>
      <c r="N1233" s="15" t="s">
        <v>22</v>
      </c>
      <c r="O1233" s="20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</row>
    <row r="1234">
      <c r="A1234" s="15" t="s">
        <v>14</v>
      </c>
      <c r="B1234" s="15" t="s">
        <v>3478</v>
      </c>
      <c r="C1234" s="36" t="s">
        <v>3595</v>
      </c>
      <c r="D1234" s="15" t="s">
        <v>3479</v>
      </c>
      <c r="E1234" s="15" t="s">
        <v>3480</v>
      </c>
      <c r="F1234" s="15" t="s">
        <v>3481</v>
      </c>
      <c r="G1234" s="15" t="s">
        <v>36</v>
      </c>
      <c r="H1234" s="15" t="s">
        <v>1899</v>
      </c>
      <c r="I1234" s="18" t="s">
        <v>36</v>
      </c>
      <c r="J1234" s="18">
        <v>3.0</v>
      </c>
      <c r="K1234" s="20"/>
      <c r="L1234" s="15" t="s">
        <v>3482</v>
      </c>
      <c r="M1234" s="15" t="s">
        <v>3483</v>
      </c>
      <c r="N1234" s="15" t="s">
        <v>22</v>
      </c>
      <c r="O1234" s="20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</row>
    <row r="1235">
      <c r="A1235" s="3" t="s">
        <v>14</v>
      </c>
      <c r="B1235" s="3" t="s">
        <v>3484</v>
      </c>
      <c r="C1235" s="33" t="s">
        <v>3600</v>
      </c>
      <c r="D1235" s="3" t="s">
        <v>3485</v>
      </c>
      <c r="E1235" s="3" t="s">
        <v>3486</v>
      </c>
      <c r="F1235" s="3" t="s">
        <v>3487</v>
      </c>
      <c r="G1235" s="3" t="s">
        <v>131</v>
      </c>
      <c r="H1235" s="3" t="s">
        <v>132</v>
      </c>
      <c r="I1235" s="4">
        <v>1.0</v>
      </c>
      <c r="J1235" s="4">
        <v>1.0</v>
      </c>
      <c r="K1235" s="5"/>
      <c r="L1235" s="3" t="s">
        <v>3488</v>
      </c>
      <c r="M1235" s="3" t="s">
        <v>3489</v>
      </c>
      <c r="N1235" s="3" t="s">
        <v>22</v>
      </c>
      <c r="O1235" s="5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>
      <c r="A1236" s="3" t="s">
        <v>14</v>
      </c>
      <c r="B1236" s="3" t="s">
        <v>3484</v>
      </c>
      <c r="C1236" s="33" t="s">
        <v>3600</v>
      </c>
      <c r="D1236" s="3" t="s">
        <v>3485</v>
      </c>
      <c r="E1236" s="3" t="s">
        <v>3486</v>
      </c>
      <c r="F1236" s="3" t="s">
        <v>3487</v>
      </c>
      <c r="G1236" s="3" t="s">
        <v>238</v>
      </c>
      <c r="H1236" s="3" t="s">
        <v>238</v>
      </c>
      <c r="I1236" s="4">
        <v>2.0</v>
      </c>
      <c r="J1236" s="4">
        <v>2.0</v>
      </c>
      <c r="K1236" s="5"/>
      <c r="L1236" s="3" t="s">
        <v>3488</v>
      </c>
      <c r="M1236" s="3" t="s">
        <v>3489</v>
      </c>
      <c r="N1236" s="3" t="s">
        <v>22</v>
      </c>
      <c r="O1236" s="5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>
      <c r="A1237" s="3" t="s">
        <v>14</v>
      </c>
      <c r="B1237" s="3" t="s">
        <v>3490</v>
      </c>
      <c r="C1237" s="36" t="s">
        <v>3598</v>
      </c>
      <c r="D1237" s="3" t="s">
        <v>3491</v>
      </c>
      <c r="E1237" s="3" t="s">
        <v>3492</v>
      </c>
      <c r="F1237" s="3" t="s">
        <v>3493</v>
      </c>
      <c r="G1237" s="3" t="s">
        <v>108</v>
      </c>
      <c r="H1237" s="3" t="s">
        <v>175</v>
      </c>
      <c r="I1237" s="4">
        <v>1.0</v>
      </c>
      <c r="J1237" s="4">
        <v>1.0</v>
      </c>
      <c r="K1237" s="5"/>
      <c r="L1237" s="3" t="s">
        <v>3494</v>
      </c>
      <c r="M1237" s="3" t="s">
        <v>3495</v>
      </c>
      <c r="N1237" s="3" t="s">
        <v>22</v>
      </c>
      <c r="O1237" s="5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>
      <c r="A1238" s="3" t="s">
        <v>14</v>
      </c>
      <c r="B1238" s="3" t="s">
        <v>3490</v>
      </c>
      <c r="C1238" s="36" t="s">
        <v>3598</v>
      </c>
      <c r="D1238" s="3" t="s">
        <v>3491</v>
      </c>
      <c r="E1238" s="3" t="s">
        <v>3492</v>
      </c>
      <c r="F1238" s="3" t="s">
        <v>3493</v>
      </c>
      <c r="G1238" s="3" t="s">
        <v>2272</v>
      </c>
      <c r="H1238" s="3" t="s">
        <v>296</v>
      </c>
      <c r="I1238" s="4">
        <v>2.0</v>
      </c>
      <c r="J1238" s="4">
        <v>2.0</v>
      </c>
      <c r="K1238" s="5"/>
      <c r="L1238" s="3" t="s">
        <v>3494</v>
      </c>
      <c r="M1238" s="3" t="s">
        <v>3495</v>
      </c>
      <c r="N1238" s="3" t="s">
        <v>22</v>
      </c>
      <c r="O1238" s="5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>
      <c r="A1239" s="3" t="s">
        <v>14</v>
      </c>
      <c r="B1239" s="3" t="s">
        <v>3490</v>
      </c>
      <c r="C1239" s="36" t="s">
        <v>3598</v>
      </c>
      <c r="D1239" s="3" t="s">
        <v>3491</v>
      </c>
      <c r="E1239" s="3" t="s">
        <v>3492</v>
      </c>
      <c r="F1239" s="3" t="s">
        <v>3493</v>
      </c>
      <c r="G1239" s="3" t="s">
        <v>1478</v>
      </c>
      <c r="H1239" s="3" t="s">
        <v>1478</v>
      </c>
      <c r="I1239" s="4">
        <v>3.0</v>
      </c>
      <c r="J1239" s="4">
        <v>3.0</v>
      </c>
      <c r="K1239" s="5"/>
      <c r="L1239" s="3" t="s">
        <v>3494</v>
      </c>
      <c r="M1239" s="3" t="s">
        <v>3495</v>
      </c>
      <c r="N1239" s="3" t="s">
        <v>22</v>
      </c>
      <c r="O1239" s="5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>
      <c r="A1240" s="3" t="s">
        <v>14</v>
      </c>
      <c r="B1240" s="3" t="s">
        <v>3490</v>
      </c>
      <c r="C1240" s="36" t="s">
        <v>3598</v>
      </c>
      <c r="D1240" s="3" t="s">
        <v>3491</v>
      </c>
      <c r="E1240" s="3" t="s">
        <v>3492</v>
      </c>
      <c r="F1240" s="3" t="s">
        <v>3493</v>
      </c>
      <c r="G1240" s="3" t="s">
        <v>784</v>
      </c>
      <c r="H1240" s="3" t="s">
        <v>784</v>
      </c>
      <c r="I1240" s="4">
        <v>4.0</v>
      </c>
      <c r="J1240" s="4">
        <v>4.0</v>
      </c>
      <c r="K1240" s="5"/>
      <c r="L1240" s="3" t="s">
        <v>3494</v>
      </c>
      <c r="M1240" s="3" t="s">
        <v>3495</v>
      </c>
      <c r="N1240" s="3" t="s">
        <v>22</v>
      </c>
      <c r="O1240" s="5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>
      <c r="A1241" s="15" t="s">
        <v>14</v>
      </c>
      <c r="B1241" s="15" t="s">
        <v>3496</v>
      </c>
      <c r="C1241" s="36" t="s">
        <v>3611</v>
      </c>
      <c r="D1241" s="15" t="s">
        <v>3497</v>
      </c>
      <c r="E1241" s="15" t="s">
        <v>3498</v>
      </c>
      <c r="F1241" s="15" t="s">
        <v>3499</v>
      </c>
      <c r="G1241" s="15"/>
      <c r="H1241" s="15"/>
      <c r="I1241" s="18"/>
      <c r="J1241" s="18"/>
      <c r="K1241" s="20"/>
      <c r="L1241" s="15" t="s">
        <v>3500</v>
      </c>
      <c r="M1241" s="15" t="s">
        <v>3501</v>
      </c>
      <c r="N1241" s="15" t="s">
        <v>22</v>
      </c>
      <c r="O1241" s="15" t="s">
        <v>560</v>
      </c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</row>
    <row r="1242">
      <c r="A1242" s="3" t="s">
        <v>14</v>
      </c>
      <c r="B1242" s="3" t="s">
        <v>3502</v>
      </c>
      <c r="C1242" s="36" t="s">
        <v>3595</v>
      </c>
      <c r="D1242" s="3" t="s">
        <v>3503</v>
      </c>
      <c r="E1242" s="3" t="s">
        <v>3504</v>
      </c>
      <c r="F1242" s="3" t="s">
        <v>3505</v>
      </c>
      <c r="G1242" s="3" t="s">
        <v>197</v>
      </c>
      <c r="H1242" s="3" t="s">
        <v>197</v>
      </c>
      <c r="I1242" s="4">
        <v>1.0</v>
      </c>
      <c r="J1242" s="4">
        <v>1.0</v>
      </c>
      <c r="K1242" s="3" t="s">
        <v>72</v>
      </c>
      <c r="L1242" s="3" t="s">
        <v>3506</v>
      </c>
      <c r="M1242" s="3" t="s">
        <v>3507</v>
      </c>
      <c r="N1242" s="3" t="s">
        <v>22</v>
      </c>
      <c r="O1242" s="5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>
      <c r="A1243" s="3" t="s">
        <v>14</v>
      </c>
      <c r="B1243" s="3" t="s">
        <v>3502</v>
      </c>
      <c r="C1243" s="36" t="s">
        <v>3595</v>
      </c>
      <c r="D1243" s="3" t="s">
        <v>3503</v>
      </c>
      <c r="E1243" s="3" t="s">
        <v>3504</v>
      </c>
      <c r="F1243" s="3" t="s">
        <v>3505</v>
      </c>
      <c r="G1243" s="3" t="s">
        <v>181</v>
      </c>
      <c r="H1243" s="3" t="s">
        <v>428</v>
      </c>
      <c r="I1243" s="4">
        <v>2.0</v>
      </c>
      <c r="J1243" s="4">
        <v>2.0</v>
      </c>
      <c r="K1243" s="3"/>
      <c r="L1243" s="3" t="s">
        <v>3506</v>
      </c>
      <c r="M1243" s="3" t="s">
        <v>3507</v>
      </c>
      <c r="N1243" s="3" t="s">
        <v>22</v>
      </c>
      <c r="O1243" s="5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>
      <c r="A1244" s="3" t="s">
        <v>14</v>
      </c>
      <c r="B1244" s="3" t="s">
        <v>3508</v>
      </c>
      <c r="C1244" s="33" t="s">
        <v>3600</v>
      </c>
      <c r="D1244" s="3" t="s">
        <v>3509</v>
      </c>
      <c r="E1244" s="3" t="s">
        <v>3510</v>
      </c>
      <c r="F1244" s="3" t="s">
        <v>3511</v>
      </c>
      <c r="G1244" s="3" t="s">
        <v>623</v>
      </c>
      <c r="H1244" s="3" t="s">
        <v>623</v>
      </c>
      <c r="I1244" s="4">
        <v>1.0</v>
      </c>
      <c r="J1244" s="4">
        <v>1.0</v>
      </c>
      <c r="K1244" s="5"/>
      <c r="L1244" s="3" t="s">
        <v>3512</v>
      </c>
      <c r="M1244" s="3" t="s">
        <v>3513</v>
      </c>
      <c r="N1244" s="3" t="s">
        <v>22</v>
      </c>
      <c r="O1244" s="5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>
      <c r="A1245" s="3" t="s">
        <v>14</v>
      </c>
      <c r="B1245" s="3" t="s">
        <v>3508</v>
      </c>
      <c r="C1245" s="33" t="s">
        <v>3600</v>
      </c>
      <c r="D1245" s="3" t="s">
        <v>3509</v>
      </c>
      <c r="E1245" s="3" t="s">
        <v>3510</v>
      </c>
      <c r="F1245" s="3" t="s">
        <v>3511</v>
      </c>
      <c r="G1245" s="3" t="s">
        <v>222</v>
      </c>
      <c r="H1245" s="3" t="s">
        <v>3514</v>
      </c>
      <c r="I1245" s="4">
        <v>2.0</v>
      </c>
      <c r="J1245" s="4">
        <v>2.0</v>
      </c>
      <c r="K1245" s="5"/>
      <c r="L1245" s="3" t="s">
        <v>3512</v>
      </c>
      <c r="M1245" s="3" t="s">
        <v>3513</v>
      </c>
      <c r="N1245" s="3" t="s">
        <v>22</v>
      </c>
      <c r="O1245" s="5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>
      <c r="A1246" s="3" t="s">
        <v>14</v>
      </c>
      <c r="B1246" s="3" t="s">
        <v>3515</v>
      </c>
      <c r="C1246" s="33" t="s">
        <v>3600</v>
      </c>
      <c r="D1246" s="3" t="s">
        <v>3516</v>
      </c>
      <c r="E1246" s="3" t="s">
        <v>3517</v>
      </c>
      <c r="F1246" s="3" t="s">
        <v>3518</v>
      </c>
      <c r="G1246" s="3" t="s">
        <v>2600</v>
      </c>
      <c r="H1246" s="3" t="s">
        <v>662</v>
      </c>
      <c r="I1246" s="4">
        <v>1.0</v>
      </c>
      <c r="J1246" s="4">
        <v>1.0</v>
      </c>
      <c r="K1246" s="5"/>
      <c r="L1246" s="3" t="s">
        <v>3519</v>
      </c>
      <c r="M1246" s="3" t="s">
        <v>3520</v>
      </c>
      <c r="N1246" s="3" t="s">
        <v>22</v>
      </c>
      <c r="O1246" s="5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>
      <c r="A1247" s="3" t="s">
        <v>14</v>
      </c>
      <c r="B1247" s="3" t="s">
        <v>3515</v>
      </c>
      <c r="C1247" s="33" t="s">
        <v>3600</v>
      </c>
      <c r="D1247" s="3" t="s">
        <v>3516</v>
      </c>
      <c r="E1247" s="3" t="s">
        <v>3517</v>
      </c>
      <c r="F1247" s="3" t="s">
        <v>3518</v>
      </c>
      <c r="G1247" s="3" t="s">
        <v>55</v>
      </c>
      <c r="H1247" s="3" t="s">
        <v>56</v>
      </c>
      <c r="I1247" s="4">
        <v>2.0</v>
      </c>
      <c r="J1247" s="4">
        <v>2.0</v>
      </c>
      <c r="K1247" s="5"/>
      <c r="L1247" s="3" t="s">
        <v>3519</v>
      </c>
      <c r="M1247" s="3" t="s">
        <v>3520</v>
      </c>
      <c r="N1247" s="3" t="s">
        <v>22</v>
      </c>
      <c r="O1247" s="5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>
      <c r="A1248" s="3" t="s">
        <v>14</v>
      </c>
      <c r="B1248" s="3" t="s">
        <v>3521</v>
      </c>
      <c r="C1248" s="36" t="s">
        <v>3597</v>
      </c>
      <c r="D1248" s="3" t="s">
        <v>3522</v>
      </c>
      <c r="E1248" s="3" t="s">
        <v>3523</v>
      </c>
      <c r="F1248" s="3" t="s">
        <v>3524</v>
      </c>
      <c r="G1248" s="3" t="s">
        <v>1541</v>
      </c>
      <c r="H1248" s="3" t="s">
        <v>254</v>
      </c>
      <c r="I1248" s="4">
        <v>1.0</v>
      </c>
      <c r="J1248" s="4">
        <v>1.0</v>
      </c>
      <c r="K1248" s="5"/>
      <c r="L1248" s="3" t="s">
        <v>3525</v>
      </c>
      <c r="M1248" s="3" t="s">
        <v>3526</v>
      </c>
      <c r="N1248" s="3" t="s">
        <v>22</v>
      </c>
      <c r="O1248" s="5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>
      <c r="A1249" s="3" t="s">
        <v>14</v>
      </c>
      <c r="B1249" s="3" t="s">
        <v>3521</v>
      </c>
      <c r="C1249" s="36" t="s">
        <v>3597</v>
      </c>
      <c r="D1249" s="3" t="s">
        <v>3522</v>
      </c>
      <c r="E1249" s="3" t="s">
        <v>3523</v>
      </c>
      <c r="F1249" s="3" t="s">
        <v>3524</v>
      </c>
      <c r="G1249" s="3" t="s">
        <v>1608</v>
      </c>
      <c r="H1249" s="3" t="s">
        <v>1608</v>
      </c>
      <c r="I1249" s="4">
        <v>2.0</v>
      </c>
      <c r="J1249" s="4">
        <v>2.0</v>
      </c>
      <c r="K1249" s="5"/>
      <c r="L1249" s="3" t="s">
        <v>3525</v>
      </c>
      <c r="M1249" s="3" t="s">
        <v>3526</v>
      </c>
      <c r="N1249" s="3" t="s">
        <v>22</v>
      </c>
      <c r="O1249" s="5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>
      <c r="A1250" s="3" t="s">
        <v>14</v>
      </c>
      <c r="B1250" s="3" t="s">
        <v>3521</v>
      </c>
      <c r="C1250" s="36" t="s">
        <v>3597</v>
      </c>
      <c r="D1250" s="3" t="s">
        <v>3522</v>
      </c>
      <c r="E1250" s="3" t="s">
        <v>3523</v>
      </c>
      <c r="F1250" s="3" t="s">
        <v>3524</v>
      </c>
      <c r="G1250" s="3" t="s">
        <v>724</v>
      </c>
      <c r="H1250" s="3" t="s">
        <v>3527</v>
      </c>
      <c r="I1250" s="4">
        <v>3.0</v>
      </c>
      <c r="J1250" s="4">
        <v>3.0</v>
      </c>
      <c r="K1250" s="5"/>
      <c r="L1250" s="3" t="s">
        <v>3525</v>
      </c>
      <c r="M1250" s="3" t="s">
        <v>3526</v>
      </c>
      <c r="N1250" s="3" t="s">
        <v>22</v>
      </c>
      <c r="O1250" s="5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>
      <c r="A1251" s="3" t="s">
        <v>14</v>
      </c>
      <c r="B1251" s="3" t="s">
        <v>3528</v>
      </c>
      <c r="C1251" s="36" t="s">
        <v>3597</v>
      </c>
      <c r="D1251" s="3" t="s">
        <v>3528</v>
      </c>
      <c r="E1251" s="3" t="s">
        <v>3529</v>
      </c>
      <c r="F1251" s="3" t="s">
        <v>3529</v>
      </c>
      <c r="G1251" s="3" t="s">
        <v>3530</v>
      </c>
      <c r="H1251" s="3" t="s">
        <v>3530</v>
      </c>
      <c r="I1251" s="4">
        <v>1.0</v>
      </c>
      <c r="J1251" s="4">
        <v>1.0</v>
      </c>
      <c r="K1251" s="5"/>
      <c r="L1251" s="3" t="s">
        <v>3531</v>
      </c>
      <c r="M1251" s="3" t="s">
        <v>3532</v>
      </c>
      <c r="N1251" s="3" t="s">
        <v>22</v>
      </c>
      <c r="O1251" s="5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>
      <c r="A1252" s="3" t="s">
        <v>14</v>
      </c>
      <c r="B1252" s="3" t="s">
        <v>3528</v>
      </c>
      <c r="C1252" s="36" t="s">
        <v>3597</v>
      </c>
      <c r="D1252" s="3" t="s">
        <v>3528</v>
      </c>
      <c r="E1252" s="3" t="s">
        <v>3529</v>
      </c>
      <c r="F1252" s="3" t="s">
        <v>3529</v>
      </c>
      <c r="G1252" s="3" t="s">
        <v>131</v>
      </c>
      <c r="H1252" s="3" t="s">
        <v>131</v>
      </c>
      <c r="I1252" s="4">
        <v>2.0</v>
      </c>
      <c r="J1252" s="4">
        <v>2.0</v>
      </c>
      <c r="K1252" s="5"/>
      <c r="L1252" s="3" t="s">
        <v>3531</v>
      </c>
      <c r="M1252" s="3" t="s">
        <v>3532</v>
      </c>
      <c r="N1252" s="3" t="s">
        <v>22</v>
      </c>
      <c r="O1252" s="5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>
      <c r="A1253" s="3" t="s">
        <v>14</v>
      </c>
      <c r="B1253" s="3" t="s">
        <v>3528</v>
      </c>
      <c r="C1253" s="36" t="s">
        <v>3597</v>
      </c>
      <c r="D1253" s="3" t="s">
        <v>3528</v>
      </c>
      <c r="E1253" s="3" t="s">
        <v>3529</v>
      </c>
      <c r="F1253" s="3" t="s">
        <v>3529</v>
      </c>
      <c r="G1253" s="3" t="s">
        <v>116</v>
      </c>
      <c r="H1253" s="3" t="s">
        <v>116</v>
      </c>
      <c r="I1253" s="4">
        <v>3.0</v>
      </c>
      <c r="J1253" s="4">
        <v>3.0</v>
      </c>
      <c r="K1253" s="5"/>
      <c r="L1253" s="3" t="s">
        <v>3531</v>
      </c>
      <c r="M1253" s="3" t="s">
        <v>3532</v>
      </c>
      <c r="N1253" s="3" t="s">
        <v>22</v>
      </c>
      <c r="O1253" s="5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>
      <c r="A1254" s="15" t="s">
        <v>14</v>
      </c>
      <c r="B1254" s="15" t="s">
        <v>3533</v>
      </c>
      <c r="C1254" s="36" t="s">
        <v>3597</v>
      </c>
      <c r="D1254" s="15" t="s">
        <v>3534</v>
      </c>
      <c r="E1254" s="15" t="s">
        <v>3535</v>
      </c>
      <c r="F1254" s="15" t="s">
        <v>3536</v>
      </c>
      <c r="G1254" s="15" t="s">
        <v>702</v>
      </c>
      <c r="H1254" s="15" t="s">
        <v>254</v>
      </c>
      <c r="I1254" s="18">
        <v>1.0</v>
      </c>
      <c r="J1254" s="18">
        <v>1.0</v>
      </c>
      <c r="K1254" s="20"/>
      <c r="L1254" s="15" t="s">
        <v>3537</v>
      </c>
      <c r="M1254" s="15" t="s">
        <v>3538</v>
      </c>
      <c r="N1254" s="15" t="s">
        <v>22</v>
      </c>
      <c r="O1254" s="20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</row>
    <row r="1255">
      <c r="A1255" s="15" t="s">
        <v>14</v>
      </c>
      <c r="B1255" s="15" t="s">
        <v>3533</v>
      </c>
      <c r="C1255" s="36" t="s">
        <v>3597</v>
      </c>
      <c r="D1255" s="15" t="s">
        <v>3534</v>
      </c>
      <c r="E1255" s="15" t="s">
        <v>3535</v>
      </c>
      <c r="F1255" s="15" t="s">
        <v>3536</v>
      </c>
      <c r="G1255" s="15" t="s">
        <v>469</v>
      </c>
      <c r="H1255" s="15" t="s">
        <v>3539</v>
      </c>
      <c r="I1255" s="18">
        <v>2.0</v>
      </c>
      <c r="J1255" s="18">
        <v>2.0</v>
      </c>
      <c r="K1255" s="20"/>
      <c r="L1255" s="15" t="s">
        <v>3537</v>
      </c>
      <c r="M1255" s="15" t="s">
        <v>3538</v>
      </c>
      <c r="N1255" s="15" t="s">
        <v>22</v>
      </c>
      <c r="O1255" s="20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</row>
    <row r="1256">
      <c r="A1256" s="15" t="s">
        <v>14</v>
      </c>
      <c r="B1256" s="15" t="s">
        <v>3533</v>
      </c>
      <c r="C1256" s="36" t="s">
        <v>3597</v>
      </c>
      <c r="D1256" s="15" t="s">
        <v>3534</v>
      </c>
      <c r="E1256" s="15" t="s">
        <v>3535</v>
      </c>
      <c r="F1256" s="15" t="s">
        <v>3536</v>
      </c>
      <c r="G1256" s="15" t="s">
        <v>245</v>
      </c>
      <c r="H1256" s="15" t="s">
        <v>36</v>
      </c>
      <c r="I1256" s="18">
        <v>3.0</v>
      </c>
      <c r="J1256" s="18" t="s">
        <v>36</v>
      </c>
      <c r="K1256" s="20"/>
      <c r="L1256" s="15" t="s">
        <v>3537</v>
      </c>
      <c r="M1256" s="15" t="s">
        <v>3538</v>
      </c>
      <c r="N1256" s="15" t="s">
        <v>22</v>
      </c>
      <c r="O1256" s="20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</row>
    <row r="1257">
      <c r="A1257" s="3" t="s">
        <v>14</v>
      </c>
      <c r="B1257" s="3" t="s">
        <v>3540</v>
      </c>
      <c r="C1257" s="33" t="s">
        <v>3600</v>
      </c>
      <c r="D1257" s="3" t="s">
        <v>3541</v>
      </c>
      <c r="E1257" s="3" t="s">
        <v>3542</v>
      </c>
      <c r="F1257" s="3" t="s">
        <v>3543</v>
      </c>
      <c r="G1257" s="3" t="s">
        <v>2149</v>
      </c>
      <c r="H1257" s="3" t="s">
        <v>644</v>
      </c>
      <c r="I1257" s="4">
        <v>1.0</v>
      </c>
      <c r="J1257" s="4">
        <v>1.0</v>
      </c>
      <c r="K1257" s="5"/>
      <c r="L1257" s="3" t="s">
        <v>3544</v>
      </c>
      <c r="M1257" s="3" t="s">
        <v>3545</v>
      </c>
      <c r="N1257" s="3" t="s">
        <v>22</v>
      </c>
      <c r="O1257" s="5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>
      <c r="A1258" s="3" t="s">
        <v>14</v>
      </c>
      <c r="B1258" s="3" t="s">
        <v>3540</v>
      </c>
      <c r="C1258" s="33" t="s">
        <v>3600</v>
      </c>
      <c r="D1258" s="3" t="s">
        <v>3541</v>
      </c>
      <c r="E1258" s="3" t="s">
        <v>3542</v>
      </c>
      <c r="F1258" s="3" t="s">
        <v>3543</v>
      </c>
      <c r="G1258" s="3" t="s">
        <v>1807</v>
      </c>
      <c r="H1258" s="3" t="s">
        <v>238</v>
      </c>
      <c r="I1258" s="4">
        <v>2.0</v>
      </c>
      <c r="J1258" s="4">
        <v>2.0</v>
      </c>
      <c r="K1258" s="5"/>
      <c r="L1258" s="3" t="s">
        <v>3544</v>
      </c>
      <c r="M1258" s="3" t="s">
        <v>3545</v>
      </c>
      <c r="N1258" s="3" t="s">
        <v>22</v>
      </c>
      <c r="O1258" s="5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>
      <c r="A1259" s="3" t="s">
        <v>14</v>
      </c>
      <c r="B1259" s="3" t="s">
        <v>3546</v>
      </c>
      <c r="C1259" s="33" t="s">
        <v>3606</v>
      </c>
      <c r="D1259" s="3" t="s">
        <v>3547</v>
      </c>
      <c r="E1259" s="3" t="s">
        <v>3548</v>
      </c>
      <c r="F1259" s="3" t="s">
        <v>3548</v>
      </c>
      <c r="G1259" s="3" t="s">
        <v>3549</v>
      </c>
      <c r="H1259" s="3" t="s">
        <v>3549</v>
      </c>
      <c r="I1259" s="4">
        <v>1.0</v>
      </c>
      <c r="J1259" s="4">
        <v>1.0</v>
      </c>
      <c r="K1259" s="5"/>
      <c r="L1259" s="3" t="s">
        <v>3550</v>
      </c>
      <c r="M1259" s="3" t="s">
        <v>3551</v>
      </c>
      <c r="N1259" s="3" t="s">
        <v>22</v>
      </c>
      <c r="O1259" s="5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>
      <c r="A1260" s="3" t="s">
        <v>14</v>
      </c>
      <c r="B1260" s="3" t="s">
        <v>3546</v>
      </c>
      <c r="C1260" s="33" t="s">
        <v>3606</v>
      </c>
      <c r="D1260" s="3" t="s">
        <v>3547</v>
      </c>
      <c r="E1260" s="3" t="s">
        <v>3548</v>
      </c>
      <c r="F1260" s="3" t="s">
        <v>3548</v>
      </c>
      <c r="G1260" s="3" t="s">
        <v>784</v>
      </c>
      <c r="H1260" s="3" t="s">
        <v>784</v>
      </c>
      <c r="I1260" s="4">
        <v>2.0</v>
      </c>
      <c r="J1260" s="4">
        <v>2.0</v>
      </c>
      <c r="K1260" s="5"/>
      <c r="L1260" s="3" t="s">
        <v>3550</v>
      </c>
      <c r="M1260" s="3" t="s">
        <v>3551</v>
      </c>
      <c r="N1260" s="3" t="s">
        <v>22</v>
      </c>
      <c r="O1260" s="5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>
      <c r="A1261" s="3" t="s">
        <v>14</v>
      </c>
      <c r="B1261" s="3" t="s">
        <v>3552</v>
      </c>
      <c r="C1261" s="36" t="s">
        <v>3595</v>
      </c>
      <c r="D1261" s="3" t="s">
        <v>3553</v>
      </c>
      <c r="E1261" s="3" t="s">
        <v>3554</v>
      </c>
      <c r="F1261" s="3" t="s">
        <v>3555</v>
      </c>
      <c r="G1261" s="3" t="s">
        <v>244</v>
      </c>
      <c r="H1261" s="3" t="s">
        <v>402</v>
      </c>
      <c r="I1261" s="4">
        <v>1.0</v>
      </c>
      <c r="J1261" s="4">
        <v>1.0</v>
      </c>
      <c r="K1261" s="3"/>
      <c r="L1261" s="3" t="s">
        <v>3556</v>
      </c>
      <c r="M1261" s="3" t="s">
        <v>3557</v>
      </c>
      <c r="N1261" s="3" t="s">
        <v>22</v>
      </c>
      <c r="O1261" s="5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>
      <c r="A1262" s="3" t="s">
        <v>14</v>
      </c>
      <c r="B1262" s="3" t="s">
        <v>3552</v>
      </c>
      <c r="C1262" s="36" t="s">
        <v>3595</v>
      </c>
      <c r="D1262" s="3" t="s">
        <v>3553</v>
      </c>
      <c r="E1262" s="3" t="s">
        <v>3554</v>
      </c>
      <c r="F1262" s="3" t="s">
        <v>3555</v>
      </c>
      <c r="G1262" s="3" t="s">
        <v>70</v>
      </c>
      <c r="H1262" s="3" t="s">
        <v>3427</v>
      </c>
      <c r="I1262" s="4">
        <v>2.0</v>
      </c>
      <c r="J1262" s="4">
        <v>2.0</v>
      </c>
      <c r="K1262" s="3"/>
      <c r="L1262" s="3" t="s">
        <v>3556</v>
      </c>
      <c r="M1262" s="3" t="s">
        <v>3557</v>
      </c>
      <c r="N1262" s="3" t="s">
        <v>22</v>
      </c>
      <c r="O1262" s="5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>
      <c r="A1263" s="3" t="s">
        <v>14</v>
      </c>
      <c r="B1263" s="3" t="s">
        <v>3558</v>
      </c>
      <c r="C1263" s="33" t="s">
        <v>3600</v>
      </c>
      <c r="D1263" s="3" t="s">
        <v>3559</v>
      </c>
      <c r="E1263" s="3" t="s">
        <v>3560</v>
      </c>
      <c r="F1263" s="3" t="s">
        <v>3561</v>
      </c>
      <c r="G1263" s="3" t="s">
        <v>614</v>
      </c>
      <c r="H1263" s="3" t="s">
        <v>614</v>
      </c>
      <c r="I1263" s="4">
        <v>1.0</v>
      </c>
      <c r="J1263" s="4">
        <v>1.0</v>
      </c>
      <c r="K1263" s="5"/>
      <c r="L1263" s="3" t="s">
        <v>3562</v>
      </c>
      <c r="M1263" s="3" t="s">
        <v>3563</v>
      </c>
      <c r="N1263" s="3" t="s">
        <v>22</v>
      </c>
      <c r="O1263" s="5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>
      <c r="A1264" s="3" t="s">
        <v>14</v>
      </c>
      <c r="B1264" s="3" t="s">
        <v>3558</v>
      </c>
      <c r="C1264" s="33" t="s">
        <v>3600</v>
      </c>
      <c r="D1264" s="3" t="s">
        <v>3559</v>
      </c>
      <c r="E1264" s="3" t="s">
        <v>3560</v>
      </c>
      <c r="F1264" s="3" t="s">
        <v>3561</v>
      </c>
      <c r="G1264" s="3" t="s">
        <v>102</v>
      </c>
      <c r="H1264" s="3" t="s">
        <v>668</v>
      </c>
      <c r="I1264" s="4">
        <v>2.0</v>
      </c>
      <c r="J1264" s="4">
        <v>2.0</v>
      </c>
      <c r="K1264" s="5"/>
      <c r="L1264" s="3" t="s">
        <v>3562</v>
      </c>
      <c r="M1264" s="3" t="s">
        <v>3563</v>
      </c>
      <c r="N1264" s="3" t="s">
        <v>22</v>
      </c>
      <c r="O1264" s="5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>
      <c r="A1265" s="3" t="s">
        <v>14</v>
      </c>
      <c r="B1265" s="3" t="s">
        <v>3564</v>
      </c>
      <c r="C1265" s="33" t="s">
        <v>3600</v>
      </c>
      <c r="D1265" s="3" t="s">
        <v>3565</v>
      </c>
      <c r="E1265" s="3" t="s">
        <v>3566</v>
      </c>
      <c r="F1265" s="3" t="s">
        <v>3567</v>
      </c>
      <c r="G1265" s="3" t="s">
        <v>3568</v>
      </c>
      <c r="H1265" s="3" t="s">
        <v>3569</v>
      </c>
      <c r="I1265" s="4">
        <v>1.0</v>
      </c>
      <c r="J1265" s="4">
        <v>1.0</v>
      </c>
      <c r="K1265" s="5"/>
      <c r="L1265" s="3" t="s">
        <v>3570</v>
      </c>
      <c r="M1265" s="3" t="s">
        <v>3571</v>
      </c>
      <c r="N1265" s="3" t="s">
        <v>22</v>
      </c>
      <c r="O1265" s="5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>
      <c r="A1266" s="3" t="s">
        <v>14</v>
      </c>
      <c r="B1266" s="3" t="s">
        <v>3564</v>
      </c>
      <c r="C1266" s="33" t="s">
        <v>3600</v>
      </c>
      <c r="D1266" s="3" t="s">
        <v>3565</v>
      </c>
      <c r="E1266" s="3" t="s">
        <v>3566</v>
      </c>
      <c r="F1266" s="3" t="s">
        <v>3567</v>
      </c>
      <c r="G1266" s="3" t="s">
        <v>238</v>
      </c>
      <c r="H1266" s="3" t="s">
        <v>238</v>
      </c>
      <c r="I1266" s="4">
        <v>2.0</v>
      </c>
      <c r="J1266" s="4">
        <v>2.0</v>
      </c>
      <c r="K1266" s="5"/>
      <c r="L1266" s="3" t="s">
        <v>3570</v>
      </c>
      <c r="M1266" s="3" t="s">
        <v>3571</v>
      </c>
      <c r="N1266" s="3" t="s">
        <v>22</v>
      </c>
      <c r="O1266" s="5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>
      <c r="A1267" s="3" t="s">
        <v>14</v>
      </c>
      <c r="B1267" s="3" t="s">
        <v>3572</v>
      </c>
      <c r="C1267" s="36" t="s">
        <v>3597</v>
      </c>
      <c r="D1267" s="3" t="s">
        <v>3573</v>
      </c>
      <c r="E1267" s="3" t="s">
        <v>3574</v>
      </c>
      <c r="F1267" s="3" t="s">
        <v>3575</v>
      </c>
      <c r="G1267" s="3" t="s">
        <v>1807</v>
      </c>
      <c r="H1267" s="3" t="s">
        <v>3576</v>
      </c>
      <c r="I1267" s="4">
        <v>1.0</v>
      </c>
      <c r="J1267" s="4">
        <v>1.0</v>
      </c>
      <c r="K1267" s="3" t="s">
        <v>80</v>
      </c>
      <c r="L1267" s="3" t="s">
        <v>3577</v>
      </c>
      <c r="M1267" s="3" t="s">
        <v>3578</v>
      </c>
      <c r="N1267" s="3" t="s">
        <v>22</v>
      </c>
      <c r="O1267" s="5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>
      <c r="A1268" s="3" t="s">
        <v>14</v>
      </c>
      <c r="B1268" s="3" t="s">
        <v>3572</v>
      </c>
      <c r="C1268" s="36" t="s">
        <v>3597</v>
      </c>
      <c r="D1268" s="3" t="s">
        <v>3573</v>
      </c>
      <c r="E1268" s="3" t="s">
        <v>3574</v>
      </c>
      <c r="F1268" s="3" t="s">
        <v>3575</v>
      </c>
      <c r="G1268" s="3" t="s">
        <v>236</v>
      </c>
      <c r="H1268" s="3" t="s">
        <v>1478</v>
      </c>
      <c r="I1268" s="4">
        <v>2.0</v>
      </c>
      <c r="J1268" s="4">
        <v>2.0</v>
      </c>
      <c r="K1268" s="3"/>
      <c r="L1268" s="3" t="s">
        <v>3577</v>
      </c>
      <c r="M1268" s="3" t="s">
        <v>3578</v>
      </c>
      <c r="N1268" s="3" t="s">
        <v>22</v>
      </c>
      <c r="O1268" s="5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>
      <c r="A1269" s="3" t="s">
        <v>14</v>
      </c>
      <c r="B1269" s="3" t="s">
        <v>3572</v>
      </c>
      <c r="C1269" s="36" t="s">
        <v>3597</v>
      </c>
      <c r="D1269" s="3" t="s">
        <v>3573</v>
      </c>
      <c r="E1269" s="3" t="s">
        <v>3574</v>
      </c>
      <c r="F1269" s="3" t="s">
        <v>3575</v>
      </c>
      <c r="G1269" s="3" t="s">
        <v>784</v>
      </c>
      <c r="H1269" s="3" t="s">
        <v>784</v>
      </c>
      <c r="I1269" s="4">
        <v>3.0</v>
      </c>
      <c r="J1269" s="4">
        <v>3.0</v>
      </c>
      <c r="K1269" s="3"/>
      <c r="L1269" s="3" t="s">
        <v>3577</v>
      </c>
      <c r="M1269" s="3" t="s">
        <v>3578</v>
      </c>
      <c r="N1269" s="3" t="s">
        <v>22</v>
      </c>
      <c r="O1269" s="5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>
      <c r="A1270" s="15" t="s">
        <v>14</v>
      </c>
      <c r="B1270" s="15" t="s">
        <v>3579</v>
      </c>
      <c r="C1270" s="36" t="s">
        <v>3607</v>
      </c>
      <c r="D1270" s="15" t="s">
        <v>3580</v>
      </c>
      <c r="E1270" s="15" t="s">
        <v>3581</v>
      </c>
      <c r="F1270" s="15" t="s">
        <v>3582</v>
      </c>
      <c r="G1270" s="15"/>
      <c r="H1270" s="15"/>
      <c r="I1270" s="18"/>
      <c r="J1270" s="18"/>
      <c r="K1270" s="20"/>
      <c r="L1270" s="15" t="s">
        <v>3583</v>
      </c>
      <c r="M1270" s="15" t="s">
        <v>3584</v>
      </c>
      <c r="N1270" s="15" t="s">
        <v>22</v>
      </c>
      <c r="O1270" s="15" t="s">
        <v>560</v>
      </c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</row>
    <row r="1271">
      <c r="A1271" s="3" t="s">
        <v>14</v>
      </c>
      <c r="B1271" s="3" t="s">
        <v>3585</v>
      </c>
      <c r="C1271" s="36" t="s">
        <v>3597</v>
      </c>
      <c r="D1271" s="3" t="s">
        <v>3586</v>
      </c>
      <c r="E1271" s="3" t="s">
        <v>3587</v>
      </c>
      <c r="F1271" s="3" t="s">
        <v>3588</v>
      </c>
      <c r="G1271" s="3" t="s">
        <v>2754</v>
      </c>
      <c r="H1271" s="3" t="s">
        <v>745</v>
      </c>
      <c r="I1271" s="4">
        <v>1.0</v>
      </c>
      <c r="J1271" s="4">
        <v>1.0</v>
      </c>
      <c r="K1271" s="5"/>
      <c r="L1271" s="3" t="s">
        <v>3589</v>
      </c>
      <c r="M1271" s="3" t="s">
        <v>3590</v>
      </c>
      <c r="N1271" s="3" t="s">
        <v>22</v>
      </c>
      <c r="O1271" s="5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>
      <c r="A1272" s="3" t="s">
        <v>14</v>
      </c>
      <c r="B1272" s="3" t="s">
        <v>3585</v>
      </c>
      <c r="C1272" s="36" t="s">
        <v>3597</v>
      </c>
      <c r="D1272" s="3" t="s">
        <v>3586</v>
      </c>
      <c r="E1272" s="3" t="s">
        <v>3587</v>
      </c>
      <c r="F1272" s="3" t="s">
        <v>3588</v>
      </c>
      <c r="G1272" s="3" t="s">
        <v>1118</v>
      </c>
      <c r="H1272" s="3" t="s">
        <v>1118</v>
      </c>
      <c r="I1272" s="4">
        <v>2.0</v>
      </c>
      <c r="J1272" s="4">
        <v>2.0</v>
      </c>
      <c r="K1272" s="2"/>
      <c r="L1272" s="3" t="s">
        <v>3589</v>
      </c>
      <c r="M1272" s="3" t="s">
        <v>3590</v>
      </c>
      <c r="N1272" s="3" t="s">
        <v>22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>
      <c r="A1273" s="3" t="s">
        <v>14</v>
      </c>
      <c r="B1273" s="3" t="s">
        <v>3585</v>
      </c>
      <c r="C1273" s="36" t="s">
        <v>3597</v>
      </c>
      <c r="D1273" s="3" t="s">
        <v>3586</v>
      </c>
      <c r="E1273" s="3" t="s">
        <v>3587</v>
      </c>
      <c r="F1273" s="3" t="s">
        <v>3588</v>
      </c>
      <c r="G1273" s="3" t="s">
        <v>172</v>
      </c>
      <c r="H1273" s="3" t="s">
        <v>334</v>
      </c>
      <c r="I1273" s="4">
        <v>3.0</v>
      </c>
      <c r="J1273" s="4">
        <v>3.0</v>
      </c>
      <c r="K1273" s="2"/>
      <c r="L1273" s="3" t="s">
        <v>3589</v>
      </c>
      <c r="M1273" s="3" t="s">
        <v>3590</v>
      </c>
      <c r="N1273" s="3" t="s">
        <v>22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>
      <c r="A1274" s="2"/>
      <c r="B1274" s="2"/>
      <c r="C1274" s="40"/>
      <c r="D1274" s="2"/>
      <c r="E1274" s="2"/>
      <c r="F1274" s="2"/>
      <c r="G1274" s="2"/>
      <c r="H1274" s="2"/>
      <c r="I1274" s="31"/>
      <c r="J1274" s="31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>
      <c r="A1275" s="2"/>
      <c r="B1275" s="2"/>
      <c r="C1275" s="40"/>
      <c r="D1275" s="2"/>
      <c r="E1275" s="2"/>
      <c r="F1275" s="2"/>
      <c r="G1275" s="2"/>
      <c r="H1275" s="2"/>
      <c r="I1275" s="31"/>
      <c r="J1275" s="31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>
      <c r="A1276" s="2"/>
      <c r="B1276" s="2"/>
      <c r="C1276" s="40"/>
      <c r="D1276" s="2"/>
      <c r="E1276" s="2"/>
      <c r="F1276" s="2"/>
      <c r="G1276" s="2"/>
      <c r="H1276" s="2"/>
      <c r="I1276" s="31"/>
      <c r="J1276" s="31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>
      <c r="A1277" s="2"/>
      <c r="B1277" s="2"/>
      <c r="C1277" s="40"/>
      <c r="D1277" s="2"/>
      <c r="E1277" s="2"/>
      <c r="F1277" s="2"/>
      <c r="G1277" s="2"/>
      <c r="H1277" s="2"/>
      <c r="I1277" s="31"/>
      <c r="J1277" s="31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>
      <c r="A1278" s="2"/>
      <c r="B1278" s="2"/>
      <c r="C1278" s="40"/>
      <c r="D1278" s="2"/>
      <c r="E1278" s="2"/>
      <c r="F1278" s="2"/>
      <c r="G1278" s="2"/>
      <c r="H1278" s="2"/>
      <c r="I1278" s="31"/>
      <c r="J1278" s="31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>
      <c r="A1279" s="2"/>
      <c r="B1279" s="2"/>
      <c r="C1279" s="40"/>
      <c r="D1279" s="2"/>
      <c r="E1279" s="2"/>
      <c r="F1279" s="2"/>
      <c r="G1279" s="2"/>
      <c r="H1279" s="2"/>
      <c r="I1279" s="31"/>
      <c r="J1279" s="31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>
      <c r="A1280" s="2"/>
      <c r="B1280" s="2"/>
      <c r="C1280" s="40"/>
      <c r="D1280" s="2"/>
      <c r="E1280" s="2"/>
      <c r="F1280" s="2"/>
      <c r="G1280" s="2"/>
      <c r="H1280" s="2"/>
      <c r="I1280" s="31"/>
      <c r="J1280" s="31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>
      <c r="A1281" s="2"/>
      <c r="B1281" s="2"/>
      <c r="C1281" s="40"/>
      <c r="D1281" s="2"/>
      <c r="E1281" s="2"/>
      <c r="F1281" s="2"/>
      <c r="G1281" s="2"/>
      <c r="H1281" s="2"/>
      <c r="I1281" s="31"/>
      <c r="J1281" s="31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>
      <c r="A1282" s="2"/>
      <c r="B1282" s="2"/>
      <c r="C1282" s="40"/>
      <c r="D1282" s="2"/>
      <c r="E1282" s="2"/>
      <c r="F1282" s="2"/>
      <c r="G1282" s="2"/>
      <c r="H1282" s="2"/>
      <c r="I1282" s="31"/>
      <c r="J1282" s="31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>
      <c r="A1283" s="2"/>
      <c r="B1283" s="2"/>
      <c r="C1283" s="40"/>
      <c r="D1283" s="2"/>
      <c r="E1283" s="2"/>
      <c r="F1283" s="2"/>
      <c r="G1283" s="2"/>
      <c r="H1283" s="2"/>
      <c r="I1283" s="31"/>
      <c r="J1283" s="31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>
      <c r="A1284" s="2"/>
      <c r="B1284" s="2"/>
      <c r="C1284" s="40"/>
      <c r="D1284" s="2"/>
      <c r="E1284" s="2"/>
      <c r="F1284" s="2"/>
      <c r="G1284" s="2"/>
      <c r="H1284" s="2"/>
      <c r="I1284" s="31"/>
      <c r="J1284" s="31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>
      <c r="A1285" s="2"/>
      <c r="B1285" s="2"/>
      <c r="C1285" s="40"/>
      <c r="D1285" s="2"/>
      <c r="E1285" s="2"/>
      <c r="F1285" s="2"/>
      <c r="G1285" s="2"/>
      <c r="H1285" s="2"/>
      <c r="I1285" s="31"/>
      <c r="J1285" s="31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>
      <c r="A1286" s="2"/>
      <c r="B1286" s="2"/>
      <c r="C1286" s="40"/>
      <c r="D1286" s="2"/>
      <c r="E1286" s="2"/>
      <c r="F1286" s="2"/>
      <c r="G1286" s="2"/>
      <c r="H1286" s="2"/>
      <c r="I1286" s="31"/>
      <c r="J1286" s="31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>
      <c r="A1287" s="2"/>
      <c r="B1287" s="2"/>
      <c r="C1287" s="40"/>
      <c r="D1287" s="2"/>
      <c r="E1287" s="2"/>
      <c r="F1287" s="2"/>
      <c r="G1287" s="2"/>
      <c r="H1287" s="2"/>
      <c r="I1287" s="31"/>
      <c r="J1287" s="31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>
      <c r="A1288" s="2"/>
      <c r="B1288" s="2"/>
      <c r="C1288" s="40"/>
      <c r="D1288" s="2"/>
      <c r="E1288" s="2"/>
      <c r="F1288" s="2"/>
      <c r="G1288" s="2"/>
      <c r="H1288" s="2"/>
      <c r="I1288" s="31"/>
      <c r="J1288" s="31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>
      <c r="A1289" s="2"/>
      <c r="B1289" s="2"/>
      <c r="C1289" s="40"/>
      <c r="D1289" s="2"/>
      <c r="E1289" s="2"/>
      <c r="F1289" s="2"/>
      <c r="G1289" s="2"/>
      <c r="H1289" s="2"/>
      <c r="I1289" s="31"/>
      <c r="J1289" s="31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>
      <c r="A1290" s="2"/>
      <c r="B1290" s="2"/>
      <c r="C1290" s="40"/>
      <c r="D1290" s="2"/>
      <c r="E1290" s="2"/>
      <c r="F1290" s="2"/>
      <c r="G1290" s="2"/>
      <c r="H1290" s="2"/>
      <c r="I1290" s="31"/>
      <c r="J1290" s="31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>
      <c r="A1291" s="2"/>
      <c r="B1291" s="2"/>
      <c r="C1291" s="40"/>
      <c r="D1291" s="2"/>
      <c r="E1291" s="2"/>
      <c r="F1291" s="2"/>
      <c r="G1291" s="2"/>
      <c r="H1291" s="2"/>
      <c r="I1291" s="31"/>
      <c r="J1291" s="31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>
      <c r="A1292" s="2"/>
      <c r="B1292" s="2"/>
      <c r="C1292" s="40"/>
      <c r="D1292" s="2"/>
      <c r="E1292" s="2"/>
      <c r="F1292" s="2"/>
      <c r="G1292" s="2"/>
      <c r="H1292" s="2"/>
      <c r="I1292" s="31"/>
      <c r="J1292" s="31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>
      <c r="A1293" s="2"/>
      <c r="B1293" s="2"/>
      <c r="C1293" s="40"/>
      <c r="D1293" s="2"/>
      <c r="E1293" s="2"/>
      <c r="F1293" s="2"/>
      <c r="G1293" s="2"/>
      <c r="H1293" s="2"/>
      <c r="I1293" s="31"/>
      <c r="J1293" s="31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>
      <c r="A1294" s="2"/>
      <c r="B1294" s="2"/>
      <c r="C1294" s="40"/>
      <c r="D1294" s="2"/>
      <c r="E1294" s="2"/>
      <c r="F1294" s="2"/>
      <c r="G1294" s="2"/>
      <c r="H1294" s="2"/>
      <c r="I1294" s="31"/>
      <c r="J1294" s="31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>
      <c r="A1295" s="2"/>
      <c r="B1295" s="2"/>
      <c r="C1295" s="40"/>
      <c r="D1295" s="2"/>
      <c r="E1295" s="2"/>
      <c r="F1295" s="2"/>
      <c r="G1295" s="2"/>
      <c r="H1295" s="2"/>
      <c r="I1295" s="31"/>
      <c r="J1295" s="31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>
      <c r="A1296" s="2"/>
      <c r="B1296" s="2"/>
      <c r="C1296" s="40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>
      <c r="A1297" s="2"/>
      <c r="B1297" s="2"/>
      <c r="C1297" s="40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>
      <c r="A1298" s="2"/>
      <c r="B1298" s="2"/>
      <c r="C1298" s="40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>
      <c r="A1299" s="2"/>
      <c r="B1299" s="2"/>
      <c r="C1299" s="40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>
      <c r="A1300" s="2"/>
      <c r="B1300" s="2"/>
      <c r="C1300" s="40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>
      <c r="A1301" s="2"/>
      <c r="B1301" s="2"/>
      <c r="C1301" s="40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>
      <c r="A1302" s="2"/>
      <c r="B1302" s="2"/>
      <c r="C1302" s="40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>
      <c r="A1303" s="2"/>
      <c r="B1303" s="2"/>
      <c r="C1303" s="40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>
      <c r="A1304" s="2"/>
      <c r="B1304" s="2"/>
      <c r="C1304" s="40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>
      <c r="A1305" s="2"/>
      <c r="B1305" s="2"/>
      <c r="C1305" s="40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>
      <c r="A1306" s="2"/>
      <c r="B1306" s="2"/>
      <c r="C1306" s="40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>
      <c r="A1307" s="2"/>
      <c r="B1307" s="2"/>
      <c r="C1307" s="40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>
      <c r="A1308" s="2"/>
      <c r="B1308" s="2"/>
      <c r="C1308" s="40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>
      <c r="A1309" s="2"/>
      <c r="B1309" s="2"/>
      <c r="C1309" s="40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>
      <c r="A1310" s="2"/>
      <c r="B1310" s="2"/>
      <c r="C1310" s="40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>
      <c r="A1311" s="2"/>
      <c r="B1311" s="2"/>
      <c r="C1311" s="40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>
      <c r="A1312" s="2"/>
      <c r="B1312" s="2"/>
      <c r="C1312" s="40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>
      <c r="A1313" s="2"/>
      <c r="B1313" s="2"/>
      <c r="C1313" s="40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>
      <c r="A1314" s="2"/>
      <c r="B1314" s="2"/>
      <c r="C1314" s="40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>
      <c r="A1315" s="2"/>
      <c r="B1315" s="2"/>
      <c r="C1315" s="40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>
      <c r="A1316" s="2"/>
      <c r="B1316" s="2"/>
      <c r="C1316" s="40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>
      <c r="A1317" s="2"/>
      <c r="B1317" s="2"/>
      <c r="C1317" s="40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>
      <c r="A1318" s="2"/>
      <c r="B1318" s="2"/>
      <c r="C1318" s="40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>
      <c r="A1319" s="2"/>
      <c r="B1319" s="2"/>
      <c r="C1319" s="40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>
      <c r="A1320" s="2"/>
      <c r="B1320" s="2"/>
      <c r="C1320" s="40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>
      <c r="A1321" s="2"/>
      <c r="B1321" s="2"/>
      <c r="C1321" s="40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>
      <c r="A1322" s="2"/>
      <c r="B1322" s="2"/>
      <c r="C1322" s="40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>
      <c r="A1323" s="2"/>
      <c r="B1323" s="2"/>
      <c r="C1323" s="40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>
      <c r="A1324" s="2"/>
      <c r="B1324" s="2"/>
      <c r="C1324" s="40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>
      <c r="A1325" s="2"/>
      <c r="B1325" s="2"/>
      <c r="C1325" s="40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>
      <c r="A1326" s="2"/>
      <c r="B1326" s="2"/>
      <c r="C1326" s="40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>
      <c r="A1327" s="2"/>
      <c r="B1327" s="2"/>
      <c r="C1327" s="40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>
      <c r="A1328" s="2"/>
      <c r="B1328" s="2"/>
      <c r="C1328" s="40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>
      <c r="A1329" s="2"/>
      <c r="B1329" s="2"/>
      <c r="C1329" s="40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>
      <c r="A1330" s="2"/>
      <c r="B1330" s="2"/>
      <c r="C1330" s="40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>
      <c r="A1331" s="2"/>
      <c r="B1331" s="2"/>
      <c r="C1331" s="40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>
      <c r="A1332" s="2"/>
      <c r="B1332" s="2"/>
      <c r="C1332" s="40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>
      <c r="A1333" s="2"/>
      <c r="B1333" s="2"/>
      <c r="C1333" s="40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>
      <c r="A1334" s="2"/>
      <c r="B1334" s="2"/>
      <c r="C1334" s="40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>
      <c r="A1335" s="2"/>
      <c r="B1335" s="2"/>
      <c r="C1335" s="40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>
      <c r="A1336" s="2"/>
      <c r="B1336" s="2"/>
      <c r="C1336" s="40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>
      <c r="A1337" s="2"/>
      <c r="B1337" s="2"/>
      <c r="C1337" s="40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>
      <c r="A1338" s="2"/>
      <c r="B1338" s="2"/>
      <c r="C1338" s="40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>
      <c r="A1339" s="2"/>
      <c r="B1339" s="2"/>
      <c r="C1339" s="40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>
      <c r="A1340" s="2"/>
      <c r="B1340" s="2"/>
      <c r="C1340" s="40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>
      <c r="A1341" s="2"/>
      <c r="B1341" s="2"/>
      <c r="C1341" s="40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>
      <c r="A1342" s="2"/>
      <c r="B1342" s="2"/>
      <c r="C1342" s="40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>
      <c r="A1343" s="2"/>
      <c r="B1343" s="2"/>
      <c r="C1343" s="40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>
      <c r="A1344" s="2"/>
      <c r="B1344" s="2"/>
      <c r="C1344" s="40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>
      <c r="A1345" s="2"/>
      <c r="B1345" s="2"/>
      <c r="C1345" s="40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>
      <c r="A1346" s="2"/>
      <c r="B1346" s="2"/>
      <c r="C1346" s="40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>
      <c r="A1347" s="2"/>
      <c r="B1347" s="2"/>
      <c r="C1347" s="40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>
      <c r="A1348" s="2"/>
      <c r="B1348" s="2"/>
      <c r="C1348" s="40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>
      <c r="A1349" s="2"/>
      <c r="B1349" s="2"/>
      <c r="C1349" s="40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>
      <c r="A1350" s="2"/>
      <c r="B1350" s="2"/>
      <c r="C1350" s="40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>
      <c r="A1351" s="2"/>
      <c r="B1351" s="2"/>
      <c r="C1351" s="40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>
      <c r="A1352" s="2"/>
      <c r="B1352" s="2"/>
      <c r="C1352" s="40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>
      <c r="A1353" s="2"/>
      <c r="B1353" s="2"/>
      <c r="C1353" s="40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>
      <c r="A1354" s="2"/>
      <c r="B1354" s="2"/>
      <c r="C1354" s="40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>
      <c r="A1355" s="2"/>
      <c r="B1355" s="2"/>
      <c r="C1355" s="40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>
      <c r="A1356" s="2"/>
      <c r="B1356" s="2"/>
      <c r="C1356" s="40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>
      <c r="A1357" s="2"/>
      <c r="B1357" s="2"/>
      <c r="C1357" s="40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>
      <c r="A1358" s="2"/>
      <c r="B1358" s="2"/>
      <c r="C1358" s="40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>
      <c r="A1359" s="2"/>
      <c r="B1359" s="2"/>
      <c r="C1359" s="40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>
      <c r="A1360" s="2"/>
      <c r="B1360" s="2"/>
      <c r="C1360" s="40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>
      <c r="A1361" s="2"/>
      <c r="B1361" s="2"/>
      <c r="C1361" s="40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>
      <c r="A1362" s="2"/>
      <c r="B1362" s="2"/>
      <c r="C1362" s="40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>
      <c r="A1363" s="2"/>
      <c r="B1363" s="2"/>
      <c r="C1363" s="40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>
      <c r="A1364" s="2"/>
      <c r="B1364" s="2"/>
      <c r="C1364" s="40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>
      <c r="A1365" s="2"/>
      <c r="B1365" s="2"/>
      <c r="C1365" s="40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>
      <c r="A1366" s="2"/>
      <c r="B1366" s="2"/>
      <c r="C1366" s="40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>
      <c r="A1367" s="2"/>
      <c r="B1367" s="2"/>
      <c r="C1367" s="40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>
      <c r="A1368" s="2"/>
      <c r="B1368" s="2"/>
      <c r="C1368" s="40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>
      <c r="A1369" s="2"/>
      <c r="B1369" s="2"/>
      <c r="C1369" s="40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>
      <c r="A1370" s="2"/>
      <c r="B1370" s="2"/>
      <c r="C1370" s="40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>
      <c r="A1371" s="2"/>
      <c r="B1371" s="2"/>
      <c r="C1371" s="41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>
      <c r="A1372" s="2"/>
      <c r="B1372" s="2"/>
      <c r="C1372" s="41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>
      <c r="A1373" s="2"/>
      <c r="B1373" s="2"/>
      <c r="C1373" s="41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>
      <c r="A1374" s="2"/>
      <c r="B1374" s="2"/>
      <c r="C1374" s="41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>
      <c r="A1375" s="2"/>
      <c r="B1375" s="2"/>
      <c r="C1375" s="41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>
      <c r="A1376" s="2"/>
      <c r="B1376" s="2"/>
      <c r="C1376" s="41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>
      <c r="A1377" s="2"/>
      <c r="B1377" s="2"/>
      <c r="C1377" s="41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>
      <c r="A1378" s="2"/>
      <c r="B1378" s="2"/>
      <c r="C1378" s="41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>
      <c r="A1379" s="2"/>
      <c r="B1379" s="2"/>
      <c r="C1379" s="41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>
      <c r="A1380" s="2"/>
      <c r="B1380" s="2"/>
      <c r="C1380" s="41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>
      <c r="A1381" s="2"/>
      <c r="B1381" s="2"/>
      <c r="C1381" s="41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>
      <c r="A1382" s="2"/>
      <c r="B1382" s="2"/>
      <c r="C1382" s="41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>
      <c r="A1383" s="2"/>
      <c r="B1383" s="2"/>
      <c r="C1383" s="41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>
      <c r="A1384" s="2"/>
      <c r="B1384" s="2"/>
      <c r="C1384" s="41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>
      <c r="A1385" s="2"/>
      <c r="B1385" s="2"/>
      <c r="C1385" s="41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>
      <c r="A1386" s="2"/>
      <c r="B1386" s="2"/>
      <c r="C1386" s="41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>
      <c r="A1387" s="2"/>
      <c r="B1387" s="2"/>
      <c r="C1387" s="41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>
      <c r="A1388" s="2"/>
      <c r="B1388" s="2"/>
      <c r="C1388" s="41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>
      <c r="A1389" s="2"/>
      <c r="B1389" s="2"/>
      <c r="C1389" s="41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>
      <c r="A1390" s="2"/>
      <c r="B1390" s="2"/>
      <c r="C1390" s="41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>
      <c r="A1391" s="2"/>
      <c r="B1391" s="2"/>
      <c r="C1391" s="41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>
      <c r="A1392" s="2"/>
      <c r="B1392" s="2"/>
      <c r="C1392" s="41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>
      <c r="A1393" s="2"/>
      <c r="B1393" s="2"/>
      <c r="C1393" s="41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>
      <c r="A1394" s="2"/>
      <c r="B1394" s="2"/>
      <c r="C1394" s="41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>
      <c r="A1395" s="2"/>
      <c r="B1395" s="2"/>
      <c r="C1395" s="41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>
      <c r="A1396" s="2"/>
      <c r="B1396" s="2"/>
      <c r="C1396" s="41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>
      <c r="A1397" s="2"/>
      <c r="B1397" s="2"/>
      <c r="C1397" s="41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>
      <c r="A1398" s="2"/>
      <c r="B1398" s="2"/>
      <c r="C1398" s="41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>
      <c r="A1399" s="2"/>
      <c r="B1399" s="2"/>
      <c r="C1399" s="41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>
      <c r="A1400" s="2"/>
      <c r="B1400" s="2"/>
      <c r="C1400" s="41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>
      <c r="A1401" s="2"/>
      <c r="B1401" s="2"/>
      <c r="C1401" s="41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>
      <c r="A1402" s="2"/>
      <c r="B1402" s="2"/>
      <c r="C1402" s="41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>
      <c r="A1403" s="2"/>
      <c r="B1403" s="2"/>
      <c r="C1403" s="41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>
      <c r="A1404" s="2"/>
      <c r="B1404" s="2"/>
      <c r="C1404" s="41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>
      <c r="A1405" s="2"/>
      <c r="B1405" s="2"/>
      <c r="C1405" s="41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>
      <c r="A1406" s="2"/>
      <c r="B1406" s="2"/>
      <c r="C1406" s="41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>
      <c r="A1407" s="2"/>
      <c r="B1407" s="2"/>
      <c r="C1407" s="41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>
      <c r="A1408" s="2"/>
      <c r="B1408" s="2"/>
      <c r="C1408" s="41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>
      <c r="A1409" s="2"/>
      <c r="B1409" s="2"/>
      <c r="C1409" s="41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>
      <c r="A1410" s="2"/>
      <c r="B1410" s="2"/>
      <c r="C1410" s="41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>
      <c r="A1411" s="2"/>
      <c r="B1411" s="2"/>
      <c r="C1411" s="41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>
      <c r="A1412" s="2"/>
      <c r="B1412" s="2"/>
      <c r="C1412" s="41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10" width="8.38"/>
    <col customWidth="1" min="11" max="11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3633</v>
      </c>
      <c r="I1" s="1" t="s">
        <v>3634</v>
      </c>
      <c r="J1" s="1" t="s">
        <v>7</v>
      </c>
      <c r="K1" s="1" t="s">
        <v>8</v>
      </c>
      <c r="L1" s="1" t="s">
        <v>3635</v>
      </c>
      <c r="M1" s="42" t="s">
        <v>3636</v>
      </c>
      <c r="N1" s="1" t="s">
        <v>3637</v>
      </c>
      <c r="O1" s="1" t="s">
        <v>3638</v>
      </c>
      <c r="P1" s="1" t="s">
        <v>3639</v>
      </c>
      <c r="Q1" s="1" t="s">
        <v>3640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19</v>
      </c>
      <c r="H2" s="43">
        <f t="shared" ref="H2:I2" si="1">LEN(D2)-LEN(B2)+1</f>
        <v>2</v>
      </c>
      <c r="I2" s="43">
        <f t="shared" si="1"/>
        <v>2</v>
      </c>
      <c r="J2" s="4">
        <v>1.0</v>
      </c>
      <c r="K2" s="4">
        <v>1.0</v>
      </c>
      <c r="L2" s="5" t="str">
        <f t="shared" ref="L2:M2" si="2">IFS(J2="-", "-", J2=H2, "Final", J2=1, "Initial", J2&gt;1, "Medial")</f>
        <v>Initial</v>
      </c>
      <c r="M2" s="44" t="str">
        <f t="shared" si="2"/>
        <v>Initial</v>
      </c>
      <c r="N2" s="5" t="str">
        <f t="shared" ref="N2:N1273" si="5">IF(NE($B2,$B1), "0", $F1)</f>
        <v>0</v>
      </c>
      <c r="O2" s="5" t="str">
        <f t="shared" ref="O2:O1297" si="6">IF(NE($B3,$B2), $J2, $F3)</f>
        <v>ju</v>
      </c>
      <c r="P2" s="5" t="str">
        <f t="shared" ref="P2:P1273" si="7">IF(NE($C2,$C1), "0", $G1)</f>
        <v>0</v>
      </c>
      <c r="Q2" s="5" t="str">
        <f t="shared" ref="Q2:Q1286" si="8">IF(NE($C3,$C2), $K2, $G3)</f>
        <v>ʎu</v>
      </c>
      <c r="R2" s="5"/>
      <c r="S2" s="3" t="s">
        <v>20</v>
      </c>
      <c r="T2" s="3" t="s">
        <v>21</v>
      </c>
      <c r="U2" s="3" t="s">
        <v>22</v>
      </c>
      <c r="V2" s="5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23</v>
      </c>
      <c r="G3" s="3" t="s">
        <v>24</v>
      </c>
      <c r="H3" s="43">
        <f t="shared" ref="H3:I3" si="3">LEN(D3)-LEN(B3)+1</f>
        <v>2</v>
      </c>
      <c r="I3" s="43">
        <f t="shared" si="3"/>
        <v>2</v>
      </c>
      <c r="J3" s="4">
        <v>2.0</v>
      </c>
      <c r="K3" s="4">
        <v>2.0</v>
      </c>
      <c r="L3" s="5" t="str">
        <f t="shared" ref="L3:M3" si="4">IFS(J3="-", "-", J3=H3, "Final", J3=1, "Initial", J3&gt;1, "Medial")</f>
        <v>Final</v>
      </c>
      <c r="M3" s="44" t="str">
        <f t="shared" si="4"/>
        <v>Final</v>
      </c>
      <c r="N3" s="5" t="str">
        <f t="shared" si="5"/>
        <v>ˈa</v>
      </c>
      <c r="O3" s="5">
        <f t="shared" si="6"/>
        <v>2</v>
      </c>
      <c r="P3" s="5" t="str">
        <f t="shared" si="7"/>
        <v>ˈa</v>
      </c>
      <c r="Q3" s="5">
        <f t="shared" si="8"/>
        <v>2</v>
      </c>
      <c r="R3" s="5"/>
      <c r="S3" s="3" t="s">
        <v>20</v>
      </c>
      <c r="T3" s="3" t="s">
        <v>21</v>
      </c>
      <c r="U3" s="3" t="s">
        <v>22</v>
      </c>
      <c r="V3" s="5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15" t="s">
        <v>14</v>
      </c>
      <c r="B4" s="15" t="s">
        <v>25</v>
      </c>
      <c r="C4" s="15" t="s">
        <v>26</v>
      </c>
      <c r="D4" s="15" t="s">
        <v>27</v>
      </c>
      <c r="E4" s="15" t="s">
        <v>28</v>
      </c>
      <c r="F4" s="15" t="s">
        <v>29</v>
      </c>
      <c r="G4" s="15" t="s">
        <v>30</v>
      </c>
      <c r="H4" s="43">
        <f t="shared" ref="H4:I4" si="9">LEN(D4)-LEN(B4)+1</f>
        <v>3</v>
      </c>
      <c r="I4" s="43">
        <f t="shared" si="9"/>
        <v>2</v>
      </c>
      <c r="J4" s="18">
        <v>1.0</v>
      </c>
      <c r="K4" s="18">
        <v>1.0</v>
      </c>
      <c r="L4" s="5" t="str">
        <f t="shared" ref="L4:M4" si="10">IFS(J4="-", "-", J4=H4, "Final", J4=1, "Initial", J4&gt;1, "Medial")</f>
        <v>Initial</v>
      </c>
      <c r="M4" s="44" t="str">
        <f t="shared" si="10"/>
        <v>Initial</v>
      </c>
      <c r="N4" s="5" t="str">
        <f t="shared" si="5"/>
        <v>0</v>
      </c>
      <c r="O4" s="5" t="str">
        <f t="shared" si="6"/>
        <v>ˈro</v>
      </c>
      <c r="P4" s="5" t="str">
        <f t="shared" si="7"/>
        <v>0</v>
      </c>
      <c r="Q4" s="5" t="str">
        <f t="shared" si="8"/>
        <v>ˈʀoʃ</v>
      </c>
      <c r="R4" s="20"/>
      <c r="S4" s="15" t="s">
        <v>31</v>
      </c>
      <c r="T4" s="15" t="s">
        <v>32</v>
      </c>
      <c r="U4" s="15" t="s">
        <v>22</v>
      </c>
      <c r="V4" s="20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>
      <c r="A5" s="15" t="s">
        <v>14</v>
      </c>
      <c r="B5" s="15" t="s">
        <v>25</v>
      </c>
      <c r="C5" s="15" t="s">
        <v>26</v>
      </c>
      <c r="D5" s="15" t="s">
        <v>27</v>
      </c>
      <c r="E5" s="15" t="s">
        <v>28</v>
      </c>
      <c r="F5" s="15" t="s">
        <v>33</v>
      </c>
      <c r="G5" s="15" t="s">
        <v>34</v>
      </c>
      <c r="H5" s="43">
        <f t="shared" ref="H5:I5" si="11">LEN(D5)-LEN(B5)+1</f>
        <v>3</v>
      </c>
      <c r="I5" s="43">
        <f t="shared" si="11"/>
        <v>2</v>
      </c>
      <c r="J5" s="18">
        <v>2.0</v>
      </c>
      <c r="K5" s="18">
        <v>2.0</v>
      </c>
      <c r="L5" s="5" t="str">
        <f t="shared" ref="L5:M5" si="12">IFS(J5="-", "-", J5=H5, "Final", J5=1, "Initial", J5&gt;1, "Medial")</f>
        <v>Medial</v>
      </c>
      <c r="M5" s="44" t="str">
        <f t="shared" si="12"/>
        <v>Final</v>
      </c>
      <c r="N5" s="5" t="str">
        <f t="shared" si="5"/>
        <v>o</v>
      </c>
      <c r="O5" s="5" t="str">
        <f t="shared" si="6"/>
        <v>so</v>
      </c>
      <c r="P5" s="5" t="str">
        <f t="shared" si="7"/>
        <v>a</v>
      </c>
      <c r="Q5" s="5" t="str">
        <f t="shared" si="8"/>
        <v>-</v>
      </c>
      <c r="R5" s="15"/>
      <c r="S5" s="15" t="s">
        <v>31</v>
      </c>
      <c r="T5" s="15" t="s">
        <v>32</v>
      </c>
      <c r="U5" s="15" t="s">
        <v>22</v>
      </c>
      <c r="V5" s="20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>
      <c r="A6" s="15" t="s">
        <v>14</v>
      </c>
      <c r="B6" s="15" t="s">
        <v>25</v>
      </c>
      <c r="C6" s="15" t="s">
        <v>26</v>
      </c>
      <c r="D6" s="15" t="s">
        <v>27</v>
      </c>
      <c r="E6" s="15" t="s">
        <v>28</v>
      </c>
      <c r="F6" s="15" t="s">
        <v>35</v>
      </c>
      <c r="G6" s="15" t="s">
        <v>36</v>
      </c>
      <c r="H6" s="43">
        <f t="shared" ref="H6:I6" si="13">LEN(D6)-LEN(B6)+1</f>
        <v>3</v>
      </c>
      <c r="I6" s="43">
        <f t="shared" si="13"/>
        <v>2</v>
      </c>
      <c r="J6" s="18">
        <v>3.0</v>
      </c>
      <c r="K6" s="18" t="s">
        <v>36</v>
      </c>
      <c r="L6" s="5" t="str">
        <f t="shared" ref="L6:M6" si="14">IFS(J6="-", "-", J6=H6, "Final", J6=1, "Initial", J6&gt;1, "Medial")</f>
        <v>Final</v>
      </c>
      <c r="M6" s="44" t="str">
        <f t="shared" si="14"/>
        <v>-</v>
      </c>
      <c r="N6" s="5" t="str">
        <f t="shared" si="5"/>
        <v>ˈro</v>
      </c>
      <c r="O6" s="5">
        <f t="shared" si="6"/>
        <v>3</v>
      </c>
      <c r="P6" s="5" t="str">
        <f t="shared" si="7"/>
        <v>ˈʀoʃ</v>
      </c>
      <c r="Q6" s="5" t="str">
        <f t="shared" si="8"/>
        <v>-</v>
      </c>
      <c r="R6" s="20"/>
      <c r="S6" s="15" t="s">
        <v>31</v>
      </c>
      <c r="T6" s="15" t="s">
        <v>32</v>
      </c>
      <c r="U6" s="15" t="s">
        <v>22</v>
      </c>
      <c r="V6" s="20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>
      <c r="A7" s="3" t="s">
        <v>14</v>
      </c>
      <c r="B7" s="3" t="s">
        <v>37</v>
      </c>
      <c r="C7" s="3" t="s">
        <v>38</v>
      </c>
      <c r="D7" s="6" t="s">
        <v>39</v>
      </c>
      <c r="E7" s="3" t="s">
        <v>40</v>
      </c>
      <c r="F7" s="3" t="s">
        <v>19</v>
      </c>
      <c r="G7" s="3" t="s">
        <v>19</v>
      </c>
      <c r="H7" s="43">
        <f t="shared" ref="H7:I7" si="15">LEN(D7)-LEN(B7)+1</f>
        <v>2</v>
      </c>
      <c r="I7" s="43">
        <f t="shared" si="15"/>
        <v>2</v>
      </c>
      <c r="J7" s="4">
        <v>1.0</v>
      </c>
      <c r="K7" s="4">
        <v>1.0</v>
      </c>
      <c r="L7" s="5" t="str">
        <f t="shared" ref="L7:M7" si="16">IFS(J7="-", "-", J7=H7, "Final", J7=1, "Initial", J7&gt;1, "Medial")</f>
        <v>Initial</v>
      </c>
      <c r="M7" s="44" t="str">
        <f t="shared" si="16"/>
        <v>Initial</v>
      </c>
      <c r="N7" s="5" t="str">
        <f t="shared" si="5"/>
        <v>0</v>
      </c>
      <c r="O7" s="5" t="str">
        <f t="shared" si="6"/>
        <v>wɐ</v>
      </c>
      <c r="P7" s="5" t="str">
        <f t="shared" si="7"/>
        <v>0</v>
      </c>
      <c r="Q7" s="5" t="str">
        <f t="shared" si="8"/>
        <v>guɐ</v>
      </c>
      <c r="R7" s="3"/>
      <c r="S7" s="3" t="s">
        <v>41</v>
      </c>
      <c r="T7" s="3" t="s">
        <v>42</v>
      </c>
      <c r="U7" s="3" t="s">
        <v>22</v>
      </c>
      <c r="V7" s="5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>
      <c r="A8" s="3" t="s">
        <v>14</v>
      </c>
      <c r="B8" s="3" t="s">
        <v>37</v>
      </c>
      <c r="C8" s="3" t="s">
        <v>38</v>
      </c>
      <c r="D8" s="6" t="s">
        <v>39</v>
      </c>
      <c r="E8" s="3" t="s">
        <v>40</v>
      </c>
      <c r="F8" s="3" t="s">
        <v>43</v>
      </c>
      <c r="G8" s="3" t="s">
        <v>44</v>
      </c>
      <c r="H8" s="43">
        <f t="shared" ref="H8:I8" si="17">LEN(D8)-LEN(B8)+1</f>
        <v>2</v>
      </c>
      <c r="I8" s="43">
        <f t="shared" si="17"/>
        <v>2</v>
      </c>
      <c r="J8" s="4">
        <v>2.0</v>
      </c>
      <c r="K8" s="4">
        <v>2.0</v>
      </c>
      <c r="L8" s="5" t="str">
        <f t="shared" ref="L8:M8" si="18">IFS(J8="-", "-", J8=H8, "Final", J8=1, "Initial", J8&gt;1, "Medial")</f>
        <v>Final</v>
      </c>
      <c r="M8" s="44" t="str">
        <f t="shared" si="18"/>
        <v>Final</v>
      </c>
      <c r="N8" s="5" t="str">
        <f t="shared" si="5"/>
        <v>ˈa</v>
      </c>
      <c r="O8" s="5">
        <f t="shared" si="6"/>
        <v>2</v>
      </c>
      <c r="P8" s="5" t="str">
        <f t="shared" si="7"/>
        <v>ˈa</v>
      </c>
      <c r="Q8" s="5">
        <f t="shared" si="8"/>
        <v>2</v>
      </c>
      <c r="R8" s="3"/>
      <c r="S8" s="3" t="s">
        <v>41</v>
      </c>
      <c r="T8" s="3" t="s">
        <v>42</v>
      </c>
      <c r="U8" s="3" t="s">
        <v>22</v>
      </c>
      <c r="V8" s="5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>
      <c r="A9" s="26" t="s">
        <v>14</v>
      </c>
      <c r="B9" s="26" t="s">
        <v>45</v>
      </c>
      <c r="C9" s="26" t="s">
        <v>46</v>
      </c>
      <c r="D9" s="26" t="s">
        <v>47</v>
      </c>
      <c r="E9" s="26" t="s">
        <v>48</v>
      </c>
      <c r="F9" s="26" t="s">
        <v>19</v>
      </c>
      <c r="G9" s="26" t="s">
        <v>49</v>
      </c>
      <c r="H9" s="43">
        <f t="shared" ref="H9:I9" si="19">LEN(D9)-LEN(B9)+1</f>
        <v>3</v>
      </c>
      <c r="I9" s="43">
        <f t="shared" si="19"/>
        <v>4</v>
      </c>
      <c r="J9" s="27">
        <v>1.0</v>
      </c>
      <c r="K9" s="27">
        <v>1.0</v>
      </c>
      <c r="L9" s="5" t="str">
        <f t="shared" ref="L9:M9" si="20">IFS(J9="-", "-", J9=H9, "Final", J9=1, "Initial", J9&gt;1, "Medial")</f>
        <v>Initial</v>
      </c>
      <c r="M9" s="44" t="str">
        <f t="shared" si="20"/>
        <v>Initial</v>
      </c>
      <c r="N9" s="5" t="str">
        <f t="shared" si="5"/>
        <v>0</v>
      </c>
      <c r="O9" s="5" t="str">
        <f t="shared" si="6"/>
        <v>wɐ</v>
      </c>
      <c r="P9" s="5" t="str">
        <f t="shared" si="7"/>
        <v>0</v>
      </c>
      <c r="Q9" s="5" t="str">
        <f t="shared" si="8"/>
        <v>guaɾ</v>
      </c>
      <c r="R9" s="26"/>
      <c r="S9" s="26" t="s">
        <v>50</v>
      </c>
      <c r="T9" s="26" t="s">
        <v>51</v>
      </c>
      <c r="U9" s="26" t="s">
        <v>22</v>
      </c>
      <c r="V9" s="28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>
      <c r="A10" s="26" t="s">
        <v>14</v>
      </c>
      <c r="B10" s="26" t="s">
        <v>45</v>
      </c>
      <c r="C10" s="26" t="s">
        <v>46</v>
      </c>
      <c r="D10" s="26" t="s">
        <v>47</v>
      </c>
      <c r="E10" s="26" t="s">
        <v>48</v>
      </c>
      <c r="F10" s="26" t="s">
        <v>43</v>
      </c>
      <c r="G10" s="26" t="s">
        <v>52</v>
      </c>
      <c r="H10" s="43">
        <f t="shared" ref="H10:I10" si="21">LEN(D10)-LEN(B10)+1</f>
        <v>3</v>
      </c>
      <c r="I10" s="43">
        <f t="shared" si="21"/>
        <v>4</v>
      </c>
      <c r="J10" s="27">
        <v>2.0</v>
      </c>
      <c r="K10" s="27">
        <v>2.0</v>
      </c>
      <c r="L10" s="5" t="str">
        <f t="shared" ref="L10:M10" si="22">IFS(J10="-", "-", J10=H10, "Final", J10=1, "Initial", J10&gt;1, "Medial")</f>
        <v>Medial</v>
      </c>
      <c r="M10" s="44" t="str">
        <f t="shared" si="22"/>
        <v>Medial</v>
      </c>
      <c r="N10" s="5" t="str">
        <f t="shared" si="5"/>
        <v>ˈa</v>
      </c>
      <c r="O10" s="5" t="str">
        <f t="shared" si="6"/>
        <v>dẽ</v>
      </c>
      <c r="P10" s="5" t="str">
        <f t="shared" si="7"/>
        <v>ɐ</v>
      </c>
      <c r="Q10" s="5" t="str">
        <f t="shared" si="8"/>
        <v>ˈdẽ</v>
      </c>
      <c r="R10" s="26"/>
      <c r="S10" s="26" t="s">
        <v>50</v>
      </c>
      <c r="T10" s="26" t="s">
        <v>51</v>
      </c>
      <c r="U10" s="26" t="s">
        <v>22</v>
      </c>
      <c r="V10" s="28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>
      <c r="A11" s="26" t="s">
        <v>14</v>
      </c>
      <c r="B11" s="26" t="s">
        <v>45</v>
      </c>
      <c r="C11" s="26" t="s">
        <v>46</v>
      </c>
      <c r="D11" s="26" t="s">
        <v>47</v>
      </c>
      <c r="E11" s="26" t="s">
        <v>48</v>
      </c>
      <c r="F11" s="26" t="s">
        <v>53</v>
      </c>
      <c r="G11" s="26" t="s">
        <v>54</v>
      </c>
      <c r="H11" s="43">
        <f t="shared" ref="H11:I11" si="23">LEN(D11)-LEN(B11)+1</f>
        <v>3</v>
      </c>
      <c r="I11" s="43">
        <f t="shared" si="23"/>
        <v>4</v>
      </c>
      <c r="J11" s="27">
        <v>3.0</v>
      </c>
      <c r="K11" s="27">
        <v>3.0</v>
      </c>
      <c r="L11" s="5" t="str">
        <f t="shared" ref="L11:M11" si="24">IFS(J11="-", "-", J11=H11, "Final", J11=1, "Initial", J11&gt;1, "Medial")</f>
        <v>Final</v>
      </c>
      <c r="M11" s="44" t="str">
        <f t="shared" si="24"/>
        <v>Medial</v>
      </c>
      <c r="N11" s="5" t="str">
        <f t="shared" si="5"/>
        <v>wɐ</v>
      </c>
      <c r="O11" s="5" t="str">
        <f t="shared" si="6"/>
        <v>t̠ʃi</v>
      </c>
      <c r="P11" s="5" t="str">
        <f t="shared" si="7"/>
        <v>guaɾ</v>
      </c>
      <c r="Q11" s="5" t="str">
        <f t="shared" si="8"/>
        <v>tɨ</v>
      </c>
      <c r="R11" s="26"/>
      <c r="S11" s="26" t="s">
        <v>50</v>
      </c>
      <c r="T11" s="26" t="s">
        <v>51</v>
      </c>
      <c r="U11" s="26" t="s">
        <v>22</v>
      </c>
      <c r="V11" s="28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>
      <c r="A12" s="26" t="s">
        <v>14</v>
      </c>
      <c r="B12" s="26" t="s">
        <v>45</v>
      </c>
      <c r="C12" s="26" t="s">
        <v>46</v>
      </c>
      <c r="D12" s="26" t="s">
        <v>47</v>
      </c>
      <c r="E12" s="26" t="s">
        <v>48</v>
      </c>
      <c r="F12" s="26" t="s">
        <v>55</v>
      </c>
      <c r="G12" s="26" t="s">
        <v>56</v>
      </c>
      <c r="H12" s="43">
        <f t="shared" ref="H12:I12" si="25">LEN(D12)-LEN(B12)+1</f>
        <v>3</v>
      </c>
      <c r="I12" s="43">
        <f t="shared" si="25"/>
        <v>4</v>
      </c>
      <c r="J12" s="27">
        <v>4.0</v>
      </c>
      <c r="K12" s="27">
        <v>4.0</v>
      </c>
      <c r="L12" s="5" t="str">
        <f t="shared" ref="L12:M12" si="26">IFS(J12="-", "-", J12=H12, "Final", J12=1, "Initial", J12&gt;1, "Medial")</f>
        <v>Medial</v>
      </c>
      <c r="M12" s="44" t="str">
        <f t="shared" si="26"/>
        <v>Final</v>
      </c>
      <c r="N12" s="5" t="str">
        <f t="shared" si="5"/>
        <v>dẽ</v>
      </c>
      <c r="O12" s="5">
        <f t="shared" si="6"/>
        <v>4</v>
      </c>
      <c r="P12" s="5" t="str">
        <f t="shared" si="7"/>
        <v>ˈdẽ</v>
      </c>
      <c r="Q12" s="5">
        <f t="shared" si="8"/>
        <v>4</v>
      </c>
      <c r="R12" s="26"/>
      <c r="S12" s="26" t="s">
        <v>50</v>
      </c>
      <c r="T12" s="26" t="s">
        <v>51</v>
      </c>
      <c r="U12" s="26" t="s">
        <v>22</v>
      </c>
      <c r="V12" s="28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>
      <c r="A13" s="3" t="s">
        <v>14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43">
        <f t="shared" ref="H13:I13" si="27">LEN(D13)-LEN(B13)+1</f>
        <v>2</v>
      </c>
      <c r="I13" s="43">
        <f t="shared" si="27"/>
        <v>3</v>
      </c>
      <c r="J13" s="4">
        <v>1.0</v>
      </c>
      <c r="K13" s="4">
        <v>1.0</v>
      </c>
      <c r="L13" s="5" t="str">
        <f t="shared" ref="L13:M13" si="28">IFS(J13="-", "-", J13=H13, "Final", J13=1, "Initial", J13&gt;1, "Medial")</f>
        <v>Initial</v>
      </c>
      <c r="M13" s="44" t="str">
        <f t="shared" si="28"/>
        <v>Initial</v>
      </c>
      <c r="N13" s="5" t="str">
        <f t="shared" si="5"/>
        <v>0</v>
      </c>
      <c r="O13" s="5" t="str">
        <f t="shared" si="6"/>
        <v>-</v>
      </c>
      <c r="P13" s="5" t="str">
        <f t="shared" si="7"/>
        <v>0</v>
      </c>
      <c r="Q13" s="5" t="str">
        <f t="shared" si="8"/>
        <v>ˈnɐ</v>
      </c>
      <c r="R13" s="3"/>
      <c r="S13" s="3" t="s">
        <v>63</v>
      </c>
      <c r="T13" s="3" t="s">
        <v>63</v>
      </c>
      <c r="U13" s="3" t="s">
        <v>22</v>
      </c>
      <c r="V13" s="5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3" t="s">
        <v>14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36</v>
      </c>
      <c r="G14" s="3" t="s">
        <v>64</v>
      </c>
      <c r="H14" s="43">
        <f t="shared" ref="H14:I14" si="29">LEN(D14)-LEN(B14)+1</f>
        <v>2</v>
      </c>
      <c r="I14" s="43">
        <f t="shared" si="29"/>
        <v>3</v>
      </c>
      <c r="J14" s="4" t="s">
        <v>36</v>
      </c>
      <c r="K14" s="4">
        <v>2.0</v>
      </c>
      <c r="L14" s="5" t="str">
        <f t="shared" ref="L14:M14" si="30">IFS(J14="-", "-", J14=H14, "Final", J14=1, "Initial", J14&gt;1, "Medial")</f>
        <v>-</v>
      </c>
      <c r="M14" s="44" t="str">
        <f t="shared" si="30"/>
        <v>Medial</v>
      </c>
      <c r="N14" s="5" t="str">
        <f t="shared" si="5"/>
        <v>ba</v>
      </c>
      <c r="O14" s="5" t="str">
        <f t="shared" si="6"/>
        <v>ˈnɐ</v>
      </c>
      <c r="P14" s="5" t="str">
        <f t="shared" si="7"/>
        <v>bɐ</v>
      </c>
      <c r="Q14" s="5" t="str">
        <f t="shared" si="8"/>
        <v>nɐ</v>
      </c>
      <c r="R14" s="3"/>
      <c r="S14" s="3" t="s">
        <v>63</v>
      </c>
      <c r="T14" s="3" t="s">
        <v>63</v>
      </c>
      <c r="U14" s="3" t="s">
        <v>22</v>
      </c>
      <c r="V14" s="5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3" t="s">
        <v>14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64</v>
      </c>
      <c r="G15" s="3" t="s">
        <v>65</v>
      </c>
      <c r="H15" s="43">
        <f t="shared" ref="H15:I15" si="31">LEN(D15)-LEN(B15)+1</f>
        <v>2</v>
      </c>
      <c r="I15" s="43">
        <f t="shared" si="31"/>
        <v>3</v>
      </c>
      <c r="J15" s="4">
        <v>2.0</v>
      </c>
      <c r="K15" s="4">
        <v>3.0</v>
      </c>
      <c r="L15" s="5" t="str">
        <f t="shared" ref="L15:M15" si="32">IFS(J15="-", "-", J15=H15, "Final", J15=1, "Initial", J15&gt;1, "Medial")</f>
        <v>Final</v>
      </c>
      <c r="M15" s="44" t="str">
        <f t="shared" si="32"/>
        <v>Final</v>
      </c>
      <c r="N15" s="5" t="str">
        <f t="shared" si="5"/>
        <v>-</v>
      </c>
      <c r="O15" s="5">
        <f t="shared" si="6"/>
        <v>2</v>
      </c>
      <c r="P15" s="5" t="str">
        <f t="shared" si="7"/>
        <v>ˈnɐ</v>
      </c>
      <c r="Q15" s="5">
        <f t="shared" si="8"/>
        <v>3</v>
      </c>
      <c r="R15" s="3"/>
      <c r="S15" s="3" t="s">
        <v>63</v>
      </c>
      <c r="T15" s="3" t="s">
        <v>63</v>
      </c>
      <c r="U15" s="3" t="s">
        <v>22</v>
      </c>
      <c r="V15" s="5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3" t="s">
        <v>14</v>
      </c>
      <c r="B16" s="3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3" t="s">
        <v>71</v>
      </c>
      <c r="H16" s="43">
        <f t="shared" ref="H16:I16" si="33">LEN(D16)-LEN(B16)+1</f>
        <v>2</v>
      </c>
      <c r="I16" s="43">
        <f t="shared" si="33"/>
        <v>2</v>
      </c>
      <c r="J16" s="4">
        <v>1.0</v>
      </c>
      <c r="K16" s="4">
        <v>1.0</v>
      </c>
      <c r="L16" s="5" t="str">
        <f t="shared" ref="L16:M16" si="34">IFS(J16="-", "-", J16=H16, "Final", J16=1, "Initial", J16&gt;1, "Medial")</f>
        <v>Initial</v>
      </c>
      <c r="M16" s="44" t="str">
        <f t="shared" si="34"/>
        <v>Initial</v>
      </c>
      <c r="N16" s="5" t="str">
        <f t="shared" si="5"/>
        <v>0</v>
      </c>
      <c r="O16" s="5" t="str">
        <f t="shared" si="6"/>
        <v>ɲɐ</v>
      </c>
      <c r="P16" s="5" t="str">
        <f t="shared" si="7"/>
        <v>0</v>
      </c>
      <c r="Q16" s="5" t="str">
        <f t="shared" si="8"/>
        <v>ɲɐ</v>
      </c>
      <c r="R16" s="3" t="s">
        <v>72</v>
      </c>
      <c r="S16" s="3" t="s">
        <v>73</v>
      </c>
      <c r="T16" s="3" t="s">
        <v>74</v>
      </c>
      <c r="U16" s="3" t="s">
        <v>22</v>
      </c>
      <c r="V16" s="5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3" t="s">
        <v>14</v>
      </c>
      <c r="B17" s="3" t="s">
        <v>66</v>
      </c>
      <c r="C17" s="3" t="s">
        <v>67</v>
      </c>
      <c r="D17" s="3" t="s">
        <v>68</v>
      </c>
      <c r="E17" s="3" t="s">
        <v>69</v>
      </c>
      <c r="F17" s="3" t="s">
        <v>75</v>
      </c>
      <c r="G17" s="3" t="s">
        <v>75</v>
      </c>
      <c r="H17" s="43">
        <f t="shared" ref="H17:I17" si="35">LEN(D17)-LEN(B17)+1</f>
        <v>2</v>
      </c>
      <c r="I17" s="43">
        <f t="shared" si="35"/>
        <v>2</v>
      </c>
      <c r="J17" s="4">
        <v>2.0</v>
      </c>
      <c r="K17" s="4">
        <v>2.0</v>
      </c>
      <c r="L17" s="5" t="str">
        <f t="shared" ref="L17:M17" si="36">IFS(J17="-", "-", J17=H17, "Final", J17=1, "Initial", J17&gt;1, "Medial")</f>
        <v>Final</v>
      </c>
      <c r="M17" s="44" t="str">
        <f t="shared" si="36"/>
        <v>Final</v>
      </c>
      <c r="N17" s="5" t="str">
        <f t="shared" si="5"/>
        <v>ˈbɐ̃</v>
      </c>
      <c r="O17" s="5">
        <f t="shared" si="6"/>
        <v>2</v>
      </c>
      <c r="P17" s="5" t="str">
        <f t="shared" si="7"/>
        <v>ˈbɐ</v>
      </c>
      <c r="Q17" s="5">
        <f t="shared" si="8"/>
        <v>2</v>
      </c>
      <c r="R17" s="3"/>
      <c r="S17" s="3" t="s">
        <v>73</v>
      </c>
      <c r="T17" s="3" t="s">
        <v>74</v>
      </c>
      <c r="U17" s="3" t="s">
        <v>22</v>
      </c>
      <c r="V17" s="5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3" t="s">
        <v>14</v>
      </c>
      <c r="B18" s="3" t="s">
        <v>76</v>
      </c>
      <c r="C18" s="3" t="s">
        <v>77</v>
      </c>
      <c r="D18" s="3" t="s">
        <v>76</v>
      </c>
      <c r="E18" s="3" t="s">
        <v>78</v>
      </c>
      <c r="F18" s="3" t="s">
        <v>76</v>
      </c>
      <c r="G18" s="3" t="s">
        <v>79</v>
      </c>
      <c r="H18" s="43">
        <f t="shared" ref="H18:I18" si="37">LEN(D18)-LEN(B18)+1</f>
        <v>1</v>
      </c>
      <c r="I18" s="43">
        <f t="shared" si="37"/>
        <v>3</v>
      </c>
      <c r="J18" s="4">
        <v>1.0</v>
      </c>
      <c r="K18" s="4">
        <v>1.0</v>
      </c>
      <c r="L18" s="5" t="str">
        <f t="shared" ref="L18:M18" si="38">IFS(J18="-", "-", J18=H18, "Final", J18=1, "Initial", J18&gt;1, "Medial")</f>
        <v>Final</v>
      </c>
      <c r="M18" s="44" t="str">
        <f t="shared" si="38"/>
        <v>Initial</v>
      </c>
      <c r="N18" s="5" t="str">
        <f t="shared" si="5"/>
        <v>0</v>
      </c>
      <c r="O18" s="5" t="str">
        <f t="shared" si="6"/>
        <v>-</v>
      </c>
      <c r="P18" s="5" t="str">
        <f t="shared" si="7"/>
        <v>0</v>
      </c>
      <c r="Q18" s="5" t="str">
        <f t="shared" si="8"/>
        <v>ˈɾi</v>
      </c>
      <c r="R18" s="3" t="s">
        <v>80</v>
      </c>
      <c r="S18" s="3" t="s">
        <v>81</v>
      </c>
      <c r="T18" s="3" t="s">
        <v>82</v>
      </c>
      <c r="U18" s="3" t="s">
        <v>22</v>
      </c>
      <c r="V18" s="5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3" t="s">
        <v>14</v>
      </c>
      <c r="B19" s="3" t="s">
        <v>76</v>
      </c>
      <c r="C19" s="3" t="s">
        <v>77</v>
      </c>
      <c r="D19" s="3" t="s">
        <v>76</v>
      </c>
      <c r="E19" s="3" t="s">
        <v>78</v>
      </c>
      <c r="F19" s="3" t="s">
        <v>36</v>
      </c>
      <c r="G19" s="3" t="s">
        <v>83</v>
      </c>
      <c r="H19" s="43">
        <f t="shared" ref="H19:I19" si="39">LEN(D19)-LEN(B19)+1</f>
        <v>1</v>
      </c>
      <c r="I19" s="43">
        <f t="shared" si="39"/>
        <v>3</v>
      </c>
      <c r="J19" s="4" t="s">
        <v>36</v>
      </c>
      <c r="K19" s="4">
        <v>2.0</v>
      </c>
      <c r="L19" s="5" t="str">
        <f t="shared" ref="L19:M19" si="40">IFS(J19="-", "-", J19=H19, "Final", J19=1, "Initial", J19&gt;1, "Medial")</f>
        <v>-</v>
      </c>
      <c r="M19" s="44" t="str">
        <f t="shared" si="40"/>
        <v>Medial</v>
      </c>
      <c r="N19" s="5" t="str">
        <f t="shared" si="5"/>
        <v>ˈfjɐ̃</v>
      </c>
      <c r="O19" s="5" t="str">
        <f t="shared" si="6"/>
        <v>-</v>
      </c>
      <c r="P19" s="5" t="str">
        <f t="shared" si="7"/>
        <v>fɐ</v>
      </c>
      <c r="Q19" s="5" t="str">
        <f t="shared" si="8"/>
        <v>ɲɐ</v>
      </c>
      <c r="R19" s="3"/>
      <c r="S19" s="3" t="s">
        <v>81</v>
      </c>
      <c r="T19" s="3" t="s">
        <v>82</v>
      </c>
      <c r="U19" s="3" t="s">
        <v>22</v>
      </c>
      <c r="V19" s="5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3" t="s">
        <v>14</v>
      </c>
      <c r="B20" s="3" t="s">
        <v>76</v>
      </c>
      <c r="C20" s="3" t="s">
        <v>77</v>
      </c>
      <c r="D20" s="3" t="s">
        <v>76</v>
      </c>
      <c r="E20" s="3" t="s">
        <v>78</v>
      </c>
      <c r="F20" s="3" t="s">
        <v>36</v>
      </c>
      <c r="G20" s="3" t="s">
        <v>75</v>
      </c>
      <c r="H20" s="43">
        <f t="shared" ref="H20:I20" si="41">LEN(D20)-LEN(B20)+1</f>
        <v>1</v>
      </c>
      <c r="I20" s="43">
        <f t="shared" si="41"/>
        <v>3</v>
      </c>
      <c r="J20" s="4" t="s">
        <v>36</v>
      </c>
      <c r="K20" s="4">
        <v>3.0</v>
      </c>
      <c r="L20" s="5" t="str">
        <f t="shared" ref="L20:M20" si="42">IFS(J20="-", "-", J20=H20, "Final", J20=1, "Initial", J20&gt;1, "Medial")</f>
        <v>-</v>
      </c>
      <c r="M20" s="44" t="str">
        <f t="shared" si="42"/>
        <v>Final</v>
      </c>
      <c r="N20" s="5" t="str">
        <f t="shared" si="5"/>
        <v>-</v>
      </c>
      <c r="O20" s="5" t="str">
        <f t="shared" si="6"/>
        <v>-</v>
      </c>
      <c r="P20" s="5" t="str">
        <f t="shared" si="7"/>
        <v>ˈɾi</v>
      </c>
      <c r="Q20" s="5">
        <f t="shared" si="8"/>
        <v>3</v>
      </c>
      <c r="R20" s="3"/>
      <c r="S20" s="3" t="s">
        <v>81</v>
      </c>
      <c r="T20" s="3" t="s">
        <v>82</v>
      </c>
      <c r="U20" s="3" t="s">
        <v>22</v>
      </c>
      <c r="V20" s="5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>
      <c r="A21" s="3" t="s">
        <v>14</v>
      </c>
      <c r="B21" s="3" t="s">
        <v>84</v>
      </c>
      <c r="C21" s="3" t="s">
        <v>85</v>
      </c>
      <c r="D21" s="3" t="s">
        <v>86</v>
      </c>
      <c r="E21" s="3" t="s">
        <v>87</v>
      </c>
      <c r="F21" s="3" t="s">
        <v>88</v>
      </c>
      <c r="G21" s="3" t="s">
        <v>89</v>
      </c>
      <c r="H21" s="43">
        <f t="shared" ref="H21:I21" si="43">LEN(D21)-LEN(B21)+1</f>
        <v>2</v>
      </c>
      <c r="I21" s="43">
        <f t="shared" si="43"/>
        <v>2</v>
      </c>
      <c r="J21" s="4">
        <v>1.0</v>
      </c>
      <c r="K21" s="4">
        <v>1.0</v>
      </c>
      <c r="L21" s="5" t="str">
        <f t="shared" ref="L21:M21" si="44">IFS(J21="-", "-", J21=H21, "Final", J21=1, "Initial", J21&gt;1, "Medial")</f>
        <v>Initial</v>
      </c>
      <c r="M21" s="44" t="str">
        <f t="shared" si="44"/>
        <v>Initial</v>
      </c>
      <c r="N21" s="5" t="str">
        <f t="shared" si="5"/>
        <v>0</v>
      </c>
      <c r="O21" s="5" t="str">
        <f t="shared" si="6"/>
        <v>ˈzɐ̃</v>
      </c>
      <c r="P21" s="5" t="str">
        <f t="shared" si="7"/>
        <v>0</v>
      </c>
      <c r="Q21" s="5" t="str">
        <f t="shared" si="8"/>
        <v>ˈʒɐ̃w̃</v>
      </c>
      <c r="R21" s="3" t="s">
        <v>72</v>
      </c>
      <c r="S21" s="3" t="s">
        <v>90</v>
      </c>
      <c r="T21" s="3" t="s">
        <v>91</v>
      </c>
      <c r="U21" s="3" t="s">
        <v>22</v>
      </c>
      <c r="V21" s="5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>
      <c r="A22" s="3" t="s">
        <v>14</v>
      </c>
      <c r="B22" s="3" t="s">
        <v>84</v>
      </c>
      <c r="C22" s="3" t="s">
        <v>85</v>
      </c>
      <c r="D22" s="3" t="s">
        <v>86</v>
      </c>
      <c r="E22" s="3" t="s">
        <v>87</v>
      </c>
      <c r="F22" s="3" t="s">
        <v>92</v>
      </c>
      <c r="G22" s="3" t="s">
        <v>93</v>
      </c>
      <c r="H22" s="43">
        <f t="shared" ref="H22:I22" si="45">LEN(D22)-LEN(B22)+1</f>
        <v>2</v>
      </c>
      <c r="I22" s="43">
        <f t="shared" si="45"/>
        <v>2</v>
      </c>
      <c r="J22" s="4">
        <v>2.0</v>
      </c>
      <c r="K22" s="4">
        <v>2.0</v>
      </c>
      <c r="L22" s="5" t="str">
        <f t="shared" ref="L22:M22" si="46">IFS(J22="-", "-", J22=H22, "Final", J22=1, "Initial", J22&gt;1, "Medial")</f>
        <v>Final</v>
      </c>
      <c r="M22" s="44" t="str">
        <f t="shared" si="46"/>
        <v>Final</v>
      </c>
      <c r="N22" s="5" t="str">
        <f t="shared" si="5"/>
        <v>fɛ</v>
      </c>
      <c r="O22" s="5">
        <f t="shared" si="6"/>
        <v>2</v>
      </c>
      <c r="P22" s="5" t="str">
        <f t="shared" si="7"/>
        <v>fɐj</v>
      </c>
      <c r="Q22" s="5">
        <f t="shared" si="8"/>
        <v>2</v>
      </c>
      <c r="R22" s="3"/>
      <c r="S22" s="3" t="s">
        <v>90</v>
      </c>
      <c r="T22" s="3" t="s">
        <v>91</v>
      </c>
      <c r="U22" s="3" t="s">
        <v>22</v>
      </c>
      <c r="V22" s="5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>
      <c r="A23" s="3" t="s">
        <v>14</v>
      </c>
      <c r="B23" s="3" t="s">
        <v>94</v>
      </c>
      <c r="C23" s="3" t="s">
        <v>95</v>
      </c>
      <c r="D23" s="3" t="s">
        <v>96</v>
      </c>
      <c r="E23" s="3" t="s">
        <v>97</v>
      </c>
      <c r="F23" s="3" t="s">
        <v>98</v>
      </c>
      <c r="G23" s="3" t="s">
        <v>99</v>
      </c>
      <c r="H23" s="43">
        <f t="shared" ref="H23:I23" si="47">LEN(D23)-LEN(B23)+1</f>
        <v>3</v>
      </c>
      <c r="I23" s="43">
        <f t="shared" si="47"/>
        <v>3</v>
      </c>
      <c r="J23" s="4">
        <v>1.0</v>
      </c>
      <c r="K23" s="4">
        <v>1.0</v>
      </c>
      <c r="L23" s="5" t="str">
        <f t="shared" ref="L23:M23" si="48">IFS(J23="-", "-", J23=H23, "Final", J23=1, "Initial", J23&gt;1, "Medial")</f>
        <v>Initial</v>
      </c>
      <c r="M23" s="44" t="str">
        <f t="shared" si="48"/>
        <v>Initial</v>
      </c>
      <c r="N23" s="5" t="str">
        <f t="shared" si="5"/>
        <v>0</v>
      </c>
      <c r="O23" s="5" t="str">
        <f t="shared" si="6"/>
        <v>ˈdu</v>
      </c>
      <c r="P23" s="5" t="str">
        <f t="shared" si="7"/>
        <v>0</v>
      </c>
      <c r="Q23" s="5" t="str">
        <f t="shared" si="8"/>
        <v>ˈdu</v>
      </c>
      <c r="R23" s="5"/>
      <c r="S23" s="3" t="s">
        <v>100</v>
      </c>
      <c r="T23" s="3" t="s">
        <v>74</v>
      </c>
      <c r="U23" s="3" t="s">
        <v>22</v>
      </c>
      <c r="V23" s="5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>
      <c r="A24" s="3" t="s">
        <v>14</v>
      </c>
      <c r="B24" s="3" t="s">
        <v>94</v>
      </c>
      <c r="C24" s="3" t="s">
        <v>95</v>
      </c>
      <c r="D24" s="3" t="s">
        <v>96</v>
      </c>
      <c r="E24" s="3" t="s">
        <v>97</v>
      </c>
      <c r="F24" s="3" t="s">
        <v>101</v>
      </c>
      <c r="G24" s="3" t="s">
        <v>101</v>
      </c>
      <c r="H24" s="43">
        <f t="shared" ref="H24:I24" si="49">LEN(D24)-LEN(B24)+1</f>
        <v>3</v>
      </c>
      <c r="I24" s="43">
        <f t="shared" si="49"/>
        <v>3</v>
      </c>
      <c r="J24" s="4">
        <v>2.0</v>
      </c>
      <c r="K24" s="4">
        <v>2.0</v>
      </c>
      <c r="L24" s="5" t="str">
        <f t="shared" ref="L24:M24" si="50">IFS(J24="-", "-", J24=H24, "Final", J24=1, "Initial", J24&gt;1, "Medial")</f>
        <v>Medial</v>
      </c>
      <c r="M24" s="44" t="str">
        <f t="shared" si="50"/>
        <v>Medial</v>
      </c>
      <c r="N24" s="5" t="str">
        <f t="shared" si="5"/>
        <v>gu</v>
      </c>
      <c r="O24" s="5" t="str">
        <f t="shared" si="6"/>
        <v>rɐ</v>
      </c>
      <c r="P24" s="5" t="str">
        <f t="shared" si="7"/>
        <v>guɾ</v>
      </c>
      <c r="Q24" s="5" t="str">
        <f t="shared" si="8"/>
        <v>ɾɐ</v>
      </c>
      <c r="R24" s="5"/>
      <c r="S24" s="3" t="s">
        <v>100</v>
      </c>
      <c r="T24" s="3" t="s">
        <v>74</v>
      </c>
      <c r="U24" s="3" t="s">
        <v>22</v>
      </c>
      <c r="V24" s="5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>
      <c r="A25" s="3" t="s">
        <v>14</v>
      </c>
      <c r="B25" s="3" t="s">
        <v>94</v>
      </c>
      <c r="C25" s="3" t="s">
        <v>95</v>
      </c>
      <c r="D25" s="3" t="s">
        <v>96</v>
      </c>
      <c r="E25" s="3" t="s">
        <v>97</v>
      </c>
      <c r="F25" s="3" t="s">
        <v>102</v>
      </c>
      <c r="G25" s="3" t="s">
        <v>103</v>
      </c>
      <c r="H25" s="43">
        <f t="shared" ref="H25:I25" si="51">LEN(D25)-LEN(B25)+1</f>
        <v>3</v>
      </c>
      <c r="I25" s="43">
        <f t="shared" si="51"/>
        <v>3</v>
      </c>
      <c r="J25" s="4">
        <v>3.0</v>
      </c>
      <c r="K25" s="4">
        <v>3.0</v>
      </c>
      <c r="L25" s="5" t="str">
        <f t="shared" ref="L25:M25" si="52">IFS(J25="-", "-", J25=H25, "Final", J25=1, "Initial", J25&gt;1, "Medial")</f>
        <v>Final</v>
      </c>
      <c r="M25" s="44" t="str">
        <f t="shared" si="52"/>
        <v>Final</v>
      </c>
      <c r="N25" s="5" t="str">
        <f t="shared" si="5"/>
        <v>ˈdu</v>
      </c>
      <c r="O25" s="5">
        <f t="shared" si="6"/>
        <v>3</v>
      </c>
      <c r="P25" s="5" t="str">
        <f t="shared" si="7"/>
        <v>ˈdu</v>
      </c>
      <c r="Q25" s="5">
        <f t="shared" si="8"/>
        <v>3</v>
      </c>
      <c r="R25" s="5"/>
      <c r="S25" s="3" t="s">
        <v>100</v>
      </c>
      <c r="T25" s="3" t="s">
        <v>74</v>
      </c>
      <c r="U25" s="3" t="s">
        <v>22</v>
      </c>
      <c r="V25" s="5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>
      <c r="A26" s="3" t="s">
        <v>14</v>
      </c>
      <c r="B26" s="3" t="s">
        <v>104</v>
      </c>
      <c r="C26" s="3" t="s">
        <v>105</v>
      </c>
      <c r="D26" s="7" t="s">
        <v>106</v>
      </c>
      <c r="E26" s="3" t="s">
        <v>107</v>
      </c>
      <c r="F26" s="3" t="s">
        <v>108</v>
      </c>
      <c r="G26" s="3" t="s">
        <v>109</v>
      </c>
      <c r="H26" s="43">
        <f t="shared" ref="H26:I26" si="53">LEN(D26)-LEN(B26)+1</f>
        <v>4</v>
      </c>
      <c r="I26" s="43">
        <f t="shared" si="53"/>
        <v>4</v>
      </c>
      <c r="J26" s="4">
        <v>1.0</v>
      </c>
      <c r="K26" s="4">
        <v>1.0</v>
      </c>
      <c r="L26" s="5" t="str">
        <f t="shared" ref="L26:M26" si="54">IFS(J26="-", "-", J26=H26, "Final", J26=1, "Initial", J26&gt;1, "Medial")</f>
        <v>Initial</v>
      </c>
      <c r="M26" s="44" t="str">
        <f t="shared" si="54"/>
        <v>Initial</v>
      </c>
      <c r="N26" s="5" t="str">
        <f t="shared" si="5"/>
        <v>0</v>
      </c>
      <c r="O26" s="5" t="str">
        <f t="shared" si="6"/>
        <v>dɛ</v>
      </c>
      <c r="P26" s="5" t="str">
        <f t="shared" si="7"/>
        <v>0</v>
      </c>
      <c r="Q26" s="5" t="str">
        <f t="shared" si="8"/>
        <v>dɐj</v>
      </c>
      <c r="R26" s="5"/>
      <c r="S26" s="3" t="s">
        <v>110</v>
      </c>
      <c r="T26" s="3" t="s">
        <v>111</v>
      </c>
      <c r="U26" s="3" t="s">
        <v>22</v>
      </c>
      <c r="V26" s="5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>
      <c r="A27" s="3" t="s">
        <v>14</v>
      </c>
      <c r="B27" s="3" t="s">
        <v>104</v>
      </c>
      <c r="C27" s="3" t="s">
        <v>105</v>
      </c>
      <c r="D27" s="7" t="s">
        <v>106</v>
      </c>
      <c r="E27" s="3" t="s">
        <v>107</v>
      </c>
      <c r="F27" s="3" t="s">
        <v>112</v>
      </c>
      <c r="G27" s="3" t="s">
        <v>113</v>
      </c>
      <c r="H27" s="43">
        <f t="shared" ref="H27:I27" si="55">LEN(D27)-LEN(B27)+1</f>
        <v>4</v>
      </c>
      <c r="I27" s="43">
        <f t="shared" si="55"/>
        <v>4</v>
      </c>
      <c r="J27" s="4">
        <v>2.0</v>
      </c>
      <c r="K27" s="4">
        <v>2.0</v>
      </c>
      <c r="L27" s="5" t="str">
        <f t="shared" ref="L27:M27" si="56">IFS(J27="-", "-", J27=H27, "Final", J27=1, "Initial", J27&gt;1, "Medial")</f>
        <v>Medial</v>
      </c>
      <c r="M27" s="44" t="str">
        <f t="shared" si="56"/>
        <v>Medial</v>
      </c>
      <c r="N27" s="5" t="str">
        <f t="shared" si="5"/>
        <v>ka</v>
      </c>
      <c r="O27" s="5" t="str">
        <f t="shared" si="6"/>
        <v>ra</v>
      </c>
      <c r="P27" s="5" t="str">
        <f t="shared" si="7"/>
        <v>kal</v>
      </c>
      <c r="Q27" s="5" t="str">
        <f t="shared" si="8"/>
        <v>ˈɾa</v>
      </c>
      <c r="R27" s="5"/>
      <c r="S27" s="3" t="s">
        <v>110</v>
      </c>
      <c r="T27" s="3" t="s">
        <v>111</v>
      </c>
      <c r="U27" s="3" t="s">
        <v>22</v>
      </c>
      <c r="V27" s="5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>
      <c r="A28" s="3" t="s">
        <v>14</v>
      </c>
      <c r="B28" s="3" t="s">
        <v>104</v>
      </c>
      <c r="C28" s="3" t="s">
        <v>105</v>
      </c>
      <c r="D28" s="7" t="s">
        <v>106</v>
      </c>
      <c r="E28" s="3" t="s">
        <v>107</v>
      </c>
      <c r="F28" s="8" t="s">
        <v>114</v>
      </c>
      <c r="G28" s="3" t="s">
        <v>115</v>
      </c>
      <c r="H28" s="43">
        <f t="shared" ref="H28:I28" si="57">LEN(D28)-LEN(B28)+1</f>
        <v>4</v>
      </c>
      <c r="I28" s="43">
        <f t="shared" si="57"/>
        <v>4</v>
      </c>
      <c r="J28" s="4">
        <v>3.0</v>
      </c>
      <c r="K28" s="4">
        <v>3.0</v>
      </c>
      <c r="L28" s="5" t="str">
        <f t="shared" ref="L28:M28" si="58">IFS(J28="-", "-", J28=H28, "Final", J28=1, "Initial", J28&gt;1, "Medial")</f>
        <v>Medial</v>
      </c>
      <c r="M28" s="44" t="str">
        <f t="shared" si="58"/>
        <v>Medial</v>
      </c>
      <c r="N28" s="5" t="str">
        <f t="shared" si="5"/>
        <v>dɛ</v>
      </c>
      <c r="O28" s="5" t="str">
        <f t="shared" si="6"/>
        <v>dɐ</v>
      </c>
      <c r="P28" s="5" t="str">
        <f t="shared" si="7"/>
        <v>dɐj</v>
      </c>
      <c r="Q28" s="5" t="str">
        <f t="shared" si="8"/>
        <v>dɐ</v>
      </c>
      <c r="R28" s="5"/>
      <c r="S28" s="3" t="s">
        <v>110</v>
      </c>
      <c r="T28" s="3" t="s">
        <v>111</v>
      </c>
      <c r="U28" s="3" t="s">
        <v>22</v>
      </c>
      <c r="V28" s="5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>
      <c r="A29" s="3" t="s">
        <v>14</v>
      </c>
      <c r="B29" s="3" t="s">
        <v>104</v>
      </c>
      <c r="C29" s="3" t="s">
        <v>105</v>
      </c>
      <c r="D29" s="7" t="s">
        <v>106</v>
      </c>
      <c r="E29" s="3" t="s">
        <v>107</v>
      </c>
      <c r="F29" s="3" t="s">
        <v>116</v>
      </c>
      <c r="G29" s="3" t="s">
        <v>116</v>
      </c>
      <c r="H29" s="43">
        <f t="shared" ref="H29:I29" si="59">LEN(D29)-LEN(B29)+1</f>
        <v>4</v>
      </c>
      <c r="I29" s="43">
        <f t="shared" si="59"/>
        <v>4</v>
      </c>
      <c r="J29" s="4">
        <v>4.0</v>
      </c>
      <c r="K29" s="4">
        <v>4.0</v>
      </c>
      <c r="L29" s="5" t="str">
        <f t="shared" ref="L29:M29" si="60">IFS(J29="-", "-", J29=H29, "Final", J29=1, "Initial", J29&gt;1, "Medial")</f>
        <v>Final</v>
      </c>
      <c r="M29" s="44" t="str">
        <f t="shared" si="60"/>
        <v>Final</v>
      </c>
      <c r="N29" s="5" t="str">
        <f t="shared" si="5"/>
        <v>ra</v>
      </c>
      <c r="O29" s="5">
        <f t="shared" si="6"/>
        <v>4</v>
      </c>
      <c r="P29" s="5" t="str">
        <f t="shared" si="7"/>
        <v>ˈɾa</v>
      </c>
      <c r="Q29" s="5">
        <f t="shared" si="8"/>
        <v>4</v>
      </c>
      <c r="R29" s="5"/>
      <c r="S29" s="3" t="s">
        <v>110</v>
      </c>
      <c r="T29" s="3" t="s">
        <v>111</v>
      </c>
      <c r="U29" s="3" t="s">
        <v>22</v>
      </c>
      <c r="V29" s="5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>
      <c r="A30" s="3" t="s">
        <v>14</v>
      </c>
      <c r="B30" s="3" t="s">
        <v>117</v>
      </c>
      <c r="C30" s="3" t="s">
        <v>118</v>
      </c>
      <c r="D30" s="3" t="s">
        <v>119</v>
      </c>
      <c r="E30" s="3" t="s">
        <v>120</v>
      </c>
      <c r="F30" s="3" t="s">
        <v>108</v>
      </c>
      <c r="G30" s="3" t="s">
        <v>121</v>
      </c>
      <c r="H30" s="43">
        <f t="shared" ref="H30:I30" si="61">LEN(D30)-LEN(B30)+1</f>
        <v>2</v>
      </c>
      <c r="I30" s="43">
        <f t="shared" si="61"/>
        <v>2</v>
      </c>
      <c r="J30" s="4">
        <v>1.0</v>
      </c>
      <c r="K30" s="4">
        <v>1.0</v>
      </c>
      <c r="L30" s="5" t="str">
        <f t="shared" ref="L30:M30" si="62">IFS(J30="-", "-", J30=H30, "Final", J30=1, "Initial", J30&gt;1, "Medial")</f>
        <v>Initial</v>
      </c>
      <c r="M30" s="44" t="str">
        <f t="shared" si="62"/>
        <v>Initial</v>
      </c>
      <c r="N30" s="5" t="str">
        <f t="shared" si="5"/>
        <v>0</v>
      </c>
      <c r="O30" s="5" t="str">
        <f t="shared" si="6"/>
        <v>ˈnɐ</v>
      </c>
      <c r="P30" s="5" t="str">
        <f t="shared" si="7"/>
        <v>0</v>
      </c>
      <c r="Q30" s="5" t="str">
        <f t="shared" si="8"/>
        <v>nɐ</v>
      </c>
      <c r="R30" s="5"/>
      <c r="S30" s="3" t="s">
        <v>122</v>
      </c>
      <c r="T30" s="3" t="s">
        <v>123</v>
      </c>
      <c r="U30" s="3" t="s">
        <v>22</v>
      </c>
      <c r="V30" s="5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>
      <c r="A31" s="3" t="s">
        <v>14</v>
      </c>
      <c r="B31" s="3" t="s">
        <v>117</v>
      </c>
      <c r="C31" s="3" t="s">
        <v>118</v>
      </c>
      <c r="D31" s="3" t="s">
        <v>119</v>
      </c>
      <c r="E31" s="3" t="s">
        <v>120</v>
      </c>
      <c r="F31" s="3" t="s">
        <v>64</v>
      </c>
      <c r="G31" s="3" t="s">
        <v>65</v>
      </c>
      <c r="H31" s="43">
        <f t="shared" ref="H31:I31" si="63">LEN(D31)-LEN(B31)+1</f>
        <v>2</v>
      </c>
      <c r="I31" s="43">
        <f t="shared" si="63"/>
        <v>2</v>
      </c>
      <c r="J31" s="4">
        <v>2.0</v>
      </c>
      <c r="K31" s="4">
        <v>2.0</v>
      </c>
      <c r="L31" s="5" t="str">
        <f t="shared" ref="L31:M31" si="64">IFS(J31="-", "-", J31=H31, "Final", J31=1, "Initial", J31&gt;1, "Medial")</f>
        <v>Final</v>
      </c>
      <c r="M31" s="44" t="str">
        <f t="shared" si="64"/>
        <v>Final</v>
      </c>
      <c r="N31" s="5" t="str">
        <f t="shared" si="5"/>
        <v>ka</v>
      </c>
      <c r="O31" s="5">
        <f t="shared" si="6"/>
        <v>2</v>
      </c>
      <c r="P31" s="5" t="str">
        <f t="shared" si="7"/>
        <v>ˈkɐ</v>
      </c>
      <c r="Q31" s="5">
        <f t="shared" si="8"/>
        <v>2</v>
      </c>
      <c r="R31" s="5"/>
      <c r="S31" s="3" t="s">
        <v>122</v>
      </c>
      <c r="T31" s="3" t="s">
        <v>123</v>
      </c>
      <c r="U31" s="3" t="s">
        <v>22</v>
      </c>
      <c r="V31" s="5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>
      <c r="A32" s="6" t="s">
        <v>14</v>
      </c>
      <c r="B32" s="6" t="s">
        <v>124</v>
      </c>
      <c r="C32" s="6" t="s">
        <v>125</v>
      </c>
      <c r="D32" s="6" t="s">
        <v>126</v>
      </c>
      <c r="E32" s="6" t="s">
        <v>127</v>
      </c>
      <c r="F32" s="6" t="s">
        <v>128</v>
      </c>
      <c r="G32" s="6" t="s">
        <v>36</v>
      </c>
      <c r="H32" s="43">
        <f t="shared" ref="H32:I32" si="65">LEN(D32)-LEN(B32)+1</f>
        <v>3</v>
      </c>
      <c r="I32" s="43">
        <f t="shared" si="65"/>
        <v>2</v>
      </c>
      <c r="J32" s="9">
        <v>1.0</v>
      </c>
      <c r="K32" s="9">
        <v>1.0</v>
      </c>
      <c r="L32" s="5" t="str">
        <f t="shared" ref="L32:M32" si="66">IFS(J32="-", "-", J32=H32, "Final", J32=1, "Initial", J32&gt;1, "Medial")</f>
        <v>Initial</v>
      </c>
      <c r="M32" s="44" t="str">
        <f t="shared" si="66"/>
        <v>Initial</v>
      </c>
      <c r="N32" s="5" t="str">
        <f t="shared" si="5"/>
        <v>0</v>
      </c>
      <c r="O32" s="5" t="str">
        <f t="shared" si="6"/>
        <v>ˈka</v>
      </c>
      <c r="P32" s="5" t="str">
        <f t="shared" si="7"/>
        <v>0</v>
      </c>
      <c r="Q32" s="5" t="str">
        <f t="shared" si="8"/>
        <v>ˈkaɾ</v>
      </c>
      <c r="R32" s="10"/>
      <c r="S32" s="6" t="s">
        <v>129</v>
      </c>
      <c r="T32" s="6" t="s">
        <v>130</v>
      </c>
      <c r="U32" s="6" t="s">
        <v>22</v>
      </c>
      <c r="V32" s="10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>
      <c r="A33" s="6" t="s">
        <v>14</v>
      </c>
      <c r="B33" s="6" t="s">
        <v>124</v>
      </c>
      <c r="C33" s="6" t="s">
        <v>125</v>
      </c>
      <c r="D33" s="6" t="s">
        <v>126</v>
      </c>
      <c r="E33" s="6" t="s">
        <v>127</v>
      </c>
      <c r="F33" s="6" t="s">
        <v>131</v>
      </c>
      <c r="G33" s="12" t="s">
        <v>132</v>
      </c>
      <c r="H33" s="43">
        <f t="shared" ref="H33:I33" si="67">LEN(D33)-LEN(B33)+1</f>
        <v>3</v>
      </c>
      <c r="I33" s="43">
        <f t="shared" si="67"/>
        <v>2</v>
      </c>
      <c r="J33" s="9">
        <v>2.0</v>
      </c>
      <c r="K33" s="9" t="s">
        <v>36</v>
      </c>
      <c r="L33" s="5" t="str">
        <f t="shared" ref="L33:M33" si="68">IFS(J33="-", "-", J33=H33, "Final", J33=1, "Initial", J33&gt;1, "Medial")</f>
        <v>Medial</v>
      </c>
      <c r="M33" s="44" t="str">
        <f t="shared" si="68"/>
        <v>-</v>
      </c>
      <c r="N33" s="5" t="str">
        <f t="shared" si="5"/>
        <v>u</v>
      </c>
      <c r="O33" s="5" t="str">
        <f t="shared" si="6"/>
        <v>ni</v>
      </c>
      <c r="P33" s="5" t="str">
        <f t="shared" si="7"/>
        <v>-</v>
      </c>
      <c r="Q33" s="5" t="str">
        <f t="shared" si="8"/>
        <v>nɨ</v>
      </c>
      <c r="R33" s="6"/>
      <c r="S33" s="6" t="s">
        <v>129</v>
      </c>
      <c r="T33" s="6" t="s">
        <v>130</v>
      </c>
      <c r="U33" s="6" t="s">
        <v>22</v>
      </c>
      <c r="V33" s="10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>
      <c r="A34" s="3" t="s">
        <v>14</v>
      </c>
      <c r="B34" s="3" t="s">
        <v>124</v>
      </c>
      <c r="C34" s="3" t="s">
        <v>125</v>
      </c>
      <c r="D34" s="3" t="s">
        <v>126</v>
      </c>
      <c r="E34" s="3" t="s">
        <v>127</v>
      </c>
      <c r="F34" s="3" t="s">
        <v>133</v>
      </c>
      <c r="G34" s="3" t="s">
        <v>134</v>
      </c>
      <c r="H34" s="43">
        <f t="shared" ref="H34:I34" si="69">LEN(D34)-LEN(B34)+1</f>
        <v>3</v>
      </c>
      <c r="I34" s="43">
        <f t="shared" si="69"/>
        <v>2</v>
      </c>
      <c r="J34" s="4">
        <v>3.0</v>
      </c>
      <c r="K34" s="4">
        <v>2.0</v>
      </c>
      <c r="L34" s="5" t="str">
        <f t="shared" ref="L34:M34" si="70">IFS(J34="-", "-", J34=H34, "Final", J34=1, "Initial", J34&gt;1, "Medial")</f>
        <v>Final</v>
      </c>
      <c r="M34" s="44" t="str">
        <f t="shared" si="70"/>
        <v>Final</v>
      </c>
      <c r="N34" s="5" t="str">
        <f t="shared" si="5"/>
        <v>ˈka</v>
      </c>
      <c r="O34" s="5">
        <f t="shared" si="6"/>
        <v>3</v>
      </c>
      <c r="P34" s="5" t="str">
        <f t="shared" si="7"/>
        <v>ˈkaɾ</v>
      </c>
      <c r="Q34" s="5">
        <f t="shared" si="8"/>
        <v>2</v>
      </c>
      <c r="R34" s="5"/>
      <c r="S34" s="3" t="s">
        <v>129</v>
      </c>
      <c r="T34" s="3" t="s">
        <v>130</v>
      </c>
      <c r="U34" s="3" t="s">
        <v>22</v>
      </c>
      <c r="V34" s="5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>
      <c r="A35" s="15" t="s">
        <v>14</v>
      </c>
      <c r="B35" s="15" t="s">
        <v>135</v>
      </c>
      <c r="C35" s="15" t="s">
        <v>136</v>
      </c>
      <c r="D35" s="15" t="s">
        <v>137</v>
      </c>
      <c r="E35" s="15" t="s">
        <v>138</v>
      </c>
      <c r="F35" s="15" t="s">
        <v>128</v>
      </c>
      <c r="G35" s="37" t="s">
        <v>36</v>
      </c>
      <c r="H35" s="43">
        <f t="shared" ref="H35:I35" si="71">LEN(D35)-LEN(B35)+1</f>
        <v>3</v>
      </c>
      <c r="I35" s="43">
        <f t="shared" si="71"/>
        <v>3</v>
      </c>
      <c r="J35" s="18">
        <v>1.0</v>
      </c>
      <c r="K35" s="18" t="s">
        <v>36</v>
      </c>
      <c r="L35" s="5" t="str">
        <f t="shared" ref="L35:M35" si="72">IFS(J35="-", "-", J35=H35, "Final", J35=1, "Initial", J35&gt;1, "Medial")</f>
        <v>Initial</v>
      </c>
      <c r="M35" s="44" t="str">
        <f t="shared" si="72"/>
        <v>-</v>
      </c>
      <c r="N35" s="5" t="str">
        <f t="shared" si="5"/>
        <v>0</v>
      </c>
      <c r="O35" s="5" t="str">
        <f t="shared" si="6"/>
        <v>ˈkja</v>
      </c>
      <c r="P35" s="5" t="str">
        <f t="shared" si="7"/>
        <v>0</v>
      </c>
      <c r="Q35" s="5" t="str">
        <f t="shared" si="8"/>
        <v>ki</v>
      </c>
      <c r="R35" s="20"/>
      <c r="S35" s="15" t="s">
        <v>139</v>
      </c>
      <c r="T35" s="15" t="s">
        <v>140</v>
      </c>
      <c r="U35" s="15" t="s">
        <v>22</v>
      </c>
      <c r="V35" s="20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</row>
    <row r="36">
      <c r="A36" s="15" t="s">
        <v>14</v>
      </c>
      <c r="B36" s="15" t="s">
        <v>135</v>
      </c>
      <c r="C36" s="15" t="s">
        <v>136</v>
      </c>
      <c r="D36" s="15" t="s">
        <v>137</v>
      </c>
      <c r="E36" s="15" t="s">
        <v>138</v>
      </c>
      <c r="F36" s="15" t="s">
        <v>141</v>
      </c>
      <c r="G36" s="15" t="s">
        <v>142</v>
      </c>
      <c r="H36" s="43">
        <f t="shared" ref="H36:I36" si="73">LEN(D36)-LEN(B36)+1</f>
        <v>3</v>
      </c>
      <c r="I36" s="43">
        <f t="shared" si="73"/>
        <v>3</v>
      </c>
      <c r="J36" s="18">
        <v>2.0</v>
      </c>
      <c r="K36" s="18">
        <v>1.0</v>
      </c>
      <c r="L36" s="5" t="str">
        <f t="shared" ref="L36:M36" si="74">IFS(J36="-", "-", J36=H36, "Final", J36=1, "Initial", J36&gt;1, "Medial")</f>
        <v>Medial</v>
      </c>
      <c r="M36" s="44" t="str">
        <f t="shared" si="74"/>
        <v>Initial</v>
      </c>
      <c r="N36" s="5" t="str">
        <f t="shared" si="5"/>
        <v>u</v>
      </c>
      <c r="O36" s="5" t="str">
        <f t="shared" si="6"/>
        <v>-</v>
      </c>
      <c r="P36" s="5" t="str">
        <f t="shared" si="7"/>
        <v>-</v>
      </c>
      <c r="Q36" s="5" t="str">
        <f t="shared" si="8"/>
        <v>ˈa</v>
      </c>
      <c r="R36" s="15"/>
      <c r="S36" s="15" t="s">
        <v>139</v>
      </c>
      <c r="T36" s="15" t="s">
        <v>140</v>
      </c>
      <c r="U36" s="15" t="s">
        <v>22</v>
      </c>
      <c r="V36" s="20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</row>
    <row r="37">
      <c r="A37" s="15" t="s">
        <v>14</v>
      </c>
      <c r="B37" s="15" t="s">
        <v>135</v>
      </c>
      <c r="C37" s="15" t="s">
        <v>136</v>
      </c>
      <c r="D37" s="15" t="s">
        <v>137</v>
      </c>
      <c r="E37" s="15" t="s">
        <v>138</v>
      </c>
      <c r="F37" s="15" t="s">
        <v>36</v>
      </c>
      <c r="G37" s="15" t="s">
        <v>19</v>
      </c>
      <c r="H37" s="43">
        <f t="shared" ref="H37:I37" si="75">LEN(D37)-LEN(B37)+1</f>
        <v>3</v>
      </c>
      <c r="I37" s="43">
        <f t="shared" si="75"/>
        <v>3</v>
      </c>
      <c r="J37" s="18" t="s">
        <v>36</v>
      </c>
      <c r="K37" s="18">
        <v>2.0</v>
      </c>
      <c r="L37" s="5" t="str">
        <f t="shared" ref="L37:M37" si="76">IFS(J37="-", "-", J37=H37, "Final", J37=1, "Initial", J37&gt;1, "Medial")</f>
        <v>-</v>
      </c>
      <c r="M37" s="44" t="str">
        <f t="shared" si="76"/>
        <v>Medial</v>
      </c>
      <c r="N37" s="5" t="str">
        <f t="shared" si="5"/>
        <v>ˈkja</v>
      </c>
      <c r="O37" s="5" t="str">
        <f t="shared" si="6"/>
        <v>bu</v>
      </c>
      <c r="P37" s="5" t="str">
        <f t="shared" si="7"/>
        <v>ki</v>
      </c>
      <c r="Q37" s="5" t="str">
        <f t="shared" si="8"/>
        <v>bu</v>
      </c>
      <c r="R37" s="15" t="s">
        <v>80</v>
      </c>
      <c r="S37" s="15" t="s">
        <v>139</v>
      </c>
      <c r="T37" s="15" t="s">
        <v>140</v>
      </c>
      <c r="U37" s="15" t="s">
        <v>22</v>
      </c>
      <c r="V37" s="20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</row>
    <row r="38">
      <c r="A38" s="15" t="s">
        <v>14</v>
      </c>
      <c r="B38" s="15" t="s">
        <v>135</v>
      </c>
      <c r="C38" s="15" t="s">
        <v>136</v>
      </c>
      <c r="D38" s="15" t="s">
        <v>137</v>
      </c>
      <c r="E38" s="15" t="s">
        <v>138</v>
      </c>
      <c r="F38" s="15" t="s">
        <v>143</v>
      </c>
      <c r="G38" s="15" t="s">
        <v>143</v>
      </c>
      <c r="H38" s="43">
        <f t="shared" ref="H38:I38" si="77">LEN(D38)-LEN(B38)+1</f>
        <v>3</v>
      </c>
      <c r="I38" s="43">
        <f t="shared" si="77"/>
        <v>3</v>
      </c>
      <c r="J38" s="18">
        <v>3.0</v>
      </c>
      <c r="K38" s="18">
        <v>3.0</v>
      </c>
      <c r="L38" s="5" t="str">
        <f t="shared" ref="L38:M38" si="78">IFS(J38="-", "-", J38=H38, "Final", J38=1, "Initial", J38&gt;1, "Medial")</f>
        <v>Final</v>
      </c>
      <c r="M38" s="44" t="str">
        <f t="shared" si="78"/>
        <v>Final</v>
      </c>
      <c r="N38" s="5" t="str">
        <f t="shared" si="5"/>
        <v>-</v>
      </c>
      <c r="O38" s="5">
        <f t="shared" si="6"/>
        <v>3</v>
      </c>
      <c r="P38" s="5" t="str">
        <f t="shared" si="7"/>
        <v>ˈa</v>
      </c>
      <c r="Q38" s="5">
        <f t="shared" si="8"/>
        <v>3</v>
      </c>
      <c r="R38" s="20"/>
      <c r="S38" s="15" t="s">
        <v>139</v>
      </c>
      <c r="T38" s="15" t="s">
        <v>140</v>
      </c>
      <c r="U38" s="15" t="s">
        <v>22</v>
      </c>
      <c r="V38" s="20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</row>
    <row r="39">
      <c r="A39" s="3" t="s">
        <v>14</v>
      </c>
      <c r="B39" s="3" t="s">
        <v>144</v>
      </c>
      <c r="C39" s="3" t="s">
        <v>145</v>
      </c>
      <c r="D39" s="3" t="s">
        <v>146</v>
      </c>
      <c r="E39" s="3" t="s">
        <v>147</v>
      </c>
      <c r="F39" s="3" t="s">
        <v>148</v>
      </c>
      <c r="G39" s="3" t="s">
        <v>149</v>
      </c>
      <c r="H39" s="43">
        <f t="shared" ref="H39:I39" si="79">LEN(D39)-LEN(B39)+1</f>
        <v>2</v>
      </c>
      <c r="I39" s="43">
        <f t="shared" si="79"/>
        <v>2</v>
      </c>
      <c r="J39" s="4">
        <v>1.0</v>
      </c>
      <c r="K39" s="4">
        <v>1.0</v>
      </c>
      <c r="L39" s="5" t="str">
        <f t="shared" ref="L39:M39" si="80">IFS(J39="-", "-", J39=H39, "Final", J39=1, "Initial", J39&gt;1, "Medial")</f>
        <v>Initial</v>
      </c>
      <c r="M39" s="44" t="str">
        <f t="shared" si="80"/>
        <v>Initial</v>
      </c>
      <c r="N39" s="5" t="str">
        <f t="shared" si="5"/>
        <v>0</v>
      </c>
      <c r="O39" s="5" t="str">
        <f t="shared" si="6"/>
        <v>te</v>
      </c>
      <c r="P39" s="5" t="str">
        <f t="shared" si="7"/>
        <v>0</v>
      </c>
      <c r="Q39" s="5" t="str">
        <f t="shared" si="8"/>
        <v>tɨ</v>
      </c>
      <c r="R39" s="5"/>
      <c r="S39" s="3" t="s">
        <v>150</v>
      </c>
      <c r="T39" s="3" t="s">
        <v>151</v>
      </c>
      <c r="U39" s="3" t="s">
        <v>22</v>
      </c>
      <c r="V39" s="5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>
      <c r="A40" s="3" t="s">
        <v>14</v>
      </c>
      <c r="B40" s="3" t="s">
        <v>144</v>
      </c>
      <c r="C40" s="3" t="s">
        <v>145</v>
      </c>
      <c r="D40" s="3" t="s">
        <v>146</v>
      </c>
      <c r="E40" s="3" t="s">
        <v>147</v>
      </c>
      <c r="F40" s="7" t="s">
        <v>152</v>
      </c>
      <c r="G40" s="3" t="s">
        <v>56</v>
      </c>
      <c r="H40" s="43">
        <f t="shared" ref="H40:I40" si="81">LEN(D40)-LEN(B40)+1</f>
        <v>2</v>
      </c>
      <c r="I40" s="43">
        <f t="shared" si="81"/>
        <v>2</v>
      </c>
      <c r="J40" s="4">
        <v>2.0</v>
      </c>
      <c r="K40" s="4">
        <v>2.0</v>
      </c>
      <c r="L40" s="5" t="str">
        <f t="shared" ref="L40:M40" si="82">IFS(J40="-", "-", J40=H40, "Final", J40=1, "Initial", J40&gt;1, "Medial")</f>
        <v>Final</v>
      </c>
      <c r="M40" s="44" t="str">
        <f t="shared" si="82"/>
        <v>Final</v>
      </c>
      <c r="N40" s="5" t="str">
        <f t="shared" si="5"/>
        <v>ˈle</v>
      </c>
      <c r="O40" s="5">
        <f t="shared" si="6"/>
        <v>2</v>
      </c>
      <c r="P40" s="5" t="str">
        <f t="shared" si="7"/>
        <v>ˈlɐj</v>
      </c>
      <c r="Q40" s="5">
        <f t="shared" si="8"/>
        <v>2</v>
      </c>
      <c r="R40" s="5"/>
      <c r="S40" s="3" t="s">
        <v>150</v>
      </c>
      <c r="T40" s="3" t="s">
        <v>151</v>
      </c>
      <c r="U40" s="3" t="s">
        <v>22</v>
      </c>
      <c r="V40" s="5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>
      <c r="A41" s="3" t="s">
        <v>14</v>
      </c>
      <c r="B41" s="7" t="s">
        <v>153</v>
      </c>
      <c r="C41" s="3" t="s">
        <v>154</v>
      </c>
      <c r="D41" s="3" t="s">
        <v>155</v>
      </c>
      <c r="E41" s="3" t="s">
        <v>156</v>
      </c>
      <c r="F41" s="3" t="s">
        <v>157</v>
      </c>
      <c r="G41" s="3" t="s">
        <v>158</v>
      </c>
      <c r="H41" s="43">
        <f t="shared" ref="H41:I41" si="83">LEN(D41)-LEN(B41)+1</f>
        <v>2</v>
      </c>
      <c r="I41" s="43">
        <f t="shared" si="83"/>
        <v>2</v>
      </c>
      <c r="J41" s="4">
        <v>1.0</v>
      </c>
      <c r="K41" s="4">
        <v>1.0</v>
      </c>
      <c r="L41" s="5" t="str">
        <f t="shared" ref="L41:M41" si="84">IFS(J41="-", "-", J41=H41, "Final", J41=1, "Initial", J41&gt;1, "Medial")</f>
        <v>Initial</v>
      </c>
      <c r="M41" s="44" t="str">
        <f t="shared" si="84"/>
        <v>Initial</v>
      </c>
      <c r="N41" s="5" t="str">
        <f t="shared" si="5"/>
        <v>0</v>
      </c>
      <c r="O41" s="5">
        <f t="shared" si="6"/>
        <v>1</v>
      </c>
      <c r="P41" s="5" t="str">
        <f t="shared" si="7"/>
        <v>0</v>
      </c>
      <c r="Q41" s="5" t="str">
        <f t="shared" si="8"/>
        <v>ˈmɐ̃w̃</v>
      </c>
      <c r="R41" s="3"/>
      <c r="S41" s="3" t="s">
        <v>159</v>
      </c>
      <c r="T41" s="3" t="s">
        <v>160</v>
      </c>
      <c r="U41" s="3" t="s">
        <v>22</v>
      </c>
      <c r="V41" s="5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>
      <c r="A42" s="3" t="s">
        <v>14</v>
      </c>
      <c r="B42" s="7" t="s">
        <v>161</v>
      </c>
      <c r="C42" s="3" t="s">
        <v>154</v>
      </c>
      <c r="D42" s="3" t="s">
        <v>155</v>
      </c>
      <c r="E42" s="3" t="s">
        <v>156</v>
      </c>
      <c r="F42" s="3" t="s">
        <v>162</v>
      </c>
      <c r="G42" s="3" t="s">
        <v>163</v>
      </c>
      <c r="H42" s="43">
        <f t="shared" ref="H42:I42" si="85">LEN(D42)-LEN(B42)+1</f>
        <v>2</v>
      </c>
      <c r="I42" s="43">
        <f t="shared" si="85"/>
        <v>2</v>
      </c>
      <c r="J42" s="4">
        <v>2.0</v>
      </c>
      <c r="K42" s="4">
        <v>2.0</v>
      </c>
      <c r="L42" s="5" t="str">
        <f t="shared" ref="L42:M42" si="86">IFS(J42="-", "-", J42=H42, "Final", J42=1, "Initial", J42&gt;1, "Medial")</f>
        <v>Final</v>
      </c>
      <c r="M42" s="44" t="str">
        <f t="shared" si="86"/>
        <v>Final</v>
      </c>
      <c r="N42" s="5" t="str">
        <f t="shared" si="5"/>
        <v>0</v>
      </c>
      <c r="O42" s="5">
        <f t="shared" si="6"/>
        <v>2</v>
      </c>
      <c r="P42" s="5" t="str">
        <f t="shared" si="7"/>
        <v>mɐ</v>
      </c>
      <c r="Q42" s="5">
        <f t="shared" si="8"/>
        <v>2</v>
      </c>
      <c r="R42" s="3"/>
      <c r="S42" s="3" t="s">
        <v>159</v>
      </c>
      <c r="T42" s="3" t="s">
        <v>160</v>
      </c>
      <c r="U42" s="3" t="s">
        <v>22</v>
      </c>
      <c r="V42" s="5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>
      <c r="A43" s="3" t="s">
        <v>14</v>
      </c>
      <c r="B43" s="3" t="s">
        <v>164</v>
      </c>
      <c r="C43" s="3" t="s">
        <v>165</v>
      </c>
      <c r="D43" s="6" t="s">
        <v>166</v>
      </c>
      <c r="E43" s="3" t="s">
        <v>167</v>
      </c>
      <c r="F43" s="6" t="s">
        <v>168</v>
      </c>
      <c r="G43" s="3" t="s">
        <v>158</v>
      </c>
      <c r="H43" s="43">
        <f t="shared" ref="H43:I43" si="87">LEN(D43)-LEN(B43)+1</f>
        <v>3</v>
      </c>
      <c r="I43" s="43">
        <f t="shared" si="87"/>
        <v>4</v>
      </c>
      <c r="J43" s="4">
        <v>1.0</v>
      </c>
      <c r="K43" s="4">
        <v>1.0</v>
      </c>
      <c r="L43" s="5" t="str">
        <f t="shared" ref="L43:M43" si="88">IFS(J43="-", "-", J43=H43, "Final", J43=1, "Initial", J43&gt;1, "Medial")</f>
        <v>Initial</v>
      </c>
      <c r="M43" s="44" t="str">
        <f t="shared" si="88"/>
        <v>Initial</v>
      </c>
      <c r="N43" s="5" t="str">
        <f t="shared" si="5"/>
        <v>0</v>
      </c>
      <c r="O43" s="5" t="str">
        <f t="shared" si="6"/>
        <v>ˈdjɔ</v>
      </c>
      <c r="P43" s="5" t="str">
        <f t="shared" si="7"/>
        <v>0</v>
      </c>
      <c r="Q43" s="5" t="str">
        <f t="shared" si="8"/>
        <v>di</v>
      </c>
      <c r="R43" s="3" t="s">
        <v>72</v>
      </c>
      <c r="S43" s="3" t="s">
        <v>169</v>
      </c>
      <c r="T43" s="3" t="s">
        <v>170</v>
      </c>
      <c r="U43" s="3" t="s">
        <v>22</v>
      </c>
      <c r="V43" s="5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>
      <c r="A44" s="3" t="s">
        <v>14</v>
      </c>
      <c r="B44" s="3" t="s">
        <v>164</v>
      </c>
      <c r="C44" s="3" t="s">
        <v>165</v>
      </c>
      <c r="D44" s="6" t="s">
        <v>166</v>
      </c>
      <c r="E44" s="3" t="s">
        <v>167</v>
      </c>
      <c r="F44" s="6" t="s">
        <v>171</v>
      </c>
      <c r="G44" s="3" t="s">
        <v>172</v>
      </c>
      <c r="H44" s="43">
        <f t="shared" ref="H44:I44" si="89">LEN(D44)-LEN(B44)+1</f>
        <v>3</v>
      </c>
      <c r="I44" s="43">
        <f t="shared" si="89"/>
        <v>4</v>
      </c>
      <c r="J44" s="4">
        <v>2.0</v>
      </c>
      <c r="K44" s="4">
        <v>2.0</v>
      </c>
      <c r="L44" s="5" t="str">
        <f t="shared" ref="L44:M44" si="90">IFS(J44="-", "-", J44=H44, "Final", J44=1, "Initial", J44&gt;1, "Medial")</f>
        <v>Medial</v>
      </c>
      <c r="M44" s="44" t="str">
        <f t="shared" si="90"/>
        <v>Medial</v>
      </c>
      <c r="N44" s="5" t="str">
        <f t="shared" si="5"/>
        <v>mɐ̃</v>
      </c>
      <c r="O44" s="5" t="str">
        <f t="shared" si="6"/>
        <v>-</v>
      </c>
      <c r="P44" s="5" t="str">
        <f t="shared" si="7"/>
        <v>mɐ</v>
      </c>
      <c r="Q44" s="5" t="str">
        <f t="shared" si="8"/>
        <v>ˈɔ</v>
      </c>
      <c r="R44" s="3" t="s">
        <v>80</v>
      </c>
      <c r="S44" s="3" t="s">
        <v>169</v>
      </c>
      <c r="T44" s="3" t="s">
        <v>170</v>
      </c>
      <c r="U44" s="3" t="s">
        <v>22</v>
      </c>
      <c r="V44" s="5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>
      <c r="A45" s="3" t="s">
        <v>14</v>
      </c>
      <c r="B45" s="3" t="s">
        <v>164</v>
      </c>
      <c r="C45" s="3" t="s">
        <v>165</v>
      </c>
      <c r="D45" s="6" t="s">
        <v>166</v>
      </c>
      <c r="E45" s="3" t="s">
        <v>167</v>
      </c>
      <c r="F45" s="3" t="s">
        <v>36</v>
      </c>
      <c r="G45" s="3" t="s">
        <v>173</v>
      </c>
      <c r="H45" s="43">
        <f t="shared" ref="H45:I45" si="91">LEN(D45)-LEN(B45)+1</f>
        <v>3</v>
      </c>
      <c r="I45" s="43">
        <f t="shared" si="91"/>
        <v>4</v>
      </c>
      <c r="J45" s="4" t="s">
        <v>36</v>
      </c>
      <c r="K45" s="4">
        <v>3.0</v>
      </c>
      <c r="L45" s="5" t="str">
        <f t="shared" ref="L45:M45" si="92">IFS(J45="-", "-", J45=H45, "Final", J45=1, "Initial", J45&gt;1, "Medial")</f>
        <v>-</v>
      </c>
      <c r="M45" s="44" t="str">
        <f t="shared" si="92"/>
        <v>Medial</v>
      </c>
      <c r="N45" s="5" t="str">
        <f t="shared" si="5"/>
        <v>ˈdjɔ</v>
      </c>
      <c r="O45" s="5" t="str">
        <f t="shared" si="6"/>
        <v>kɔ</v>
      </c>
      <c r="P45" s="5" t="str">
        <f t="shared" si="7"/>
        <v>di</v>
      </c>
      <c r="Q45" s="5" t="str">
        <f t="shared" si="8"/>
        <v>kɐ</v>
      </c>
      <c r="R45" s="3"/>
      <c r="S45" s="3" t="s">
        <v>169</v>
      </c>
      <c r="T45" s="3" t="s">
        <v>170</v>
      </c>
      <c r="U45" s="3" t="s">
        <v>22</v>
      </c>
      <c r="V45" s="5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>
      <c r="A46" s="3" t="s">
        <v>14</v>
      </c>
      <c r="B46" s="3" t="s">
        <v>164</v>
      </c>
      <c r="C46" s="3" t="s">
        <v>165</v>
      </c>
      <c r="D46" s="6" t="s">
        <v>166</v>
      </c>
      <c r="E46" s="3" t="s">
        <v>167</v>
      </c>
      <c r="F46" s="3" t="s">
        <v>174</v>
      </c>
      <c r="G46" s="3" t="s">
        <v>175</v>
      </c>
      <c r="H46" s="43">
        <f t="shared" ref="H46:I46" si="93">LEN(D46)-LEN(B46)+1</f>
        <v>3</v>
      </c>
      <c r="I46" s="43">
        <f t="shared" si="93"/>
        <v>4</v>
      </c>
      <c r="J46" s="4">
        <v>3.0</v>
      </c>
      <c r="K46" s="4">
        <v>4.0</v>
      </c>
      <c r="L46" s="5" t="str">
        <f t="shared" ref="L46:M46" si="94">IFS(J46="-", "-", J46=H46, "Final", J46=1, "Initial", J46&gt;1, "Medial")</f>
        <v>Final</v>
      </c>
      <c r="M46" s="44" t="str">
        <f t="shared" si="94"/>
        <v>Final</v>
      </c>
      <c r="N46" s="5" t="str">
        <f t="shared" si="5"/>
        <v>-</v>
      </c>
      <c r="O46" s="5">
        <f t="shared" si="6"/>
        <v>3</v>
      </c>
      <c r="P46" s="5" t="str">
        <f t="shared" si="7"/>
        <v>ˈɔ</v>
      </c>
      <c r="Q46" s="5">
        <f t="shared" si="8"/>
        <v>4</v>
      </c>
      <c r="R46" s="5"/>
      <c r="S46" s="3" t="s">
        <v>169</v>
      </c>
      <c r="T46" s="3" t="s">
        <v>170</v>
      </c>
      <c r="U46" s="3" t="s">
        <v>22</v>
      </c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>
      <c r="A47" s="3" t="s">
        <v>14</v>
      </c>
      <c r="B47" s="3" t="s">
        <v>176</v>
      </c>
      <c r="C47" s="3" t="s">
        <v>177</v>
      </c>
      <c r="D47" s="3" t="s">
        <v>178</v>
      </c>
      <c r="E47" s="3" t="s">
        <v>178</v>
      </c>
      <c r="F47" s="3" t="s">
        <v>168</v>
      </c>
      <c r="G47" s="3" t="s">
        <v>168</v>
      </c>
      <c r="H47" s="43">
        <f t="shared" ref="H47:I47" si="95">LEN(D47)-LEN(B47)+1</f>
        <v>2</v>
      </c>
      <c r="I47" s="43">
        <f t="shared" si="95"/>
        <v>3</v>
      </c>
      <c r="J47" s="4">
        <v>1.0</v>
      </c>
      <c r="K47" s="4">
        <v>1.0</v>
      </c>
      <c r="L47" s="5" t="str">
        <f t="shared" ref="L47:M47" si="96">IFS(J47="-", "-", J47=H47, "Final", J47=1, "Initial", J47&gt;1, "Medial")</f>
        <v>Initial</v>
      </c>
      <c r="M47" s="44" t="str">
        <f t="shared" si="96"/>
        <v>Initial</v>
      </c>
      <c r="N47" s="5" t="str">
        <f t="shared" si="5"/>
        <v>0</v>
      </c>
      <c r="O47" s="5" t="str">
        <f t="shared" si="6"/>
        <v>ˈsɐ̃</v>
      </c>
      <c r="P47" s="5" t="str">
        <f t="shared" si="7"/>
        <v>0</v>
      </c>
      <c r="Q47" s="5" t="str">
        <f t="shared" si="8"/>
        <v>ˈsɐ̃</v>
      </c>
      <c r="R47" s="3" t="s">
        <v>72</v>
      </c>
      <c r="S47" s="3" t="s">
        <v>179</v>
      </c>
      <c r="T47" s="3" t="s">
        <v>180</v>
      </c>
      <c r="U47" s="3" t="s">
        <v>22</v>
      </c>
      <c r="V47" s="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>
      <c r="A48" s="3" t="s">
        <v>14</v>
      </c>
      <c r="B48" s="3" t="s">
        <v>176</v>
      </c>
      <c r="C48" s="3" t="s">
        <v>177</v>
      </c>
      <c r="D48" s="3" t="s">
        <v>178</v>
      </c>
      <c r="E48" s="3" t="s">
        <v>178</v>
      </c>
      <c r="F48" s="3" t="s">
        <v>181</v>
      </c>
      <c r="G48" s="3" t="s">
        <v>181</v>
      </c>
      <c r="H48" s="43">
        <f t="shared" ref="H48:I48" si="97">LEN(D48)-LEN(B48)+1</f>
        <v>2</v>
      </c>
      <c r="I48" s="43">
        <f t="shared" si="97"/>
        <v>3</v>
      </c>
      <c r="J48" s="4">
        <v>2.0</v>
      </c>
      <c r="K48" s="4">
        <v>2.0</v>
      </c>
      <c r="L48" s="5" t="str">
        <f t="shared" ref="L48:M48" si="98">IFS(J48="-", "-", J48=H48, "Final", J48=1, "Initial", J48&gt;1, "Medial")</f>
        <v>Final</v>
      </c>
      <c r="M48" s="44" t="str">
        <f t="shared" si="98"/>
        <v>Medial</v>
      </c>
      <c r="N48" s="5" t="str">
        <f t="shared" si="5"/>
        <v>mɐ̃</v>
      </c>
      <c r="O48" s="5">
        <f t="shared" si="6"/>
        <v>2</v>
      </c>
      <c r="P48" s="5" t="str">
        <f t="shared" si="7"/>
        <v>mɐ̃</v>
      </c>
      <c r="Q48" s="5">
        <f t="shared" si="8"/>
        <v>2</v>
      </c>
      <c r="R48" s="3"/>
      <c r="S48" s="3" t="s">
        <v>179</v>
      </c>
      <c r="T48" s="3" t="s">
        <v>180</v>
      </c>
      <c r="U48" s="3" t="s">
        <v>22</v>
      </c>
      <c r="V48" s="5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>
      <c r="A49" s="3" t="s">
        <v>14</v>
      </c>
      <c r="B49" s="3" t="s">
        <v>182</v>
      </c>
      <c r="C49" s="3" t="s">
        <v>183</v>
      </c>
      <c r="D49" s="7" t="s">
        <v>184</v>
      </c>
      <c r="E49" s="8" t="s">
        <v>185</v>
      </c>
      <c r="F49" s="7" t="s">
        <v>168</v>
      </c>
      <c r="G49" s="8" t="s">
        <v>168</v>
      </c>
      <c r="H49" s="43">
        <f t="shared" ref="H49:I49" si="99">LEN(D49)-LEN(B49)+1</f>
        <v>3</v>
      </c>
      <c r="I49" s="43">
        <f t="shared" si="99"/>
        <v>2</v>
      </c>
      <c r="J49" s="4">
        <v>1.0</v>
      </c>
      <c r="K49" s="4">
        <v>1.0</v>
      </c>
      <c r="L49" s="5" t="str">
        <f t="shared" ref="L49:M49" si="100">IFS(J49="-", "-", J49=H49, "Final", J49=1, "Initial", J49&gt;1, "Medial")</f>
        <v>Initial</v>
      </c>
      <c r="M49" s="44" t="str">
        <f t="shared" si="100"/>
        <v>Initial</v>
      </c>
      <c r="N49" s="5" t="str">
        <f t="shared" si="5"/>
        <v>0</v>
      </c>
      <c r="O49" s="5" t="str">
        <f t="shared" si="6"/>
        <v>tɛ</v>
      </c>
      <c r="P49" s="5" t="str">
        <f t="shared" si="7"/>
        <v>0</v>
      </c>
      <c r="Q49" s="5" t="str">
        <f t="shared" si="8"/>
        <v>tɐj</v>
      </c>
      <c r="R49" s="5"/>
      <c r="S49" s="3" t="s">
        <v>186</v>
      </c>
      <c r="T49" s="3" t="s">
        <v>187</v>
      </c>
      <c r="U49" s="3" t="s">
        <v>22</v>
      </c>
      <c r="V49" s="5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>
      <c r="A50" s="3" t="s">
        <v>14</v>
      </c>
      <c r="B50" s="3" t="s">
        <v>182</v>
      </c>
      <c r="C50" s="3" t="s">
        <v>183</v>
      </c>
      <c r="D50" s="7" t="s">
        <v>184</v>
      </c>
      <c r="E50" s="8" t="s">
        <v>185</v>
      </c>
      <c r="F50" s="14" t="s">
        <v>188</v>
      </c>
      <c r="G50" s="3" t="s">
        <v>189</v>
      </c>
      <c r="H50" s="43">
        <f t="shared" ref="H50:I50" si="101">LEN(D50)-LEN(B50)+1</f>
        <v>3</v>
      </c>
      <c r="I50" s="43">
        <f t="shared" si="101"/>
        <v>2</v>
      </c>
      <c r="J50" s="4">
        <v>2.0</v>
      </c>
      <c r="K50" s="4">
        <v>2.0</v>
      </c>
      <c r="L50" s="5" t="str">
        <f t="shared" ref="L50:M50" si="102">IFS(J50="-", "-", J50=H50, "Final", J50=1, "Initial", J50&gt;1, "Medial")</f>
        <v>Medial</v>
      </c>
      <c r="M50" s="44" t="str">
        <f t="shared" si="102"/>
        <v>Final</v>
      </c>
      <c r="N50" s="5" t="str">
        <f t="shared" si="5"/>
        <v>mɐ̃</v>
      </c>
      <c r="O50" s="5" t="str">
        <f t="shared" si="6"/>
        <v>gɐ</v>
      </c>
      <c r="P50" s="5" t="str">
        <f t="shared" si="7"/>
        <v>mɐ̃</v>
      </c>
      <c r="Q50" s="5" t="str">
        <f t="shared" si="8"/>
        <v>gɐ</v>
      </c>
      <c r="R50" s="5"/>
      <c r="S50" s="3" t="s">
        <v>186</v>
      </c>
      <c r="T50" s="3" t="s">
        <v>187</v>
      </c>
      <c r="U50" s="3" t="s">
        <v>22</v>
      </c>
      <c r="V50" s="5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>
      <c r="A51" s="3" t="s">
        <v>14</v>
      </c>
      <c r="B51" s="3" t="s">
        <v>182</v>
      </c>
      <c r="C51" s="3" t="s">
        <v>183</v>
      </c>
      <c r="D51" s="7" t="s">
        <v>184</v>
      </c>
      <c r="E51" s="8" t="s">
        <v>185</v>
      </c>
      <c r="F51" s="7" t="s">
        <v>190</v>
      </c>
      <c r="G51" s="3" t="s">
        <v>190</v>
      </c>
      <c r="H51" s="43">
        <f t="shared" ref="H51:I51" si="103">LEN(D51)-LEN(B51)+1</f>
        <v>3</v>
      </c>
      <c r="I51" s="43">
        <f t="shared" si="103"/>
        <v>2</v>
      </c>
      <c r="J51" s="4">
        <v>3.0</v>
      </c>
      <c r="K51" s="4">
        <v>3.0</v>
      </c>
      <c r="L51" s="5" t="str">
        <f t="shared" ref="L51:M51" si="104">IFS(J51="-", "-", J51=H51, "Final", J51=1, "Initial", J51&gt;1, "Medial")</f>
        <v>Final</v>
      </c>
      <c r="M51" s="44" t="str">
        <f t="shared" si="104"/>
        <v>Medial</v>
      </c>
      <c r="N51" s="5" t="str">
        <f t="shared" si="5"/>
        <v>tɛ</v>
      </c>
      <c r="O51" s="5">
        <f t="shared" si="6"/>
        <v>3</v>
      </c>
      <c r="P51" s="5" t="str">
        <f t="shared" si="7"/>
        <v>tɐj</v>
      </c>
      <c r="Q51" s="5">
        <f t="shared" si="8"/>
        <v>3</v>
      </c>
      <c r="R51" s="5"/>
      <c r="S51" s="3" t="s">
        <v>186</v>
      </c>
      <c r="T51" s="3" t="s">
        <v>187</v>
      </c>
      <c r="U51" s="3" t="s">
        <v>22</v>
      </c>
      <c r="V51" s="5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>
      <c r="A52" s="3" t="s">
        <v>14</v>
      </c>
      <c r="B52" s="3" t="s">
        <v>191</v>
      </c>
      <c r="C52" s="3" t="s">
        <v>192</v>
      </c>
      <c r="D52" s="3" t="s">
        <v>193</v>
      </c>
      <c r="E52" s="3" t="s">
        <v>192</v>
      </c>
      <c r="F52" s="3" t="s">
        <v>194</v>
      </c>
      <c r="G52" s="3" t="s">
        <v>192</v>
      </c>
      <c r="H52" s="43">
        <f t="shared" ref="H52:I52" si="105">LEN(D52)-LEN(B52)+1</f>
        <v>2</v>
      </c>
      <c r="I52" s="43">
        <f t="shared" si="105"/>
        <v>1</v>
      </c>
      <c r="J52" s="4">
        <v>1.0</v>
      </c>
      <c r="K52" s="4">
        <v>1.0</v>
      </c>
      <c r="L52" s="5" t="str">
        <f t="shared" ref="L52:M52" si="106">IFS(J52="-", "-", J52=H52, "Final", J52=1, "Initial", J52&gt;1, "Medial")</f>
        <v>Initial</v>
      </c>
      <c r="M52" s="44" t="str">
        <f t="shared" si="106"/>
        <v>Final</v>
      </c>
      <c r="N52" s="5" t="str">
        <f t="shared" si="5"/>
        <v>0</v>
      </c>
      <c r="O52" s="5" t="str">
        <f t="shared" si="6"/>
        <v>li</v>
      </c>
      <c r="P52" s="5" t="str">
        <f t="shared" si="7"/>
        <v>0</v>
      </c>
      <c r="Q52" s="5" t="str">
        <f t="shared" si="8"/>
        <v>-</v>
      </c>
      <c r="R52" s="5"/>
      <c r="S52" s="3" t="s">
        <v>195</v>
      </c>
      <c r="T52" s="3" t="s">
        <v>196</v>
      </c>
      <c r="U52" s="3" t="s">
        <v>22</v>
      </c>
      <c r="V52" s="5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>
      <c r="A53" s="3" t="s">
        <v>14</v>
      </c>
      <c r="B53" s="3" t="s">
        <v>191</v>
      </c>
      <c r="C53" s="3" t="s">
        <v>192</v>
      </c>
      <c r="D53" s="3" t="s">
        <v>193</v>
      </c>
      <c r="E53" s="3" t="s">
        <v>192</v>
      </c>
      <c r="F53" s="3" t="s">
        <v>197</v>
      </c>
      <c r="G53" s="3" t="s">
        <v>36</v>
      </c>
      <c r="H53" s="43">
        <f t="shared" ref="H53:I53" si="107">LEN(D53)-LEN(B53)+1</f>
        <v>2</v>
      </c>
      <c r="I53" s="43">
        <f t="shared" si="107"/>
        <v>1</v>
      </c>
      <c r="J53" s="4">
        <v>2.0</v>
      </c>
      <c r="K53" s="4" t="s">
        <v>36</v>
      </c>
      <c r="L53" s="5" t="str">
        <f t="shared" ref="L53:M53" si="108">IFS(J53="-", "-", J53=H53, "Final", J53=1, "Initial", J53&gt;1, "Medial")</f>
        <v>Final</v>
      </c>
      <c r="M53" s="44" t="str">
        <f t="shared" si="108"/>
        <v>-</v>
      </c>
      <c r="N53" s="5" t="str">
        <f t="shared" si="5"/>
        <v>ˈmɛ</v>
      </c>
      <c r="O53" s="5">
        <f t="shared" si="6"/>
        <v>2</v>
      </c>
      <c r="P53" s="5" t="str">
        <f t="shared" si="7"/>
        <v>ˈmɛɫ</v>
      </c>
      <c r="Q53" s="5" t="str">
        <f t="shared" si="8"/>
        <v>-</v>
      </c>
      <c r="R53" s="3"/>
      <c r="S53" s="3" t="s">
        <v>195</v>
      </c>
      <c r="T53" s="3" t="s">
        <v>196</v>
      </c>
      <c r="U53" s="3" t="s">
        <v>22</v>
      </c>
      <c r="V53" s="5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>
      <c r="A54" s="3" t="s">
        <v>14</v>
      </c>
      <c r="B54" s="3" t="s">
        <v>198</v>
      </c>
      <c r="C54" s="3" t="s">
        <v>199</v>
      </c>
      <c r="D54" s="3" t="s">
        <v>200</v>
      </c>
      <c r="E54" s="3" t="s">
        <v>201</v>
      </c>
      <c r="F54" s="3" t="s">
        <v>202</v>
      </c>
      <c r="G54" s="3" t="s">
        <v>202</v>
      </c>
      <c r="H54" s="43">
        <f t="shared" ref="H54:I54" si="109">LEN(D54)-LEN(B54)+1</f>
        <v>2</v>
      </c>
      <c r="I54" s="43">
        <f t="shared" si="109"/>
        <v>2</v>
      </c>
      <c r="J54" s="4">
        <v>1.0</v>
      </c>
      <c r="K54" s="4">
        <v>1.0</v>
      </c>
      <c r="L54" s="5" t="str">
        <f t="shared" ref="L54:M54" si="110">IFS(J54="-", "-", J54=H54, "Final", J54=1, "Initial", J54&gt;1, "Medial")</f>
        <v>Initial</v>
      </c>
      <c r="M54" s="44" t="str">
        <f t="shared" si="110"/>
        <v>Initial</v>
      </c>
      <c r="N54" s="5" t="str">
        <f t="shared" si="5"/>
        <v>0</v>
      </c>
      <c r="O54" s="5" t="str">
        <f t="shared" si="6"/>
        <v>jo</v>
      </c>
      <c r="P54" s="5" t="str">
        <f t="shared" si="7"/>
        <v>0</v>
      </c>
      <c r="Q54" s="5" t="str">
        <f t="shared" si="8"/>
        <v>ʎu</v>
      </c>
      <c r="R54" s="3"/>
      <c r="S54" s="3" t="s">
        <v>203</v>
      </c>
      <c r="T54" s="3" t="s">
        <v>204</v>
      </c>
      <c r="U54" s="3" t="s">
        <v>22</v>
      </c>
      <c r="V54" s="5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>
      <c r="A55" s="3" t="s">
        <v>14</v>
      </c>
      <c r="B55" s="3" t="s">
        <v>198</v>
      </c>
      <c r="C55" s="3" t="s">
        <v>199</v>
      </c>
      <c r="D55" s="3" t="s">
        <v>200</v>
      </c>
      <c r="E55" s="3" t="s">
        <v>201</v>
      </c>
      <c r="F55" s="3" t="s">
        <v>205</v>
      </c>
      <c r="G55" s="3" t="s">
        <v>24</v>
      </c>
      <c r="H55" s="43">
        <f t="shared" ref="H55:I55" si="111">LEN(D55)-LEN(B55)+1</f>
        <v>2</v>
      </c>
      <c r="I55" s="43">
        <f t="shared" si="111"/>
        <v>2</v>
      </c>
      <c r="J55" s="4">
        <v>2.0</v>
      </c>
      <c r="K55" s="4">
        <v>2.0</v>
      </c>
      <c r="L55" s="5" t="str">
        <f t="shared" ref="L55:M55" si="112">IFS(J55="-", "-", J55=H55, "Final", J55=1, "Initial", J55&gt;1, "Medial")</f>
        <v>Final</v>
      </c>
      <c r="M55" s="44" t="str">
        <f t="shared" si="112"/>
        <v>Final</v>
      </c>
      <c r="N55" s="5" t="str">
        <f t="shared" si="5"/>
        <v>ˈmo</v>
      </c>
      <c r="O55" s="5">
        <f t="shared" si="6"/>
        <v>2</v>
      </c>
      <c r="P55" s="5" t="str">
        <f t="shared" si="7"/>
        <v>ˈmo</v>
      </c>
      <c r="Q55" s="5">
        <f t="shared" si="8"/>
        <v>2</v>
      </c>
      <c r="R55" s="3"/>
      <c r="S55" s="3" t="s">
        <v>203</v>
      </c>
      <c r="T55" s="3" t="s">
        <v>204</v>
      </c>
      <c r="U55" s="3" t="s">
        <v>22</v>
      </c>
      <c r="V55" s="5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>
      <c r="A56" s="3" t="s">
        <v>14</v>
      </c>
      <c r="B56" s="3" t="s">
        <v>206</v>
      </c>
      <c r="C56" s="3" t="s">
        <v>207</v>
      </c>
      <c r="D56" s="3" t="s">
        <v>208</v>
      </c>
      <c r="E56" s="3" t="s">
        <v>209</v>
      </c>
      <c r="F56" s="3" t="s">
        <v>210</v>
      </c>
      <c r="G56" s="3" t="s">
        <v>49</v>
      </c>
      <c r="H56" s="43">
        <f t="shared" ref="H56:I56" si="113">LEN(D56)-LEN(B56)+1</f>
        <v>3</v>
      </c>
      <c r="I56" s="43">
        <f t="shared" si="113"/>
        <v>4</v>
      </c>
      <c r="J56" s="4">
        <v>1.0</v>
      </c>
      <c r="K56" s="4">
        <v>1.0</v>
      </c>
      <c r="L56" s="5" t="str">
        <f t="shared" ref="L56:M56" si="114">IFS(J56="-", "-", J56=H56, "Final", J56=1, "Initial", J56&gt;1, "Medial")</f>
        <v>Initial</v>
      </c>
      <c r="M56" s="44" t="str">
        <f t="shared" si="114"/>
        <v>Initial</v>
      </c>
      <c r="N56" s="5" t="str">
        <f t="shared" si="5"/>
        <v>0</v>
      </c>
      <c r="O56" s="5" t="str">
        <f t="shared" si="6"/>
        <v>na</v>
      </c>
      <c r="P56" s="5" t="str">
        <f t="shared" si="7"/>
        <v>0</v>
      </c>
      <c r="Q56" s="5" t="str">
        <f t="shared" si="8"/>
        <v>bɐ</v>
      </c>
      <c r="R56" s="5"/>
      <c r="S56" s="3" t="s">
        <v>211</v>
      </c>
      <c r="T56" s="3" t="s">
        <v>212</v>
      </c>
      <c r="U56" s="3" t="s">
        <v>22</v>
      </c>
      <c r="V56" s="5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>
      <c r="A57" s="3" t="s">
        <v>14</v>
      </c>
      <c r="B57" s="3" t="s">
        <v>206</v>
      </c>
      <c r="C57" s="3" t="s">
        <v>207</v>
      </c>
      <c r="D57" s="3" t="s">
        <v>208</v>
      </c>
      <c r="E57" s="3" t="s">
        <v>209</v>
      </c>
      <c r="F57" s="8" t="s">
        <v>210</v>
      </c>
      <c r="G57" s="3" t="s">
        <v>62</v>
      </c>
      <c r="H57" s="43">
        <f t="shared" ref="H57:I57" si="115">LEN(D57)-LEN(B57)+1</f>
        <v>3</v>
      </c>
      <c r="I57" s="43">
        <f t="shared" si="115"/>
        <v>4</v>
      </c>
      <c r="J57" s="4">
        <v>2.0</v>
      </c>
      <c r="K57" s="4">
        <v>2.0</v>
      </c>
      <c r="L57" s="5" t="str">
        <f t="shared" ref="L57:M57" si="116">IFS(J57="-", "-", J57=H57, "Final", J57=1, "Initial", J57&gt;1, "Medial")</f>
        <v>Medial</v>
      </c>
      <c r="M57" s="44" t="str">
        <f t="shared" si="116"/>
        <v>Medial</v>
      </c>
      <c r="N57" s="5" t="str">
        <f t="shared" si="5"/>
        <v>na</v>
      </c>
      <c r="O57" s="5" t="str">
        <f t="shared" si="6"/>
        <v>-</v>
      </c>
      <c r="P57" s="5" t="str">
        <f t="shared" si="7"/>
        <v>ɐ</v>
      </c>
      <c r="Q57" s="5" t="str">
        <f t="shared" si="8"/>
        <v>kɐ</v>
      </c>
      <c r="R57" s="5"/>
      <c r="S57" s="3" t="s">
        <v>211</v>
      </c>
      <c r="T57" s="3" t="s">
        <v>212</v>
      </c>
      <c r="U57" s="3" t="s">
        <v>22</v>
      </c>
      <c r="V57" s="5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>
      <c r="A58" s="3" t="s">
        <v>14</v>
      </c>
      <c r="B58" s="3" t="s">
        <v>206</v>
      </c>
      <c r="C58" s="3" t="s">
        <v>207</v>
      </c>
      <c r="D58" s="3" t="s">
        <v>208</v>
      </c>
      <c r="E58" s="3" t="s">
        <v>209</v>
      </c>
      <c r="F58" s="3" t="s">
        <v>36</v>
      </c>
      <c r="G58" s="3" t="s">
        <v>175</v>
      </c>
      <c r="H58" s="43">
        <f t="shared" ref="H58:I58" si="117">LEN(D58)-LEN(B58)+1</f>
        <v>3</v>
      </c>
      <c r="I58" s="43">
        <f t="shared" si="117"/>
        <v>4</v>
      </c>
      <c r="J58" s="4" t="s">
        <v>36</v>
      </c>
      <c r="K58" s="4">
        <v>3.0</v>
      </c>
      <c r="L58" s="5" t="str">
        <f t="shared" ref="L58:M58" si="118">IFS(J58="-", "-", J58=H58, "Final", J58=1, "Initial", J58&gt;1, "Medial")</f>
        <v>-</v>
      </c>
      <c r="M58" s="44" t="str">
        <f t="shared" si="118"/>
        <v>Medial</v>
      </c>
      <c r="N58" s="5" t="str">
        <f t="shared" si="5"/>
        <v>na</v>
      </c>
      <c r="O58" s="5" t="str">
        <f t="shared" si="6"/>
        <v>ʒi</v>
      </c>
      <c r="P58" s="5" t="str">
        <f t="shared" si="7"/>
        <v>bɐ</v>
      </c>
      <c r="Q58" s="5" t="str">
        <f t="shared" si="8"/>
        <v>ˈʃi</v>
      </c>
      <c r="R58" s="5"/>
      <c r="S58" s="3" t="s">
        <v>211</v>
      </c>
      <c r="T58" s="3" t="s">
        <v>212</v>
      </c>
      <c r="U58" s="3" t="s">
        <v>22</v>
      </c>
      <c r="V58" s="5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>
      <c r="A59" s="3" t="s">
        <v>14</v>
      </c>
      <c r="B59" s="3" t="s">
        <v>206</v>
      </c>
      <c r="C59" s="3" t="s">
        <v>207</v>
      </c>
      <c r="D59" s="3" t="s">
        <v>208</v>
      </c>
      <c r="E59" s="3" t="s">
        <v>209</v>
      </c>
      <c r="F59" s="3" t="s">
        <v>213</v>
      </c>
      <c r="G59" s="3" t="s">
        <v>214</v>
      </c>
      <c r="H59" s="43">
        <f t="shared" ref="H59:I59" si="119">LEN(D59)-LEN(B59)+1</f>
        <v>3</v>
      </c>
      <c r="I59" s="43">
        <f t="shared" si="119"/>
        <v>4</v>
      </c>
      <c r="J59" s="4">
        <v>3.0</v>
      </c>
      <c r="K59" s="4">
        <v>4.0</v>
      </c>
      <c r="L59" s="5" t="str">
        <f t="shared" ref="L59:M59" si="120">IFS(J59="-", "-", J59=H59, "Final", J59=1, "Initial", J59&gt;1, "Medial")</f>
        <v>Final</v>
      </c>
      <c r="M59" s="44" t="str">
        <f t="shared" si="120"/>
        <v>Final</v>
      </c>
      <c r="N59" s="5" t="str">
        <f t="shared" si="5"/>
        <v>-</v>
      </c>
      <c r="O59" s="5">
        <f t="shared" si="6"/>
        <v>3</v>
      </c>
      <c r="P59" s="5" t="str">
        <f t="shared" si="7"/>
        <v>kɐ</v>
      </c>
      <c r="Q59" s="5">
        <f t="shared" si="8"/>
        <v>4</v>
      </c>
      <c r="R59" s="5"/>
      <c r="S59" s="3" t="s">
        <v>211</v>
      </c>
      <c r="T59" s="3" t="s">
        <v>212</v>
      </c>
      <c r="U59" s="3" t="s">
        <v>22</v>
      </c>
      <c r="V59" s="5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>
      <c r="A60" s="3" t="s">
        <v>14</v>
      </c>
      <c r="B60" s="3" t="s">
        <v>215</v>
      </c>
      <c r="C60" s="3" t="s">
        <v>216</v>
      </c>
      <c r="D60" s="3" t="s">
        <v>217</v>
      </c>
      <c r="E60" s="3" t="s">
        <v>218</v>
      </c>
      <c r="F60" s="3" t="s">
        <v>173</v>
      </c>
      <c r="G60" s="3" t="s">
        <v>219</v>
      </c>
      <c r="H60" s="43">
        <f t="shared" ref="H60:I60" si="121">LEN(D60)-LEN(B60)+1</f>
        <v>2</v>
      </c>
      <c r="I60" s="43">
        <f t="shared" si="121"/>
        <v>2</v>
      </c>
      <c r="J60" s="4">
        <v>1.0</v>
      </c>
      <c r="K60" s="4">
        <v>1.0</v>
      </c>
      <c r="L60" s="5" t="str">
        <f t="shared" ref="L60:M60" si="122">IFS(J60="-", "-", J60=H60, "Final", J60=1, "Initial", J60&gt;1, "Medial")</f>
        <v>Initial</v>
      </c>
      <c r="M60" s="44" t="str">
        <f t="shared" si="122"/>
        <v>Initial</v>
      </c>
      <c r="N60" s="5" t="str">
        <f t="shared" si="5"/>
        <v>0</v>
      </c>
      <c r="O60" s="5" t="str">
        <f t="shared" si="6"/>
        <v>vu</v>
      </c>
      <c r="P60" s="5" t="str">
        <f t="shared" si="7"/>
        <v>0</v>
      </c>
      <c r="Q60" s="5" t="str">
        <f t="shared" si="8"/>
        <v>vu</v>
      </c>
      <c r="R60" s="5"/>
      <c r="S60" s="3" t="s">
        <v>220</v>
      </c>
      <c r="T60" s="3" t="s">
        <v>221</v>
      </c>
      <c r="U60" s="3" t="s">
        <v>22</v>
      </c>
      <c r="V60" s="5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>
      <c r="A61" s="3" t="s">
        <v>14</v>
      </c>
      <c r="B61" s="3" t="s">
        <v>215</v>
      </c>
      <c r="C61" s="3" t="s">
        <v>216</v>
      </c>
      <c r="D61" s="3" t="s">
        <v>217</v>
      </c>
      <c r="E61" s="3" t="s">
        <v>218</v>
      </c>
      <c r="F61" s="3" t="s">
        <v>222</v>
      </c>
      <c r="G61" s="3" t="s">
        <v>222</v>
      </c>
      <c r="H61" s="43">
        <f t="shared" ref="H61:I61" si="123">LEN(D61)-LEN(B61)+1</f>
        <v>2</v>
      </c>
      <c r="I61" s="43">
        <f t="shared" si="123"/>
        <v>2</v>
      </c>
      <c r="J61" s="4">
        <v>2.0</v>
      </c>
      <c r="K61" s="4">
        <v>2.0</v>
      </c>
      <c r="L61" s="5" t="str">
        <f t="shared" ref="L61:M61" si="124">IFS(J61="-", "-", J61=H61, "Final", J61=1, "Initial", J61&gt;1, "Medial")</f>
        <v>Final</v>
      </c>
      <c r="M61" s="44" t="str">
        <f t="shared" si="124"/>
        <v>Final</v>
      </c>
      <c r="N61" s="5" t="str">
        <f t="shared" si="5"/>
        <v>ˈɔ</v>
      </c>
      <c r="O61" s="5">
        <f t="shared" si="6"/>
        <v>2</v>
      </c>
      <c r="P61" s="5" t="str">
        <f t="shared" si="7"/>
        <v>ˈo</v>
      </c>
      <c r="Q61" s="5">
        <f t="shared" si="8"/>
        <v>2</v>
      </c>
      <c r="R61" s="5"/>
      <c r="S61" s="3" t="s">
        <v>220</v>
      </c>
      <c r="T61" s="3" t="s">
        <v>221</v>
      </c>
      <c r="U61" s="3" t="s">
        <v>22</v>
      </c>
      <c r="V61" s="5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>
      <c r="A62" s="6" t="s">
        <v>14</v>
      </c>
      <c r="B62" s="6" t="s">
        <v>223</v>
      </c>
      <c r="C62" s="6" t="s">
        <v>224</v>
      </c>
      <c r="D62" s="6" t="s">
        <v>225</v>
      </c>
      <c r="E62" s="6" t="s">
        <v>224</v>
      </c>
      <c r="F62" s="6" t="s">
        <v>29</v>
      </c>
      <c r="G62" s="6" t="s">
        <v>36</v>
      </c>
      <c r="H62" s="43">
        <f t="shared" ref="H62:I62" si="125">LEN(D62)-LEN(B62)+1</f>
        <v>2</v>
      </c>
      <c r="I62" s="43">
        <f t="shared" si="125"/>
        <v>1</v>
      </c>
      <c r="J62" s="9">
        <v>1.0</v>
      </c>
      <c r="K62" s="9" t="s">
        <v>36</v>
      </c>
      <c r="L62" s="5" t="str">
        <f t="shared" ref="L62:M62" si="126">IFS(J62="-", "-", J62=H62, "Final", J62=1, "Initial", J62&gt;1, "Medial")</f>
        <v>Initial</v>
      </c>
      <c r="M62" s="44" t="str">
        <f t="shared" si="126"/>
        <v>-</v>
      </c>
      <c r="N62" s="5" t="str">
        <f t="shared" si="5"/>
        <v>0</v>
      </c>
      <c r="O62" s="5" t="str">
        <f t="shared" si="6"/>
        <v>ˈpɐ̃</v>
      </c>
      <c r="P62" s="5" t="str">
        <f t="shared" si="7"/>
        <v>0</v>
      </c>
      <c r="Q62" s="5" t="str">
        <f t="shared" si="8"/>
        <v>ˈpɐ̃w̃</v>
      </c>
      <c r="R62" s="6" t="s">
        <v>72</v>
      </c>
      <c r="S62" s="6" t="s">
        <v>226</v>
      </c>
      <c r="T62" s="6" t="s">
        <v>227</v>
      </c>
      <c r="U62" s="6" t="s">
        <v>22</v>
      </c>
      <c r="V62" s="10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>
      <c r="A63" s="6" t="s">
        <v>14</v>
      </c>
      <c r="B63" s="6" t="s">
        <v>223</v>
      </c>
      <c r="C63" s="6" t="s">
        <v>224</v>
      </c>
      <c r="D63" s="6" t="s">
        <v>225</v>
      </c>
      <c r="E63" s="6" t="s">
        <v>224</v>
      </c>
      <c r="F63" s="6" t="s">
        <v>228</v>
      </c>
      <c r="G63" s="15" t="s">
        <v>224</v>
      </c>
      <c r="H63" s="43">
        <f t="shared" ref="H63:I63" si="127">LEN(D63)-LEN(B63)+1</f>
        <v>2</v>
      </c>
      <c r="I63" s="43">
        <f t="shared" si="127"/>
        <v>1</v>
      </c>
      <c r="J63" s="9">
        <v>2.0</v>
      </c>
      <c r="K63" s="9">
        <v>1.0</v>
      </c>
      <c r="L63" s="5" t="str">
        <f t="shared" ref="L63:M63" si="128">IFS(J63="-", "-", J63=H63, "Final", J63=1, "Initial", J63&gt;1, "Medial")</f>
        <v>Final</v>
      </c>
      <c r="M63" s="44" t="str">
        <f t="shared" si="128"/>
        <v>Final</v>
      </c>
      <c r="N63" s="5" t="str">
        <f t="shared" si="5"/>
        <v>o</v>
      </c>
      <c r="O63" s="5">
        <f t="shared" si="6"/>
        <v>2</v>
      </c>
      <c r="P63" s="5" t="str">
        <f t="shared" si="7"/>
        <v>-</v>
      </c>
      <c r="Q63" s="5">
        <f t="shared" si="8"/>
        <v>1</v>
      </c>
      <c r="R63" s="6"/>
      <c r="S63" s="6" t="s">
        <v>226</v>
      </c>
      <c r="T63" s="6" t="s">
        <v>227</v>
      </c>
      <c r="U63" s="6" t="s">
        <v>22</v>
      </c>
      <c r="V63" s="10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>
      <c r="A64" s="3" t="s">
        <v>14</v>
      </c>
      <c r="B64" s="3" t="s">
        <v>229</v>
      </c>
      <c r="C64" s="3" t="s">
        <v>230</v>
      </c>
      <c r="D64" s="3" t="s">
        <v>231</v>
      </c>
      <c r="E64" s="3" t="s">
        <v>232</v>
      </c>
      <c r="F64" s="3" t="s">
        <v>233</v>
      </c>
      <c r="G64" s="3" t="s">
        <v>233</v>
      </c>
      <c r="H64" s="43">
        <f t="shared" ref="H64:I64" si="129">LEN(D64)-LEN(B64)+1</f>
        <v>3</v>
      </c>
      <c r="I64" s="43">
        <f t="shared" si="129"/>
        <v>3</v>
      </c>
      <c r="J64" s="4">
        <v>1.0</v>
      </c>
      <c r="K64" s="4">
        <v>1.0</v>
      </c>
      <c r="L64" s="5" t="str">
        <f t="shared" ref="L64:M64" si="130">IFS(J64="-", "-", J64=H64, "Final", J64=1, "Initial", J64&gt;1, "Medial")</f>
        <v>Initial</v>
      </c>
      <c r="M64" s="44" t="str">
        <f t="shared" si="130"/>
        <v>Initial</v>
      </c>
      <c r="N64" s="5" t="str">
        <f t="shared" si="5"/>
        <v>0</v>
      </c>
      <c r="O64" s="5" t="str">
        <f t="shared" si="6"/>
        <v>ˈmɛ̃</v>
      </c>
      <c r="P64" s="5" t="str">
        <f t="shared" si="7"/>
        <v>0</v>
      </c>
      <c r="Q64" s="5" t="str">
        <f t="shared" si="8"/>
        <v>mẽ</v>
      </c>
      <c r="R64" s="3" t="s">
        <v>72</v>
      </c>
      <c r="S64" s="3" t="s">
        <v>234</v>
      </c>
      <c r="T64" s="3" t="s">
        <v>235</v>
      </c>
      <c r="U64" s="3" t="s">
        <v>22</v>
      </c>
      <c r="V64" s="5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>
      <c r="A65" s="3" t="s">
        <v>14</v>
      </c>
      <c r="B65" s="3" t="s">
        <v>229</v>
      </c>
      <c r="C65" s="3" t="s">
        <v>230</v>
      </c>
      <c r="D65" s="3" t="s">
        <v>231</v>
      </c>
      <c r="E65" s="3" t="s">
        <v>232</v>
      </c>
      <c r="F65" s="3" t="s">
        <v>236</v>
      </c>
      <c r="G65" s="8" t="s">
        <v>237</v>
      </c>
      <c r="H65" s="43">
        <f t="shared" ref="H65:I65" si="131">LEN(D65)-LEN(B65)+1</f>
        <v>3</v>
      </c>
      <c r="I65" s="43">
        <f t="shared" si="131"/>
        <v>3</v>
      </c>
      <c r="J65" s="4">
        <v>2.0</v>
      </c>
      <c r="K65" s="4">
        <v>2.0</v>
      </c>
      <c r="L65" s="5" t="str">
        <f t="shared" ref="L65:M65" si="132">IFS(J65="-", "-", J65=H65, "Final", J65=1, "Initial", J65&gt;1, "Medial")</f>
        <v>Medial</v>
      </c>
      <c r="M65" s="44" t="str">
        <f t="shared" si="132"/>
        <v>Medial</v>
      </c>
      <c r="N65" s="5" t="str">
        <f t="shared" si="5"/>
        <v>pi</v>
      </c>
      <c r="O65" s="5" t="str">
        <f t="shared" si="6"/>
        <v>tɐ</v>
      </c>
      <c r="P65" s="5" t="str">
        <f t="shared" si="7"/>
        <v>pi</v>
      </c>
      <c r="Q65" s="5" t="str">
        <f t="shared" si="8"/>
        <v>tɐ</v>
      </c>
      <c r="R65" s="3"/>
      <c r="S65" s="3" t="s">
        <v>234</v>
      </c>
      <c r="T65" s="3" t="s">
        <v>235</v>
      </c>
      <c r="U65" s="3" t="s">
        <v>22</v>
      </c>
      <c r="V65" s="5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>
      <c r="A66" s="3" t="s">
        <v>14</v>
      </c>
      <c r="B66" s="3" t="s">
        <v>229</v>
      </c>
      <c r="C66" s="3" t="s">
        <v>230</v>
      </c>
      <c r="D66" s="3" t="s">
        <v>231</v>
      </c>
      <c r="E66" s="3" t="s">
        <v>232</v>
      </c>
      <c r="F66" s="3" t="s">
        <v>238</v>
      </c>
      <c r="G66" s="3" t="s">
        <v>238</v>
      </c>
      <c r="H66" s="43">
        <f t="shared" ref="H66:I66" si="133">LEN(D66)-LEN(B66)+1</f>
        <v>3</v>
      </c>
      <c r="I66" s="43">
        <f t="shared" si="133"/>
        <v>3</v>
      </c>
      <c r="J66" s="4">
        <v>3.0</v>
      </c>
      <c r="K66" s="4">
        <v>3.0</v>
      </c>
      <c r="L66" s="5" t="str">
        <f t="shared" ref="L66:M66" si="134">IFS(J66="-", "-", J66=H66, "Final", J66=1, "Initial", J66&gt;1, "Medial")</f>
        <v>Final</v>
      </c>
      <c r="M66" s="44" t="str">
        <f t="shared" si="134"/>
        <v>Final</v>
      </c>
      <c r="N66" s="5" t="str">
        <f t="shared" si="5"/>
        <v>ˈmɛ̃</v>
      </c>
      <c r="O66" s="5">
        <f t="shared" si="6"/>
        <v>3</v>
      </c>
      <c r="P66" s="5" t="str">
        <f t="shared" si="7"/>
        <v>mẽ</v>
      </c>
      <c r="Q66" s="5">
        <f t="shared" si="8"/>
        <v>3</v>
      </c>
      <c r="R66" s="3"/>
      <c r="S66" s="3" t="s">
        <v>234</v>
      </c>
      <c r="T66" s="3" t="s">
        <v>235</v>
      </c>
      <c r="U66" s="3" t="s">
        <v>22</v>
      </c>
      <c r="V66" s="5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>
      <c r="A67" s="3" t="s">
        <v>14</v>
      </c>
      <c r="B67" s="3" t="s">
        <v>239</v>
      </c>
      <c r="C67" s="3" t="s">
        <v>240</v>
      </c>
      <c r="D67" s="3" t="s">
        <v>241</v>
      </c>
      <c r="E67" s="8" t="s">
        <v>242</v>
      </c>
      <c r="F67" s="3" t="s">
        <v>128</v>
      </c>
      <c r="G67" s="3" t="s">
        <v>36</v>
      </c>
      <c r="H67" s="43">
        <f t="shared" ref="H67:I67" si="135">LEN(D67)-LEN(B67)+1</f>
        <v>3</v>
      </c>
      <c r="I67" s="43">
        <f t="shared" si="135"/>
        <v>0</v>
      </c>
      <c r="J67" s="4">
        <v>1.0</v>
      </c>
      <c r="K67" s="4" t="s">
        <v>36</v>
      </c>
      <c r="L67" s="5" t="str">
        <f t="shared" ref="L67:M67" si="136">IFS(J67="-", "-", J67=H67, "Final", J67=1, "Initial", J67&gt;1, "Medial")</f>
        <v>Initial</v>
      </c>
      <c r="M67" s="44" t="str">
        <f t="shared" si="136"/>
        <v>-</v>
      </c>
      <c r="N67" s="5" t="str">
        <f t="shared" si="5"/>
        <v>0</v>
      </c>
      <c r="O67" s="5" t="str">
        <f t="shared" si="6"/>
        <v>sa</v>
      </c>
      <c r="P67" s="5" t="str">
        <f t="shared" si="7"/>
        <v>0</v>
      </c>
      <c r="Q67" s="5" t="str">
        <f t="shared" si="8"/>
        <v>sal</v>
      </c>
      <c r="R67" s="3" t="s">
        <v>80</v>
      </c>
      <c r="S67" s="3" t="s">
        <v>242</v>
      </c>
      <c r="T67" s="3" t="s">
        <v>243</v>
      </c>
      <c r="U67" s="3" t="s">
        <v>22</v>
      </c>
      <c r="V67" s="5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>
      <c r="A68" s="3" t="s">
        <v>14</v>
      </c>
      <c r="B68" s="3" t="s">
        <v>239</v>
      </c>
      <c r="C68" s="3" t="s">
        <v>240</v>
      </c>
      <c r="D68" s="3" t="s">
        <v>241</v>
      </c>
      <c r="E68" s="8" t="s">
        <v>242</v>
      </c>
      <c r="F68" s="8" t="s">
        <v>244</v>
      </c>
      <c r="G68" s="16" t="s">
        <v>242</v>
      </c>
      <c r="H68" s="43">
        <f t="shared" ref="H68:I68" si="137">LEN(D68)-LEN(B68)+1</f>
        <v>3</v>
      </c>
      <c r="I68" s="43">
        <f t="shared" si="137"/>
        <v>0</v>
      </c>
      <c r="J68" s="4">
        <v>2.0</v>
      </c>
      <c r="K68" s="4">
        <v>1.0</v>
      </c>
      <c r="L68" s="5" t="str">
        <f t="shared" ref="L68:M68" si="138">IFS(J68="-", "-", J68=H68, "Final", J68=1, "Initial", J68&gt;1, "Medial")</f>
        <v>Medial</v>
      </c>
      <c r="M68" s="44" t="str">
        <f t="shared" si="138"/>
        <v>Initial</v>
      </c>
      <c r="N68" s="5" t="str">
        <f t="shared" si="5"/>
        <v>u</v>
      </c>
      <c r="O68" s="5" t="str">
        <f t="shared" si="6"/>
        <v>lu</v>
      </c>
      <c r="P68" s="5" t="str">
        <f t="shared" si="7"/>
        <v>-</v>
      </c>
      <c r="Q68" s="5" t="str">
        <f t="shared" si="8"/>
        <v>-</v>
      </c>
      <c r="R68" s="3"/>
      <c r="S68" s="3" t="s">
        <v>242</v>
      </c>
      <c r="T68" s="3" t="s">
        <v>243</v>
      </c>
      <c r="U68" s="3" t="s">
        <v>22</v>
      </c>
      <c r="V68" s="5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>
      <c r="A69" s="3" t="s">
        <v>14</v>
      </c>
      <c r="B69" s="3" t="s">
        <v>239</v>
      </c>
      <c r="C69" s="3" t="s">
        <v>240</v>
      </c>
      <c r="D69" s="3" t="s">
        <v>241</v>
      </c>
      <c r="E69" s="8" t="s">
        <v>242</v>
      </c>
      <c r="F69" s="3" t="s">
        <v>245</v>
      </c>
      <c r="G69" s="3" t="s">
        <v>36</v>
      </c>
      <c r="H69" s="43">
        <f t="shared" ref="H69:I69" si="139">LEN(D69)-LEN(B69)+1</f>
        <v>3</v>
      </c>
      <c r="I69" s="43">
        <f t="shared" si="139"/>
        <v>0</v>
      </c>
      <c r="J69" s="4">
        <v>3.0</v>
      </c>
      <c r="K69" s="4" t="s">
        <v>36</v>
      </c>
      <c r="L69" s="5" t="str">
        <f t="shared" ref="L69:M69" si="140">IFS(J69="-", "-", J69=H69, "Final", J69=1, "Initial", J69&gt;1, "Medial")</f>
        <v>Final</v>
      </c>
      <c r="M69" s="44" t="str">
        <f t="shared" si="140"/>
        <v>-</v>
      </c>
      <c r="N69" s="5" t="str">
        <f t="shared" si="5"/>
        <v>sa</v>
      </c>
      <c r="O69" s="5">
        <f t="shared" si="6"/>
        <v>3</v>
      </c>
      <c r="P69" s="5" t="str">
        <f t="shared" si="7"/>
        <v>sal</v>
      </c>
      <c r="Q69" s="5" t="str">
        <f t="shared" si="8"/>
        <v>-</v>
      </c>
      <c r="R69" s="3"/>
      <c r="S69" s="3" t="s">
        <v>242</v>
      </c>
      <c r="T69" s="3" t="s">
        <v>243</v>
      </c>
      <c r="U69" s="3" t="s">
        <v>22</v>
      </c>
      <c r="V69" s="5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>
      <c r="A70" s="3" t="s">
        <v>14</v>
      </c>
      <c r="B70" s="3" t="s">
        <v>246</v>
      </c>
      <c r="C70" s="3" t="s">
        <v>247</v>
      </c>
      <c r="D70" s="3" t="s">
        <v>248</v>
      </c>
      <c r="E70" s="3" t="s">
        <v>249</v>
      </c>
      <c r="F70" s="3" t="s">
        <v>250</v>
      </c>
      <c r="G70" s="3" t="s">
        <v>251</v>
      </c>
      <c r="H70" s="43">
        <f t="shared" ref="H70:I70" si="141">LEN(D70)-LEN(B70)+1</f>
        <v>2</v>
      </c>
      <c r="I70" s="43">
        <f t="shared" si="141"/>
        <v>2</v>
      </c>
      <c r="J70" s="4">
        <v>1.0</v>
      </c>
      <c r="K70" s="4">
        <v>1.0</v>
      </c>
      <c r="L70" s="5" t="str">
        <f t="shared" ref="L70:M70" si="142">IFS(J70="-", "-", J70=H70, "Final", J70=1, "Initial", J70&gt;1, "Medial")</f>
        <v>Initial</v>
      </c>
      <c r="M70" s="44" t="str">
        <f t="shared" si="142"/>
        <v>Initial</v>
      </c>
      <c r="N70" s="5" t="str">
        <f t="shared" si="5"/>
        <v>0</v>
      </c>
      <c r="O70" s="5" t="str">
        <f t="shared" si="6"/>
        <v>pɐ</v>
      </c>
      <c r="P70" s="5" t="str">
        <f t="shared" si="7"/>
        <v>0</v>
      </c>
      <c r="Q70" s="5" t="str">
        <f t="shared" si="8"/>
        <v>pɐ</v>
      </c>
      <c r="R70" s="5"/>
      <c r="S70" s="3" t="s">
        <v>252</v>
      </c>
      <c r="T70" s="3" t="s">
        <v>253</v>
      </c>
      <c r="U70" s="3" t="s">
        <v>22</v>
      </c>
      <c r="V70" s="5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>
      <c r="A71" s="3" t="s">
        <v>14</v>
      </c>
      <c r="B71" s="3" t="s">
        <v>246</v>
      </c>
      <c r="C71" s="3" t="s">
        <v>247</v>
      </c>
      <c r="D71" s="3" t="s">
        <v>248</v>
      </c>
      <c r="E71" s="3" t="s">
        <v>249</v>
      </c>
      <c r="F71" s="3" t="s">
        <v>254</v>
      </c>
      <c r="G71" s="3" t="s">
        <v>254</v>
      </c>
      <c r="H71" s="43">
        <f t="shared" ref="H71:I71" si="143">LEN(D71)-LEN(B71)+1</f>
        <v>2</v>
      </c>
      <c r="I71" s="43">
        <f t="shared" si="143"/>
        <v>2</v>
      </c>
      <c r="J71" s="4">
        <v>2.0</v>
      </c>
      <c r="K71" s="4">
        <v>2.0</v>
      </c>
      <c r="L71" s="5" t="str">
        <f t="shared" ref="L71:M71" si="144">IFS(J71="-", "-", J71=H71, "Final", J71=1, "Initial", J71&gt;1, "Medial")</f>
        <v>Final</v>
      </c>
      <c r="M71" s="44" t="str">
        <f t="shared" si="144"/>
        <v>Final</v>
      </c>
      <c r="N71" s="5" t="str">
        <f t="shared" si="5"/>
        <v>ˈsɔ</v>
      </c>
      <c r="O71" s="5">
        <f t="shared" si="6"/>
        <v>2</v>
      </c>
      <c r="P71" s="5" t="str">
        <f t="shared" si="7"/>
        <v>ˈso</v>
      </c>
      <c r="Q71" s="5">
        <f t="shared" si="8"/>
        <v>2</v>
      </c>
      <c r="R71" s="5"/>
      <c r="S71" s="3" t="s">
        <v>252</v>
      </c>
      <c r="T71" s="3" t="s">
        <v>253</v>
      </c>
      <c r="U71" s="3" t="s">
        <v>22</v>
      </c>
      <c r="V71" s="5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>
      <c r="A72" s="3" t="s">
        <v>14</v>
      </c>
      <c r="B72" s="3" t="s">
        <v>255</v>
      </c>
      <c r="C72" s="3" t="s">
        <v>256</v>
      </c>
      <c r="D72" s="3" t="s">
        <v>257</v>
      </c>
      <c r="E72" s="3" t="s">
        <v>258</v>
      </c>
      <c r="F72" s="3" t="s">
        <v>36</v>
      </c>
      <c r="G72" s="3" t="s">
        <v>49</v>
      </c>
      <c r="H72" s="43">
        <f t="shared" ref="H72:I72" si="145">LEN(D72)-LEN(B72)+1</f>
        <v>2</v>
      </c>
      <c r="I72" s="43">
        <f t="shared" si="145"/>
        <v>3</v>
      </c>
      <c r="J72" s="4" t="s">
        <v>36</v>
      </c>
      <c r="K72" s="4">
        <v>1.0</v>
      </c>
      <c r="L72" s="5" t="str">
        <f t="shared" ref="L72:M72" si="146">IFS(J72="-", "-", J72=H72, "Final", J72=1, "Initial", J72&gt;1, "Medial")</f>
        <v>-</v>
      </c>
      <c r="M72" s="44" t="str">
        <f t="shared" si="146"/>
        <v>Initial</v>
      </c>
      <c r="N72" s="5" t="str">
        <f t="shared" si="5"/>
        <v>0</v>
      </c>
      <c r="O72" s="5" t="str">
        <f t="shared" si="6"/>
        <v>ˈsu</v>
      </c>
      <c r="P72" s="5" t="str">
        <f t="shared" si="7"/>
        <v>0</v>
      </c>
      <c r="Q72" s="5" t="str">
        <f t="shared" si="8"/>
        <v>ˈsu</v>
      </c>
      <c r="R72" s="5"/>
      <c r="S72" s="3" t="s">
        <v>259</v>
      </c>
      <c r="T72" s="3" t="s">
        <v>260</v>
      </c>
      <c r="U72" s="3" t="s">
        <v>22</v>
      </c>
      <c r="V72" s="5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>
      <c r="A73" s="3" t="s">
        <v>14</v>
      </c>
      <c r="B73" s="3" t="s">
        <v>255</v>
      </c>
      <c r="C73" s="3" t="s">
        <v>256</v>
      </c>
      <c r="D73" s="3" t="s">
        <v>257</v>
      </c>
      <c r="E73" s="3" t="s">
        <v>258</v>
      </c>
      <c r="F73" s="3" t="s">
        <v>261</v>
      </c>
      <c r="G73" s="3" t="s">
        <v>261</v>
      </c>
      <c r="H73" s="43">
        <f t="shared" ref="H73:I73" si="147">LEN(D73)-LEN(B73)+1</f>
        <v>2</v>
      </c>
      <c r="I73" s="43">
        <f t="shared" si="147"/>
        <v>3</v>
      </c>
      <c r="J73" s="4">
        <v>1.0</v>
      </c>
      <c r="K73" s="4">
        <v>2.0</v>
      </c>
      <c r="L73" s="5" t="str">
        <f t="shared" ref="L73:M73" si="148">IFS(J73="-", "-", J73=H73, "Final", J73=1, "Initial", J73&gt;1, "Medial")</f>
        <v>Initial</v>
      </c>
      <c r="M73" s="44" t="str">
        <f t="shared" si="148"/>
        <v>Medial</v>
      </c>
      <c r="N73" s="5" t="str">
        <f t="shared" si="5"/>
        <v>-</v>
      </c>
      <c r="O73" s="5" t="str">
        <f t="shared" si="6"/>
        <v>ke</v>
      </c>
      <c r="P73" s="5" t="str">
        <f t="shared" si="7"/>
        <v>ɐ</v>
      </c>
      <c r="Q73" s="5" t="str">
        <f t="shared" si="8"/>
        <v>kaɾ</v>
      </c>
      <c r="R73" s="5"/>
      <c r="S73" s="3" t="s">
        <v>259</v>
      </c>
      <c r="T73" s="3" t="s">
        <v>260</v>
      </c>
      <c r="U73" s="3" t="s">
        <v>22</v>
      </c>
      <c r="V73" s="5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>
      <c r="A74" s="3" t="s">
        <v>14</v>
      </c>
      <c r="B74" s="3" t="s">
        <v>255</v>
      </c>
      <c r="C74" s="3" t="s">
        <v>256</v>
      </c>
      <c r="D74" s="3" t="s">
        <v>257</v>
      </c>
      <c r="E74" s="3" t="s">
        <v>258</v>
      </c>
      <c r="F74" s="3" t="s">
        <v>262</v>
      </c>
      <c r="G74" s="3" t="s">
        <v>263</v>
      </c>
      <c r="H74" s="43">
        <f t="shared" ref="H74:I74" si="149">LEN(D74)-LEN(B74)+1</f>
        <v>2</v>
      </c>
      <c r="I74" s="43">
        <f t="shared" si="149"/>
        <v>3</v>
      </c>
      <c r="J74" s="4">
        <v>2.0</v>
      </c>
      <c r="K74" s="4">
        <v>3.0</v>
      </c>
      <c r="L74" s="5" t="str">
        <f t="shared" ref="L74:M74" si="150">IFS(J74="-", "-", J74=H74, "Final", J74=1, "Initial", J74&gt;1, "Medial")</f>
        <v>Final</v>
      </c>
      <c r="M74" s="44" t="str">
        <f t="shared" si="150"/>
        <v>Final</v>
      </c>
      <c r="N74" s="5" t="str">
        <f t="shared" si="5"/>
        <v>ˈsu</v>
      </c>
      <c r="O74" s="5">
        <f t="shared" si="6"/>
        <v>2</v>
      </c>
      <c r="P74" s="5" t="str">
        <f t="shared" si="7"/>
        <v>ˈsu</v>
      </c>
      <c r="Q74" s="5">
        <f t="shared" si="8"/>
        <v>3</v>
      </c>
      <c r="R74" s="5"/>
      <c r="S74" s="3" t="s">
        <v>259</v>
      </c>
      <c r="T74" s="3" t="s">
        <v>260</v>
      </c>
      <c r="U74" s="3" t="s">
        <v>22</v>
      </c>
      <c r="V74" s="5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>
      <c r="A75" s="3" t="s">
        <v>14</v>
      </c>
      <c r="B75" s="3" t="s">
        <v>264</v>
      </c>
      <c r="C75" s="3" t="s">
        <v>265</v>
      </c>
      <c r="D75" s="3" t="s">
        <v>266</v>
      </c>
      <c r="E75" s="3" t="s">
        <v>267</v>
      </c>
      <c r="F75" s="3" t="s">
        <v>268</v>
      </c>
      <c r="G75" s="3" t="s">
        <v>269</v>
      </c>
      <c r="H75" s="43">
        <f t="shared" ref="H75:I75" si="151">LEN(D75)-LEN(B75)+1</f>
        <v>2</v>
      </c>
      <c r="I75" s="43">
        <f t="shared" si="151"/>
        <v>2</v>
      </c>
      <c r="J75" s="4">
        <v>1.0</v>
      </c>
      <c r="K75" s="4">
        <v>1.0</v>
      </c>
      <c r="L75" s="5" t="str">
        <f t="shared" ref="L75:M75" si="152">IFS(J75="-", "-", J75=H75, "Final", J75=1, "Initial", J75&gt;1, "Medial")</f>
        <v>Initial</v>
      </c>
      <c r="M75" s="44" t="str">
        <f t="shared" si="152"/>
        <v>Initial</v>
      </c>
      <c r="N75" s="5" t="str">
        <f t="shared" si="5"/>
        <v>0</v>
      </c>
      <c r="O75" s="5" t="str">
        <f t="shared" si="6"/>
        <v>gu</v>
      </c>
      <c r="P75" s="5" t="str">
        <f t="shared" si="7"/>
        <v>0</v>
      </c>
      <c r="Q75" s="5" t="str">
        <f t="shared" si="8"/>
        <v>gu</v>
      </c>
      <c r="R75" s="5"/>
      <c r="S75" s="3" t="s">
        <v>270</v>
      </c>
      <c r="T75" s="3" t="s">
        <v>271</v>
      </c>
      <c r="U75" s="3" t="s">
        <v>22</v>
      </c>
      <c r="V75" s="5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>
      <c r="A76" s="3" t="s">
        <v>14</v>
      </c>
      <c r="B76" s="3" t="s">
        <v>264</v>
      </c>
      <c r="C76" s="3" t="s">
        <v>265</v>
      </c>
      <c r="D76" s="3" t="s">
        <v>266</v>
      </c>
      <c r="E76" s="3" t="s">
        <v>267</v>
      </c>
      <c r="F76" s="3" t="s">
        <v>98</v>
      </c>
      <c r="G76" s="3" t="s">
        <v>98</v>
      </c>
      <c r="H76" s="43">
        <f t="shared" ref="H76:I76" si="153">LEN(D76)-LEN(B76)+1</f>
        <v>2</v>
      </c>
      <c r="I76" s="43">
        <f t="shared" si="153"/>
        <v>2</v>
      </c>
      <c r="J76" s="4">
        <v>2.0</v>
      </c>
      <c r="K76" s="4">
        <v>2.0</v>
      </c>
      <c r="L76" s="5" t="str">
        <f t="shared" ref="L76:M76" si="154">IFS(J76="-", "-", J76=H76, "Final", J76=1, "Initial", J76&gt;1, "Medial")</f>
        <v>Final</v>
      </c>
      <c r="M76" s="44" t="str">
        <f t="shared" si="154"/>
        <v>Final</v>
      </c>
      <c r="N76" s="5" t="str">
        <f t="shared" si="5"/>
        <v>ˈt̠ʃi</v>
      </c>
      <c r="O76" s="5">
        <f t="shared" si="6"/>
        <v>2</v>
      </c>
      <c r="P76" s="5" t="str">
        <f t="shared" si="7"/>
        <v>ˈtɾi</v>
      </c>
      <c r="Q76" s="5">
        <f t="shared" si="8"/>
        <v>2</v>
      </c>
      <c r="R76" s="5"/>
      <c r="S76" s="3" t="s">
        <v>270</v>
      </c>
      <c r="T76" s="3" t="s">
        <v>271</v>
      </c>
      <c r="U76" s="3" t="s">
        <v>22</v>
      </c>
      <c r="V76" s="5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>
      <c r="A77" s="3" t="s">
        <v>14</v>
      </c>
      <c r="B77" s="3" t="s">
        <v>272</v>
      </c>
      <c r="C77" s="3" t="s">
        <v>273</v>
      </c>
      <c r="D77" s="3" t="s">
        <v>274</v>
      </c>
      <c r="E77" s="3" t="s">
        <v>275</v>
      </c>
      <c r="F77" s="3" t="s">
        <v>276</v>
      </c>
      <c r="G77" s="3" t="s">
        <v>276</v>
      </c>
      <c r="H77" s="43">
        <f t="shared" ref="H77:I77" si="155">LEN(D77)-LEN(B77)+1</f>
        <v>3</v>
      </c>
      <c r="I77" s="43">
        <f t="shared" si="155"/>
        <v>3</v>
      </c>
      <c r="J77" s="4">
        <v>1.0</v>
      </c>
      <c r="K77" s="4">
        <v>1.0</v>
      </c>
      <c r="L77" s="5" t="str">
        <f t="shared" ref="L77:M77" si="156">IFS(J77="-", "-", J77=H77, "Final", J77=1, "Initial", J77&gt;1, "Medial")</f>
        <v>Initial</v>
      </c>
      <c r="M77" s="44" t="str">
        <f t="shared" si="156"/>
        <v>Initial</v>
      </c>
      <c r="N77" s="5" t="str">
        <f t="shared" si="5"/>
        <v>0</v>
      </c>
      <c r="O77" s="5" t="str">
        <f t="shared" si="6"/>
        <v>ˈnã</v>
      </c>
      <c r="P77" s="5" t="str">
        <f t="shared" si="7"/>
        <v>0</v>
      </c>
      <c r="Q77" s="5" t="str">
        <f t="shared" si="8"/>
        <v>ˈna</v>
      </c>
      <c r="R77" s="3" t="s">
        <v>72</v>
      </c>
      <c r="S77" s="3" t="s">
        <v>277</v>
      </c>
      <c r="T77" s="3" t="s">
        <v>278</v>
      </c>
      <c r="U77" s="3" t="s">
        <v>22</v>
      </c>
      <c r="V77" s="5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>
      <c r="A78" s="3" t="s">
        <v>14</v>
      </c>
      <c r="B78" s="3" t="s">
        <v>272</v>
      </c>
      <c r="C78" s="3" t="s">
        <v>273</v>
      </c>
      <c r="D78" s="3" t="s">
        <v>274</v>
      </c>
      <c r="E78" s="3" t="s">
        <v>275</v>
      </c>
      <c r="F78" s="3" t="s">
        <v>279</v>
      </c>
      <c r="G78" s="3" t="s">
        <v>280</v>
      </c>
      <c r="H78" s="43">
        <f t="shared" ref="H78:I78" si="157">LEN(D78)-LEN(B78)+1</f>
        <v>3</v>
      </c>
      <c r="I78" s="43">
        <f t="shared" si="157"/>
        <v>3</v>
      </c>
      <c r="J78" s="4">
        <v>2.0</v>
      </c>
      <c r="K78" s="4">
        <v>2.0</v>
      </c>
      <c r="L78" s="5" t="str">
        <f t="shared" ref="L78:M78" si="158">IFS(J78="-", "-", J78=H78, "Final", J78=1, "Initial", J78&gt;1, "Medial")</f>
        <v>Medial</v>
      </c>
      <c r="M78" s="44" t="str">
        <f t="shared" si="158"/>
        <v>Medial</v>
      </c>
      <c r="N78" s="5" t="str">
        <f t="shared" si="5"/>
        <v>vi</v>
      </c>
      <c r="O78" s="5" t="str">
        <f t="shared" si="6"/>
        <v>ge</v>
      </c>
      <c r="P78" s="5" t="str">
        <f t="shared" si="7"/>
        <v>vi</v>
      </c>
      <c r="Q78" s="5" t="str">
        <f t="shared" si="8"/>
        <v>gɾɨ</v>
      </c>
      <c r="R78" s="3"/>
      <c r="S78" s="3" t="s">
        <v>277</v>
      </c>
      <c r="T78" s="3" t="s">
        <v>278</v>
      </c>
      <c r="U78" s="3" t="s">
        <v>22</v>
      </c>
      <c r="V78" s="5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>
      <c r="A79" s="3" t="s">
        <v>14</v>
      </c>
      <c r="B79" s="3" t="s">
        <v>272</v>
      </c>
      <c r="C79" s="3" t="s">
        <v>273</v>
      </c>
      <c r="D79" s="3" t="s">
        <v>274</v>
      </c>
      <c r="E79" s="3" t="s">
        <v>275</v>
      </c>
      <c r="F79" s="3" t="s">
        <v>281</v>
      </c>
      <c r="G79" s="3" t="s">
        <v>282</v>
      </c>
      <c r="H79" s="43">
        <f t="shared" ref="H79:I79" si="159">LEN(D79)-LEN(B79)+1</f>
        <v>3</v>
      </c>
      <c r="I79" s="43">
        <f t="shared" si="159"/>
        <v>3</v>
      </c>
      <c r="J79" s="4">
        <v>3.0</v>
      </c>
      <c r="K79" s="4">
        <v>3.0</v>
      </c>
      <c r="L79" s="5" t="str">
        <f t="shared" ref="L79:M79" si="160">IFS(J79="-", "-", J79=H79, "Final", J79=1, "Initial", J79&gt;1, "Medial")</f>
        <v>Final</v>
      </c>
      <c r="M79" s="44" t="str">
        <f t="shared" si="160"/>
        <v>Final</v>
      </c>
      <c r="N79" s="5" t="str">
        <f t="shared" si="5"/>
        <v>ˈnã</v>
      </c>
      <c r="O79" s="5">
        <f t="shared" si="6"/>
        <v>3</v>
      </c>
      <c r="P79" s="5" t="str">
        <f t="shared" si="7"/>
        <v>ˈna</v>
      </c>
      <c r="Q79" s="5">
        <f t="shared" si="8"/>
        <v>3</v>
      </c>
      <c r="R79" s="3"/>
      <c r="S79" s="3" t="s">
        <v>277</v>
      </c>
      <c r="T79" s="3" t="s">
        <v>278</v>
      </c>
      <c r="U79" s="3" t="s">
        <v>22</v>
      </c>
      <c r="V79" s="5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>
      <c r="A80" s="3" t="s">
        <v>14</v>
      </c>
      <c r="B80" s="3" t="s">
        <v>283</v>
      </c>
      <c r="C80" s="3" t="s">
        <v>284</v>
      </c>
      <c r="D80" s="3" t="s">
        <v>285</v>
      </c>
      <c r="E80" s="3" t="s">
        <v>286</v>
      </c>
      <c r="F80" s="3" t="s">
        <v>287</v>
      </c>
      <c r="G80" s="3" t="s">
        <v>49</v>
      </c>
      <c r="H80" s="43">
        <f t="shared" ref="H80:I80" si="161">LEN(D80)-LEN(B80)+1</f>
        <v>3</v>
      </c>
      <c r="I80" s="43">
        <f t="shared" si="161"/>
        <v>3</v>
      </c>
      <c r="J80" s="4">
        <v>1.0</v>
      </c>
      <c r="K80" s="4">
        <v>1.0</v>
      </c>
      <c r="L80" s="5" t="str">
        <f t="shared" ref="L80:M80" si="162">IFS(J80="-", "-", J80=H80, "Final", J80=1, "Initial", J80&gt;1, "Medial")</f>
        <v>Initial</v>
      </c>
      <c r="M80" s="44" t="str">
        <f t="shared" si="162"/>
        <v>Initial</v>
      </c>
      <c r="N80" s="5" t="str">
        <f t="shared" si="5"/>
        <v>0</v>
      </c>
      <c r="O80" s="5" t="str">
        <f t="shared" si="6"/>
        <v>ˈze</v>
      </c>
      <c r="P80" s="5" t="str">
        <f t="shared" si="7"/>
        <v>0</v>
      </c>
      <c r="Q80" s="5" t="str">
        <f t="shared" si="8"/>
        <v>ˈzɐj</v>
      </c>
      <c r="R80" s="5"/>
      <c r="S80" s="3" t="s">
        <v>288</v>
      </c>
      <c r="T80" s="3" t="s">
        <v>289</v>
      </c>
      <c r="U80" s="3" t="s">
        <v>22</v>
      </c>
      <c r="V80" s="5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>
      <c r="A81" s="3" t="s">
        <v>14</v>
      </c>
      <c r="B81" s="3" t="s">
        <v>283</v>
      </c>
      <c r="C81" s="3" t="s">
        <v>284</v>
      </c>
      <c r="D81" s="3" t="s">
        <v>285</v>
      </c>
      <c r="E81" s="3" t="s">
        <v>286</v>
      </c>
      <c r="F81" s="3" t="s">
        <v>290</v>
      </c>
      <c r="G81" s="3" t="s">
        <v>291</v>
      </c>
      <c r="H81" s="43">
        <f t="shared" ref="H81:I81" si="163">LEN(D81)-LEN(B81)+1</f>
        <v>3</v>
      </c>
      <c r="I81" s="43">
        <f t="shared" si="163"/>
        <v>3</v>
      </c>
      <c r="J81" s="4">
        <v>2.0</v>
      </c>
      <c r="K81" s="4">
        <v>2.0</v>
      </c>
      <c r="L81" s="5" t="str">
        <f t="shared" ref="L81:M81" si="164">IFS(J81="-", "-", J81=H81, "Final", J81=1, "Initial", J81&gt;1, "Medial")</f>
        <v>Medial</v>
      </c>
      <c r="M81" s="44" t="str">
        <f t="shared" si="164"/>
        <v>Medial</v>
      </c>
      <c r="N81" s="5" t="str">
        <f t="shared" si="5"/>
        <v>i</v>
      </c>
      <c r="O81" s="5" t="str">
        <f t="shared" si="6"/>
        <v>t̠ʃi</v>
      </c>
      <c r="P81" s="5" t="str">
        <f t="shared" si="7"/>
        <v>ɐ</v>
      </c>
      <c r="Q81" s="5" t="str">
        <f t="shared" si="8"/>
        <v>tɨ</v>
      </c>
      <c r="R81" s="5"/>
      <c r="S81" s="3" t="s">
        <v>288</v>
      </c>
      <c r="T81" s="3" t="s">
        <v>289</v>
      </c>
      <c r="U81" s="3" t="s">
        <v>22</v>
      </c>
      <c r="V81" s="5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>
      <c r="A82" s="3" t="s">
        <v>14</v>
      </c>
      <c r="B82" s="3" t="s">
        <v>283</v>
      </c>
      <c r="C82" s="3" t="s">
        <v>284</v>
      </c>
      <c r="D82" s="3" t="s">
        <v>285</v>
      </c>
      <c r="E82" s="3" t="s">
        <v>286</v>
      </c>
      <c r="F82" s="3" t="s">
        <v>55</v>
      </c>
      <c r="G82" s="3" t="s">
        <v>56</v>
      </c>
      <c r="H82" s="43">
        <f t="shared" ref="H82:I82" si="165">LEN(D82)-LEN(B82)+1</f>
        <v>3</v>
      </c>
      <c r="I82" s="43">
        <f t="shared" si="165"/>
        <v>3</v>
      </c>
      <c r="J82" s="4">
        <v>3.0</v>
      </c>
      <c r="K82" s="4">
        <v>3.0</v>
      </c>
      <c r="L82" s="5" t="str">
        <f t="shared" ref="L82:M82" si="166">IFS(J82="-", "-", J82=H82, "Final", J82=1, "Initial", J82&gt;1, "Medial")</f>
        <v>Final</v>
      </c>
      <c r="M82" s="44" t="str">
        <f t="shared" si="166"/>
        <v>Final</v>
      </c>
      <c r="N82" s="5" t="str">
        <f t="shared" si="5"/>
        <v>ˈze</v>
      </c>
      <c r="O82" s="5">
        <f t="shared" si="6"/>
        <v>3</v>
      </c>
      <c r="P82" s="5" t="str">
        <f t="shared" si="7"/>
        <v>ˈzɐj</v>
      </c>
      <c r="Q82" s="5">
        <f t="shared" si="8"/>
        <v>3</v>
      </c>
      <c r="R82" s="5"/>
      <c r="S82" s="3" t="s">
        <v>288</v>
      </c>
      <c r="T82" s="3" t="s">
        <v>289</v>
      </c>
      <c r="U82" s="3" t="s">
        <v>22</v>
      </c>
      <c r="V82" s="5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>
      <c r="A83" s="3" t="s">
        <v>14</v>
      </c>
      <c r="B83" s="3" t="s">
        <v>292</v>
      </c>
      <c r="C83" s="3" t="s">
        <v>292</v>
      </c>
      <c r="D83" s="3" t="s">
        <v>293</v>
      </c>
      <c r="E83" s="3" t="s">
        <v>293</v>
      </c>
      <c r="F83" s="3" t="s">
        <v>19</v>
      </c>
      <c r="G83" s="3" t="s">
        <v>19</v>
      </c>
      <c r="H83" s="43">
        <f t="shared" ref="H83:I83" si="167">LEN(D83)-LEN(B83)+1</f>
        <v>2</v>
      </c>
      <c r="I83" s="43">
        <f t="shared" si="167"/>
        <v>2</v>
      </c>
      <c r="J83" s="4">
        <v>1.0</v>
      </c>
      <c r="K83" s="4">
        <v>1.0</v>
      </c>
      <c r="L83" s="5" t="str">
        <f t="shared" ref="L83:M83" si="168">IFS(J83="-", "-", J83=H83, "Final", J83=1, "Initial", J83&gt;1, "Medial")</f>
        <v>Initial</v>
      </c>
      <c r="M83" s="44" t="str">
        <f t="shared" si="168"/>
        <v>Initial</v>
      </c>
      <c r="N83" s="5" t="str">
        <f t="shared" si="5"/>
        <v>0</v>
      </c>
      <c r="O83" s="5" t="str">
        <f t="shared" si="6"/>
        <v>zɐ</v>
      </c>
      <c r="P83" s="5" t="str">
        <f t="shared" si="7"/>
        <v>0</v>
      </c>
      <c r="Q83" s="5" t="str">
        <f t="shared" si="8"/>
        <v>zɐ</v>
      </c>
      <c r="R83" s="5"/>
      <c r="S83" s="3" t="s">
        <v>294</v>
      </c>
      <c r="T83" s="3" t="s">
        <v>295</v>
      </c>
      <c r="U83" s="3" t="s">
        <v>22</v>
      </c>
      <c r="V83" s="5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>
      <c r="A84" s="3" t="s">
        <v>14</v>
      </c>
      <c r="B84" s="3" t="s">
        <v>292</v>
      </c>
      <c r="C84" s="3" t="s">
        <v>292</v>
      </c>
      <c r="D84" s="3" t="s">
        <v>293</v>
      </c>
      <c r="E84" s="3" t="s">
        <v>293</v>
      </c>
      <c r="F84" s="3" t="s">
        <v>296</v>
      </c>
      <c r="G84" s="3" t="s">
        <v>296</v>
      </c>
      <c r="H84" s="43">
        <f t="shared" ref="H84:I84" si="169">LEN(D84)-LEN(B84)+1</f>
        <v>2</v>
      </c>
      <c r="I84" s="43">
        <f t="shared" si="169"/>
        <v>2</v>
      </c>
      <c r="J84" s="4">
        <v>2.0</v>
      </c>
      <c r="K84" s="4">
        <v>2.0</v>
      </c>
      <c r="L84" s="5" t="str">
        <f t="shared" ref="L84:M84" si="170">IFS(J84="-", "-", J84=H84, "Final", J84=1, "Initial", J84&gt;1, "Medial")</f>
        <v>Final</v>
      </c>
      <c r="M84" s="44" t="str">
        <f t="shared" si="170"/>
        <v>Final</v>
      </c>
      <c r="N84" s="5" t="str">
        <f t="shared" si="5"/>
        <v>ˈa</v>
      </c>
      <c r="O84" s="5">
        <f t="shared" si="6"/>
        <v>2</v>
      </c>
      <c r="P84" s="5" t="str">
        <f t="shared" si="7"/>
        <v>ˈa</v>
      </c>
      <c r="Q84" s="5">
        <f t="shared" si="8"/>
        <v>2</v>
      </c>
      <c r="R84" s="5"/>
      <c r="S84" s="3" t="s">
        <v>294</v>
      </c>
      <c r="T84" s="3" t="s">
        <v>295</v>
      </c>
      <c r="U84" s="3" t="s">
        <v>22</v>
      </c>
      <c r="V84" s="5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>
      <c r="A85" s="26" t="s">
        <v>14</v>
      </c>
      <c r="B85" s="26" t="s">
        <v>297</v>
      </c>
      <c r="C85" s="26" t="s">
        <v>298</v>
      </c>
      <c r="D85" s="26" t="s">
        <v>299</v>
      </c>
      <c r="E85" s="26" t="s">
        <v>300</v>
      </c>
      <c r="F85" s="17" t="s">
        <v>36</v>
      </c>
      <c r="G85" s="26" t="s">
        <v>301</v>
      </c>
      <c r="H85" s="43">
        <f t="shared" ref="H85:I85" si="171">LEN(D85)-LEN(B85)+1</f>
        <v>2</v>
      </c>
      <c r="I85" s="43">
        <f t="shared" si="171"/>
        <v>3</v>
      </c>
      <c r="J85" s="27" t="s">
        <v>36</v>
      </c>
      <c r="K85" s="27">
        <v>1.0</v>
      </c>
      <c r="L85" s="5" t="str">
        <f t="shared" ref="L85:M85" si="172">IFS(J85="-", "-", J85=H85, "Final", J85=1, "Initial", J85&gt;1, "Medial")</f>
        <v>-</v>
      </c>
      <c r="M85" s="44" t="str">
        <f t="shared" si="172"/>
        <v>Initial</v>
      </c>
      <c r="N85" s="5" t="str">
        <f t="shared" si="5"/>
        <v>0</v>
      </c>
      <c r="O85" s="5" t="str">
        <f t="shared" si="6"/>
        <v>ˈka</v>
      </c>
      <c r="P85" s="5" t="str">
        <f t="shared" si="7"/>
        <v>0</v>
      </c>
      <c r="Q85" s="5" t="str">
        <f t="shared" si="8"/>
        <v>ˈkɐ</v>
      </c>
      <c r="R85" s="28"/>
      <c r="S85" s="26" t="s">
        <v>302</v>
      </c>
      <c r="T85" s="26" t="s">
        <v>303</v>
      </c>
      <c r="U85" s="26" t="s">
        <v>22</v>
      </c>
      <c r="V85" s="28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</row>
    <row r="86">
      <c r="A86" s="26" t="s">
        <v>14</v>
      </c>
      <c r="B86" s="26" t="s">
        <v>297</v>
      </c>
      <c r="C86" s="26" t="s">
        <v>298</v>
      </c>
      <c r="D86" s="26" t="s">
        <v>299</v>
      </c>
      <c r="E86" s="26" t="s">
        <v>300</v>
      </c>
      <c r="F86" s="26" t="s">
        <v>131</v>
      </c>
      <c r="G86" s="26" t="s">
        <v>121</v>
      </c>
      <c r="H86" s="43">
        <f t="shared" ref="H86:I86" si="173">LEN(D86)-LEN(B86)+1</f>
        <v>2</v>
      </c>
      <c r="I86" s="43">
        <f t="shared" si="173"/>
        <v>3</v>
      </c>
      <c r="J86" s="27">
        <v>1.0</v>
      </c>
      <c r="K86" s="27">
        <v>2.0</v>
      </c>
      <c r="L86" s="5" t="str">
        <f t="shared" ref="L86:M86" si="174">IFS(J86="-", "-", J86=H86, "Final", J86=1, "Initial", J86&gt;1, "Medial")</f>
        <v>Initial</v>
      </c>
      <c r="M86" s="44" t="str">
        <f t="shared" si="174"/>
        <v>Medial</v>
      </c>
      <c r="N86" s="5" t="str">
        <f t="shared" si="5"/>
        <v>-</v>
      </c>
      <c r="O86" s="5" t="str">
        <f t="shared" si="6"/>
        <v>mɐ</v>
      </c>
      <c r="P86" s="5" t="str">
        <f t="shared" si="7"/>
        <v>ʃ</v>
      </c>
      <c r="Q86" s="5" t="str">
        <f t="shared" si="8"/>
        <v>mɐ</v>
      </c>
      <c r="R86" s="26"/>
      <c r="S86" s="26" t="s">
        <v>302</v>
      </c>
      <c r="T86" s="26" t="s">
        <v>303</v>
      </c>
      <c r="U86" s="26" t="s">
        <v>22</v>
      </c>
      <c r="V86" s="28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</row>
    <row r="87">
      <c r="A87" s="26" t="s">
        <v>14</v>
      </c>
      <c r="B87" s="26" t="s">
        <v>297</v>
      </c>
      <c r="C87" s="26" t="s">
        <v>298</v>
      </c>
      <c r="D87" s="26" t="s">
        <v>299</v>
      </c>
      <c r="E87" s="26" t="s">
        <v>300</v>
      </c>
      <c r="F87" s="26" t="s">
        <v>158</v>
      </c>
      <c r="G87" s="26" t="s">
        <v>158</v>
      </c>
      <c r="H87" s="43">
        <f t="shared" ref="H87:I87" si="175">LEN(D87)-LEN(B87)+1</f>
        <v>2</v>
      </c>
      <c r="I87" s="43">
        <f t="shared" si="175"/>
        <v>3</v>
      </c>
      <c r="J87" s="27">
        <v>2.0</v>
      </c>
      <c r="K87" s="27">
        <v>3.0</v>
      </c>
      <c r="L87" s="5" t="str">
        <f t="shared" ref="L87:M87" si="176">IFS(J87="-", "-", J87=H87, "Final", J87=1, "Initial", J87&gt;1, "Medial")</f>
        <v>Final</v>
      </c>
      <c r="M87" s="44" t="str">
        <f t="shared" si="176"/>
        <v>Final</v>
      </c>
      <c r="N87" s="5" t="str">
        <f t="shared" si="5"/>
        <v>ˈka</v>
      </c>
      <c r="O87" s="5">
        <f t="shared" si="6"/>
        <v>2</v>
      </c>
      <c r="P87" s="5" t="str">
        <f t="shared" si="7"/>
        <v>ˈkɐ</v>
      </c>
      <c r="Q87" s="5">
        <f t="shared" si="8"/>
        <v>3</v>
      </c>
      <c r="R87" s="26"/>
      <c r="S87" s="26" t="s">
        <v>302</v>
      </c>
      <c r="T87" s="26" t="s">
        <v>303</v>
      </c>
      <c r="U87" s="26" t="s">
        <v>22</v>
      </c>
      <c r="V87" s="28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</row>
    <row r="88">
      <c r="A88" s="3" t="s">
        <v>14</v>
      </c>
      <c r="B88" s="3" t="s">
        <v>304</v>
      </c>
      <c r="C88" s="3" t="s">
        <v>305</v>
      </c>
      <c r="D88" s="3" t="s">
        <v>306</v>
      </c>
      <c r="E88" s="3" t="s">
        <v>307</v>
      </c>
      <c r="F88" s="3" t="s">
        <v>308</v>
      </c>
      <c r="G88" s="3" t="s">
        <v>309</v>
      </c>
      <c r="H88" s="43">
        <f t="shared" ref="H88:I88" si="177">LEN(D88)-LEN(B88)+1</f>
        <v>2</v>
      </c>
      <c r="I88" s="43">
        <f t="shared" si="177"/>
        <v>2</v>
      </c>
      <c r="J88" s="4">
        <v>1.0</v>
      </c>
      <c r="K88" s="4">
        <v>1.0</v>
      </c>
      <c r="L88" s="5" t="str">
        <f t="shared" ref="L88:M88" si="178">IFS(J88="-", "-", J88=H88, "Final", J88=1, "Initial", J88&gt;1, "Medial")</f>
        <v>Initial</v>
      </c>
      <c r="M88" s="44" t="str">
        <f t="shared" si="178"/>
        <v>Initial</v>
      </c>
      <c r="N88" s="5" t="str">
        <f t="shared" si="5"/>
        <v>0</v>
      </c>
      <c r="O88" s="5" t="str">
        <f t="shared" si="6"/>
        <v>ni</v>
      </c>
      <c r="P88" s="5" t="str">
        <f t="shared" si="7"/>
        <v>0</v>
      </c>
      <c r="Q88" s="5" t="str">
        <f t="shared" si="8"/>
        <v>nu</v>
      </c>
      <c r="R88" s="3"/>
      <c r="S88" s="3" t="s">
        <v>310</v>
      </c>
      <c r="T88" s="3" t="s">
        <v>311</v>
      </c>
      <c r="U88" s="3" t="s">
        <v>22</v>
      </c>
      <c r="V88" s="5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>
      <c r="A89" s="3" t="s">
        <v>14</v>
      </c>
      <c r="B89" s="3" t="s">
        <v>304</v>
      </c>
      <c r="C89" s="3" t="s">
        <v>305</v>
      </c>
      <c r="D89" s="3" t="s">
        <v>306</v>
      </c>
      <c r="E89" s="3" t="s">
        <v>307</v>
      </c>
      <c r="F89" s="3" t="s">
        <v>133</v>
      </c>
      <c r="G89" s="3" t="s">
        <v>312</v>
      </c>
      <c r="H89" s="43">
        <f t="shared" ref="H89:I89" si="179">LEN(D89)-LEN(B89)+1</f>
        <v>2</v>
      </c>
      <c r="I89" s="43">
        <f t="shared" si="179"/>
        <v>2</v>
      </c>
      <c r="J89" s="4">
        <v>2.0</v>
      </c>
      <c r="K89" s="4">
        <v>2.0</v>
      </c>
      <c r="L89" s="5" t="str">
        <f t="shared" ref="L89:M89" si="180">IFS(J89="-", "-", J89=H89, "Final", J89=1, "Initial", J89&gt;1, "Medial")</f>
        <v>Final</v>
      </c>
      <c r="M89" s="44" t="str">
        <f t="shared" si="180"/>
        <v>Final</v>
      </c>
      <c r="N89" s="5" t="str">
        <f t="shared" si="5"/>
        <v>ˈkõ</v>
      </c>
      <c r="O89" s="5">
        <f t="shared" si="6"/>
        <v>2</v>
      </c>
      <c r="P89" s="5" t="str">
        <f t="shared" si="7"/>
        <v>ˈkoɾ</v>
      </c>
      <c r="Q89" s="5">
        <f t="shared" si="8"/>
        <v>2</v>
      </c>
      <c r="R89" s="5"/>
      <c r="S89" s="3" t="s">
        <v>310</v>
      </c>
      <c r="T89" s="3" t="s">
        <v>311</v>
      </c>
      <c r="U89" s="3" t="s">
        <v>22</v>
      </c>
      <c r="V89" s="5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>
      <c r="A90" s="3" t="s">
        <v>14</v>
      </c>
      <c r="B90" s="3" t="s">
        <v>313</v>
      </c>
      <c r="C90" s="3" t="s">
        <v>314</v>
      </c>
      <c r="D90" s="3" t="s">
        <v>315</v>
      </c>
      <c r="E90" s="3" t="s">
        <v>316</v>
      </c>
      <c r="F90" s="3" t="s">
        <v>317</v>
      </c>
      <c r="G90" s="3" t="s">
        <v>317</v>
      </c>
      <c r="H90" s="43">
        <f t="shared" ref="H90:I90" si="181">LEN(D90)-LEN(B90)+1</f>
        <v>2</v>
      </c>
      <c r="I90" s="43">
        <f t="shared" si="181"/>
        <v>2</v>
      </c>
      <c r="J90" s="4">
        <v>1.0</v>
      </c>
      <c r="K90" s="4">
        <v>1.0</v>
      </c>
      <c r="L90" s="5" t="str">
        <f t="shared" ref="L90:M90" si="182">IFS(J90="-", "-", J90=H90, "Final", J90=1, "Initial", J90&gt;1, "Medial")</f>
        <v>Initial</v>
      </c>
      <c r="M90" s="44" t="str">
        <f t="shared" si="182"/>
        <v>Initial</v>
      </c>
      <c r="N90" s="5" t="str">
        <f t="shared" si="5"/>
        <v>0</v>
      </c>
      <c r="O90" s="5" t="str">
        <f t="shared" si="6"/>
        <v>nɐ</v>
      </c>
      <c r="P90" s="5" t="str">
        <f t="shared" si="7"/>
        <v>0</v>
      </c>
      <c r="Q90" s="5" t="str">
        <f t="shared" si="8"/>
        <v>lu</v>
      </c>
      <c r="R90" s="5"/>
      <c r="S90" s="3" t="s">
        <v>318</v>
      </c>
      <c r="T90" s="3" t="s">
        <v>319</v>
      </c>
      <c r="U90" s="3" t="s">
        <v>22</v>
      </c>
      <c r="V90" s="5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>
      <c r="A91" s="3" t="s">
        <v>14</v>
      </c>
      <c r="B91" s="3" t="s">
        <v>313</v>
      </c>
      <c r="C91" s="3" t="s">
        <v>314</v>
      </c>
      <c r="D91" s="3" t="s">
        <v>315</v>
      </c>
      <c r="E91" s="3" t="s">
        <v>316</v>
      </c>
      <c r="F91" s="3" t="s">
        <v>65</v>
      </c>
      <c r="G91" s="3" t="s">
        <v>245</v>
      </c>
      <c r="H91" s="43">
        <f t="shared" ref="H91:I91" si="183">LEN(D91)-LEN(B91)+1</f>
        <v>2</v>
      </c>
      <c r="I91" s="43">
        <f t="shared" si="183"/>
        <v>2</v>
      </c>
      <c r="J91" s="4">
        <v>2.0</v>
      </c>
      <c r="K91" s="4">
        <v>2.0</v>
      </c>
      <c r="L91" s="5" t="str">
        <f t="shared" ref="L91:M91" si="184">IFS(J91="-", "-", J91=H91, "Final", J91=1, "Initial", J91&gt;1, "Medial")</f>
        <v>Final</v>
      </c>
      <c r="M91" s="44" t="str">
        <f t="shared" si="184"/>
        <v>Final</v>
      </c>
      <c r="N91" s="5" t="str">
        <f t="shared" si="5"/>
        <v>ˈpe</v>
      </c>
      <c r="O91" s="5">
        <f t="shared" si="6"/>
        <v>2</v>
      </c>
      <c r="P91" s="5" t="str">
        <f t="shared" si="7"/>
        <v>ˈpe</v>
      </c>
      <c r="Q91" s="5">
        <f t="shared" si="8"/>
        <v>2</v>
      </c>
      <c r="R91" s="5"/>
      <c r="S91" s="3" t="s">
        <v>318</v>
      </c>
      <c r="T91" s="3" t="s">
        <v>319</v>
      </c>
      <c r="U91" s="3" t="s">
        <v>22</v>
      </c>
      <c r="V91" s="5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>
      <c r="A92" s="3" t="s">
        <v>14</v>
      </c>
      <c r="B92" s="3" t="s">
        <v>320</v>
      </c>
      <c r="C92" s="3" t="s">
        <v>321</v>
      </c>
      <c r="D92" s="3" t="s">
        <v>322</v>
      </c>
      <c r="E92" s="3" t="s">
        <v>323</v>
      </c>
      <c r="F92" s="3" t="s">
        <v>128</v>
      </c>
      <c r="G92" s="3" t="s">
        <v>36</v>
      </c>
      <c r="H92" s="43">
        <f t="shared" ref="H92:I92" si="185">LEN(D92)-LEN(B92)+1</f>
        <v>3</v>
      </c>
      <c r="I92" s="43">
        <f t="shared" si="185"/>
        <v>2</v>
      </c>
      <c r="J92" s="4">
        <v>1.0</v>
      </c>
      <c r="K92" s="4" t="s">
        <v>36</v>
      </c>
      <c r="L92" s="5" t="str">
        <f t="shared" ref="L92:M92" si="186">IFS(J92="-", "-", J92=H92, "Final", J92=1, "Initial", J92&gt;1, "Medial")</f>
        <v>Initial</v>
      </c>
      <c r="M92" s="44" t="str">
        <f t="shared" si="186"/>
        <v>-</v>
      </c>
      <c r="N92" s="5" t="str">
        <f t="shared" si="5"/>
        <v>0</v>
      </c>
      <c r="O92" s="5" t="str">
        <f t="shared" si="6"/>
        <v>ˈra</v>
      </c>
      <c r="P92" s="5" t="str">
        <f t="shared" si="7"/>
        <v>0</v>
      </c>
      <c r="Q92" s="5" t="str">
        <f t="shared" si="8"/>
        <v>ˈʀa</v>
      </c>
      <c r="R92" s="5"/>
      <c r="S92" s="3" t="s">
        <v>324</v>
      </c>
      <c r="T92" s="3" t="s">
        <v>325</v>
      </c>
      <c r="U92" s="3" t="s">
        <v>22</v>
      </c>
      <c r="V92" s="5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>
      <c r="A93" s="3" t="s">
        <v>14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326</v>
      </c>
      <c r="G93" s="3" t="s">
        <v>327</v>
      </c>
      <c r="H93" s="43">
        <f t="shared" ref="H93:I93" si="187">LEN(D93)-LEN(B93)+1</f>
        <v>3</v>
      </c>
      <c r="I93" s="43">
        <f t="shared" si="187"/>
        <v>2</v>
      </c>
      <c r="J93" s="4">
        <v>2.0</v>
      </c>
      <c r="K93" s="4">
        <v>1.0</v>
      </c>
      <c r="L93" s="5" t="str">
        <f t="shared" ref="L93:M93" si="188">IFS(J93="-", "-", J93=H93, "Final", J93=1, "Initial", J93&gt;1, "Medial")</f>
        <v>Medial</v>
      </c>
      <c r="M93" s="44" t="str">
        <f t="shared" si="188"/>
        <v>Initial</v>
      </c>
      <c r="N93" s="5" t="str">
        <f t="shared" si="5"/>
        <v>u</v>
      </c>
      <c r="O93" s="5" t="str">
        <f t="shared" si="6"/>
        <v>bu</v>
      </c>
      <c r="P93" s="5" t="str">
        <f t="shared" si="7"/>
        <v>-</v>
      </c>
      <c r="Q93" s="5" t="str">
        <f t="shared" si="8"/>
        <v>bu</v>
      </c>
      <c r="R93" s="3"/>
      <c r="S93" s="3" t="s">
        <v>324</v>
      </c>
      <c r="T93" s="3" t="s">
        <v>325</v>
      </c>
      <c r="U93" s="3" t="s">
        <v>22</v>
      </c>
      <c r="V93" s="5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>
      <c r="A94" s="3" t="s">
        <v>14</v>
      </c>
      <c r="B94" s="3" t="s">
        <v>320</v>
      </c>
      <c r="C94" s="3" t="s">
        <v>321</v>
      </c>
      <c r="D94" s="3" t="s">
        <v>322</v>
      </c>
      <c r="E94" s="3" t="s">
        <v>323</v>
      </c>
      <c r="F94" s="3" t="s">
        <v>143</v>
      </c>
      <c r="G94" s="3" t="s">
        <v>143</v>
      </c>
      <c r="H94" s="43">
        <f t="shared" ref="H94:I94" si="189">LEN(D94)-LEN(B94)+1</f>
        <v>3</v>
      </c>
      <c r="I94" s="43">
        <f t="shared" si="189"/>
        <v>2</v>
      </c>
      <c r="J94" s="4">
        <v>3.0</v>
      </c>
      <c r="K94" s="4">
        <v>2.0</v>
      </c>
      <c r="L94" s="5" t="str">
        <f t="shared" ref="L94:M94" si="190">IFS(J94="-", "-", J94=H94, "Final", J94=1, "Initial", J94&gt;1, "Medial")</f>
        <v>Final</v>
      </c>
      <c r="M94" s="44" t="str">
        <f t="shared" si="190"/>
        <v>Final</v>
      </c>
      <c r="N94" s="5" t="str">
        <f t="shared" si="5"/>
        <v>ˈra</v>
      </c>
      <c r="O94" s="5">
        <f t="shared" si="6"/>
        <v>3</v>
      </c>
      <c r="P94" s="5" t="str">
        <f t="shared" si="7"/>
        <v>ˈʀa</v>
      </c>
      <c r="Q94" s="5">
        <f t="shared" si="8"/>
        <v>2</v>
      </c>
      <c r="R94" s="5"/>
      <c r="S94" s="3" t="s">
        <v>324</v>
      </c>
      <c r="T94" s="3" t="s">
        <v>325</v>
      </c>
      <c r="U94" s="3" t="s">
        <v>22</v>
      </c>
      <c r="V94" s="5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>
      <c r="A95" s="3" t="s">
        <v>14</v>
      </c>
      <c r="B95" s="3" t="s">
        <v>328</v>
      </c>
      <c r="C95" s="3" t="s">
        <v>329</v>
      </c>
      <c r="D95" s="6" t="s">
        <v>330</v>
      </c>
      <c r="E95" s="3" t="s">
        <v>331</v>
      </c>
      <c r="F95" s="6" t="s">
        <v>19</v>
      </c>
      <c r="G95" s="3" t="s">
        <v>19</v>
      </c>
      <c r="H95" s="43">
        <f t="shared" ref="H95:I95" si="191">LEN(D95)-LEN(B95)+1</f>
        <v>4</v>
      </c>
      <c r="I95" s="43">
        <f t="shared" si="191"/>
        <v>3</v>
      </c>
      <c r="J95" s="4">
        <v>1.0</v>
      </c>
      <c r="K95" s="4">
        <v>1.0</v>
      </c>
      <c r="L95" s="5" t="str">
        <f t="shared" ref="L95:M95" si="192">IFS(J95="-", "-", J95=H95, "Final", J95=1, "Initial", J95&gt;1, "Medial")</f>
        <v>Initial</v>
      </c>
      <c r="M95" s="44" t="str">
        <f t="shared" si="192"/>
        <v>Initial</v>
      </c>
      <c r="N95" s="5" t="str">
        <f t="shared" si="5"/>
        <v>0</v>
      </c>
      <c r="O95" s="5" t="str">
        <f t="shared" si="6"/>
        <v>wɐ</v>
      </c>
      <c r="P95" s="5" t="str">
        <f t="shared" si="7"/>
        <v>0</v>
      </c>
      <c r="Q95" s="5" t="str">
        <f t="shared" si="8"/>
        <v>guɐ</v>
      </c>
      <c r="R95" s="3" t="s">
        <v>80</v>
      </c>
      <c r="S95" s="3" t="s">
        <v>332</v>
      </c>
      <c r="T95" s="3" t="s">
        <v>333</v>
      </c>
      <c r="U95" s="3" t="s">
        <v>22</v>
      </c>
      <c r="V95" s="5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>
      <c r="A96" s="3" t="s">
        <v>14</v>
      </c>
      <c r="B96" s="3" t="s">
        <v>328</v>
      </c>
      <c r="C96" s="3" t="s">
        <v>329</v>
      </c>
      <c r="D96" s="6" t="s">
        <v>330</v>
      </c>
      <c r="E96" s="3" t="s">
        <v>331</v>
      </c>
      <c r="F96" s="6" t="s">
        <v>43</v>
      </c>
      <c r="G96" s="3" t="s">
        <v>44</v>
      </c>
      <c r="H96" s="43">
        <f t="shared" ref="H96:I96" si="193">LEN(D96)-LEN(B96)+1</f>
        <v>4</v>
      </c>
      <c r="I96" s="43">
        <f t="shared" si="193"/>
        <v>3</v>
      </c>
      <c r="J96" s="4">
        <v>2.0</v>
      </c>
      <c r="K96" s="4">
        <v>2.0</v>
      </c>
      <c r="L96" s="5" t="str">
        <f t="shared" ref="L96:M96" si="194">IFS(J96="-", "-", J96=H96, "Final", J96=1, "Initial", J96&gt;1, "Medial")</f>
        <v>Medial</v>
      </c>
      <c r="M96" s="44" t="str">
        <f t="shared" si="194"/>
        <v>Medial</v>
      </c>
      <c r="N96" s="5" t="str">
        <f t="shared" si="5"/>
        <v>ˈa</v>
      </c>
      <c r="O96" s="5" t="str">
        <f t="shared" si="6"/>
        <v>u</v>
      </c>
      <c r="P96" s="5" t="str">
        <f t="shared" si="7"/>
        <v>ˈa</v>
      </c>
      <c r="Q96" s="5" t="str">
        <f t="shared" si="8"/>
        <v>dɨ</v>
      </c>
      <c r="R96" s="5"/>
      <c r="S96" s="3" t="s">
        <v>332</v>
      </c>
      <c r="T96" s="3" t="s">
        <v>333</v>
      </c>
      <c r="U96" s="3" t="s">
        <v>22</v>
      </c>
      <c r="V96" s="5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>
      <c r="A97" s="3" t="s">
        <v>14</v>
      </c>
      <c r="B97" s="3" t="s">
        <v>328</v>
      </c>
      <c r="C97" s="3" t="s">
        <v>329</v>
      </c>
      <c r="D97" s="6" t="s">
        <v>330</v>
      </c>
      <c r="E97" s="3" t="s">
        <v>331</v>
      </c>
      <c r="F97" s="6" t="s">
        <v>128</v>
      </c>
      <c r="G97" s="3" t="s">
        <v>334</v>
      </c>
      <c r="H97" s="43">
        <f t="shared" ref="H97:I97" si="195">LEN(D97)-LEN(B97)+1</f>
        <v>4</v>
      </c>
      <c r="I97" s="43">
        <f t="shared" si="195"/>
        <v>3</v>
      </c>
      <c r="J97" s="4">
        <v>3.0</v>
      </c>
      <c r="K97" s="4">
        <v>3.0</v>
      </c>
      <c r="L97" s="5" t="str">
        <f t="shared" ref="L97:M97" si="196">IFS(J97="-", "-", J97=H97, "Final", J97=1, "Initial", J97&gt;1, "Medial")</f>
        <v>Medial</v>
      </c>
      <c r="M97" s="44" t="str">
        <f t="shared" si="196"/>
        <v>Final</v>
      </c>
      <c r="N97" s="5" t="str">
        <f t="shared" si="5"/>
        <v>wɐ</v>
      </c>
      <c r="O97" s="5" t="str">
        <f t="shared" si="6"/>
        <v>-</v>
      </c>
      <c r="P97" s="5" t="str">
        <f t="shared" si="7"/>
        <v>guɐ</v>
      </c>
      <c r="Q97" s="5" t="str">
        <f t="shared" si="8"/>
        <v>ˈo</v>
      </c>
      <c r="R97" s="5"/>
      <c r="S97" s="3" t="s">
        <v>332</v>
      </c>
      <c r="T97" s="3" t="s">
        <v>333</v>
      </c>
      <c r="U97" s="3" t="s">
        <v>22</v>
      </c>
      <c r="V97" s="5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>
      <c r="A98" s="3" t="s">
        <v>14</v>
      </c>
      <c r="B98" s="3" t="s">
        <v>328</v>
      </c>
      <c r="C98" s="3" t="s">
        <v>329</v>
      </c>
      <c r="D98" s="6" t="s">
        <v>330</v>
      </c>
      <c r="E98" s="3" t="s">
        <v>331</v>
      </c>
      <c r="F98" s="6" t="s">
        <v>36</v>
      </c>
      <c r="G98" s="3" t="s">
        <v>219</v>
      </c>
      <c r="H98" s="43">
        <f t="shared" ref="H98:I98" si="197">LEN(D98)-LEN(B98)+1</f>
        <v>4</v>
      </c>
      <c r="I98" s="43">
        <f t="shared" si="197"/>
        <v>3</v>
      </c>
      <c r="J98" s="4" t="s">
        <v>36</v>
      </c>
      <c r="K98" s="4">
        <v>4.0</v>
      </c>
      <c r="L98" s="5" t="str">
        <f t="shared" ref="L98:M98" si="198">IFS(J98="-", "-", J98=H98, "Final", J98=1, "Initial", J98&gt;1, "Medial")</f>
        <v>-</v>
      </c>
      <c r="M98" s="44" t="str">
        <f t="shared" si="198"/>
        <v>Medial</v>
      </c>
      <c r="N98" s="5" t="str">
        <f t="shared" si="5"/>
        <v>u</v>
      </c>
      <c r="O98" s="5" t="str">
        <f t="shared" si="6"/>
        <v>ˈwe</v>
      </c>
      <c r="P98" s="5" t="str">
        <f t="shared" si="7"/>
        <v>dɨ</v>
      </c>
      <c r="Q98" s="5" t="str">
        <f t="shared" si="8"/>
        <v>ʎu</v>
      </c>
      <c r="R98" s="3"/>
      <c r="S98" s="3" t="s">
        <v>332</v>
      </c>
      <c r="T98" s="3" t="s">
        <v>333</v>
      </c>
      <c r="U98" s="3" t="s">
        <v>22</v>
      </c>
      <c r="V98" s="5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>
      <c r="A99" s="3" t="s">
        <v>14</v>
      </c>
      <c r="B99" s="3" t="s">
        <v>328</v>
      </c>
      <c r="C99" s="3" t="s">
        <v>329</v>
      </c>
      <c r="D99" s="6" t="s">
        <v>330</v>
      </c>
      <c r="E99" s="3" t="s">
        <v>331</v>
      </c>
      <c r="F99" s="6" t="s">
        <v>335</v>
      </c>
      <c r="G99" s="3" t="s">
        <v>24</v>
      </c>
      <c r="H99" s="43">
        <f t="shared" ref="H99:I99" si="199">LEN(D99)-LEN(B99)+1</f>
        <v>4</v>
      </c>
      <c r="I99" s="43">
        <f t="shared" si="199"/>
        <v>3</v>
      </c>
      <c r="J99" s="4">
        <v>4.0</v>
      </c>
      <c r="K99" s="4">
        <v>5.0</v>
      </c>
      <c r="L99" s="5" t="str">
        <f t="shared" ref="L99:M99" si="200">IFS(J99="-", "-", J99=H99, "Final", J99=1, "Initial", J99&gt;1, "Medial")</f>
        <v>Final</v>
      </c>
      <c r="M99" s="44" t="str">
        <f t="shared" si="200"/>
        <v>Medial</v>
      </c>
      <c r="N99" s="5" t="str">
        <f t="shared" si="5"/>
        <v>-</v>
      </c>
      <c r="O99" s="5">
        <f t="shared" si="6"/>
        <v>4</v>
      </c>
      <c r="P99" s="5" t="str">
        <f t="shared" si="7"/>
        <v>ˈo</v>
      </c>
      <c r="Q99" s="5">
        <f t="shared" si="8"/>
        <v>5</v>
      </c>
      <c r="R99" s="5"/>
      <c r="S99" s="3" t="s">
        <v>332</v>
      </c>
      <c r="T99" s="3" t="s">
        <v>333</v>
      </c>
      <c r="U99" s="3" t="s">
        <v>22</v>
      </c>
      <c r="V99" s="5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>
      <c r="A100" s="3" t="s">
        <v>14</v>
      </c>
      <c r="B100" s="3" t="s">
        <v>336</v>
      </c>
      <c r="C100" s="3" t="s">
        <v>337</v>
      </c>
      <c r="D100" s="15" t="s">
        <v>338</v>
      </c>
      <c r="E100" s="3" t="s">
        <v>339</v>
      </c>
      <c r="F100" s="16" t="s">
        <v>340</v>
      </c>
      <c r="G100" s="3" t="s">
        <v>62</v>
      </c>
      <c r="H100" s="43">
        <f t="shared" ref="H100:I100" si="201">LEN(D100)-LEN(B100)+1</f>
        <v>2</v>
      </c>
      <c r="I100" s="43">
        <f t="shared" si="201"/>
        <v>3</v>
      </c>
      <c r="J100" s="4">
        <v>1.0</v>
      </c>
      <c r="K100" s="4">
        <v>1.0</v>
      </c>
      <c r="L100" s="5" t="str">
        <f t="shared" ref="L100:M100" si="202">IFS(J100="-", "-", J100=H100, "Final", J100=1, "Initial", J100&gt;1, "Medial")</f>
        <v>Initial</v>
      </c>
      <c r="M100" s="44" t="str">
        <f t="shared" si="202"/>
        <v>Initial</v>
      </c>
      <c r="N100" s="5" t="str">
        <f t="shared" si="5"/>
        <v>0</v>
      </c>
      <c r="O100" s="5" t="str">
        <f t="shared" si="6"/>
        <v>-</v>
      </c>
      <c r="P100" s="5" t="str">
        <f t="shared" si="7"/>
        <v>0</v>
      </c>
      <c r="Q100" s="5" t="str">
        <f t="shared" si="8"/>
        <v>ˈʀi</v>
      </c>
      <c r="R100" s="5"/>
      <c r="S100" s="3" t="s">
        <v>341</v>
      </c>
      <c r="T100" s="3" t="s">
        <v>342</v>
      </c>
      <c r="U100" s="3" t="s">
        <v>22</v>
      </c>
      <c r="V100" s="5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>
      <c r="A101" s="3" t="s">
        <v>14</v>
      </c>
      <c r="B101" s="3" t="s">
        <v>336</v>
      </c>
      <c r="C101" s="3" t="s">
        <v>337</v>
      </c>
      <c r="D101" s="3" t="s">
        <v>343</v>
      </c>
      <c r="E101" s="3" t="s">
        <v>339</v>
      </c>
      <c r="F101" s="15" t="s">
        <v>36</v>
      </c>
      <c r="G101" s="3" t="s">
        <v>344</v>
      </c>
      <c r="H101" s="43">
        <f t="shared" ref="H101:I101" si="203">LEN(D101)-LEN(B101)+1</f>
        <v>3</v>
      </c>
      <c r="I101" s="43">
        <f t="shared" si="203"/>
        <v>3</v>
      </c>
      <c r="J101" s="4" t="s">
        <v>36</v>
      </c>
      <c r="K101" s="4">
        <v>2.0</v>
      </c>
      <c r="L101" s="5" t="str">
        <f t="shared" ref="L101:M101" si="204">IFS(J101="-", "-", J101=H101, "Final", J101=1, "Initial", J101&gt;1, "Medial")</f>
        <v>-</v>
      </c>
      <c r="M101" s="44" t="str">
        <f t="shared" si="204"/>
        <v>Medial</v>
      </c>
      <c r="N101" s="5" t="str">
        <f t="shared" si="5"/>
        <v>bwɛ</v>
      </c>
      <c r="O101" s="5" t="str">
        <f t="shared" si="6"/>
        <v>gɐ</v>
      </c>
      <c r="P101" s="5" t="str">
        <f t="shared" si="7"/>
        <v>bɐ</v>
      </c>
      <c r="Q101" s="5" t="str">
        <f t="shared" si="8"/>
        <v>gɐ</v>
      </c>
      <c r="R101" s="5"/>
      <c r="S101" s="3" t="s">
        <v>341</v>
      </c>
      <c r="T101" s="3" t="s">
        <v>342</v>
      </c>
      <c r="U101" s="3" t="s">
        <v>22</v>
      </c>
      <c r="V101" s="5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>
      <c r="A102" s="3" t="s">
        <v>14</v>
      </c>
      <c r="B102" s="3" t="s">
        <v>336</v>
      </c>
      <c r="C102" s="3" t="s">
        <v>337</v>
      </c>
      <c r="D102" s="3" t="s">
        <v>343</v>
      </c>
      <c r="E102" s="3" t="s">
        <v>339</v>
      </c>
      <c r="F102" s="3" t="s">
        <v>190</v>
      </c>
      <c r="G102" s="3" t="s">
        <v>190</v>
      </c>
      <c r="H102" s="43">
        <f t="shared" ref="H102:I102" si="205">LEN(D102)-LEN(B102)+1</f>
        <v>3</v>
      </c>
      <c r="I102" s="43">
        <f t="shared" si="205"/>
        <v>3</v>
      </c>
      <c r="J102" s="4">
        <v>3.0</v>
      </c>
      <c r="K102" s="4">
        <v>3.0</v>
      </c>
      <c r="L102" s="5" t="str">
        <f t="shared" ref="L102:M102" si="206">IFS(J102="-", "-", J102=H102, "Final", J102=1, "Initial", J102&gt;1, "Medial")</f>
        <v>Final</v>
      </c>
      <c r="M102" s="44" t="str">
        <f t="shared" si="206"/>
        <v>Final</v>
      </c>
      <c r="N102" s="5" t="str">
        <f t="shared" si="5"/>
        <v>-</v>
      </c>
      <c r="O102" s="5">
        <f t="shared" si="6"/>
        <v>3</v>
      </c>
      <c r="P102" s="5" t="str">
        <f t="shared" si="7"/>
        <v>ˈʀi</v>
      </c>
      <c r="Q102" s="5">
        <f t="shared" si="8"/>
        <v>3</v>
      </c>
      <c r="R102" s="5"/>
      <c r="S102" s="3" t="s">
        <v>341</v>
      </c>
      <c r="T102" s="3" t="s">
        <v>342</v>
      </c>
      <c r="U102" s="3" t="s">
        <v>22</v>
      </c>
      <c r="V102" s="5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>
      <c r="A103" s="3" t="s">
        <v>14</v>
      </c>
      <c r="B103" s="3" t="s">
        <v>345</v>
      </c>
      <c r="C103" s="3" t="s">
        <v>346</v>
      </c>
      <c r="D103" s="3" t="s">
        <v>347</v>
      </c>
      <c r="E103" s="3" t="s">
        <v>348</v>
      </c>
      <c r="F103" s="3" t="s">
        <v>349</v>
      </c>
      <c r="G103" s="3" t="s">
        <v>349</v>
      </c>
      <c r="H103" s="43">
        <f t="shared" ref="H103:I103" si="207">LEN(D103)-LEN(B103)+1</f>
        <v>2</v>
      </c>
      <c r="I103" s="43">
        <f t="shared" si="207"/>
        <v>3</v>
      </c>
      <c r="J103" s="4">
        <v>1.0</v>
      </c>
      <c r="K103" s="4">
        <v>1.0</v>
      </c>
      <c r="L103" s="5" t="str">
        <f t="shared" ref="L103:M103" si="208">IFS(J103="-", "-", J103=H103, "Final", J103=1, "Initial", J103&gt;1, "Medial")</f>
        <v>Initial</v>
      </c>
      <c r="M103" s="44" t="str">
        <f t="shared" si="208"/>
        <v>Initial</v>
      </c>
      <c r="N103" s="5" t="str">
        <f t="shared" si="5"/>
        <v>0</v>
      </c>
      <c r="O103" s="5" t="str">
        <f t="shared" si="6"/>
        <v>gɔ</v>
      </c>
      <c r="P103" s="5" t="str">
        <f t="shared" si="7"/>
        <v>0</v>
      </c>
      <c r="Q103" s="5" t="str">
        <f t="shared" si="8"/>
        <v>ˈgo</v>
      </c>
      <c r="R103" s="5"/>
      <c r="S103" s="3" t="s">
        <v>350</v>
      </c>
      <c r="T103" s="3" t="s">
        <v>351</v>
      </c>
      <c r="U103" s="3" t="s">
        <v>22</v>
      </c>
      <c r="V103" s="5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>
      <c r="A104" s="3" t="s">
        <v>14</v>
      </c>
      <c r="B104" s="3" t="s">
        <v>345</v>
      </c>
      <c r="C104" s="3" t="s">
        <v>346</v>
      </c>
      <c r="D104" s="3" t="s">
        <v>347</v>
      </c>
      <c r="E104" s="3" t="s">
        <v>348</v>
      </c>
      <c r="F104" s="3" t="s">
        <v>352</v>
      </c>
      <c r="G104" s="3" t="s">
        <v>353</v>
      </c>
      <c r="H104" s="43">
        <f t="shared" ref="H104:I104" si="209">LEN(D104)-LEN(B104)+1</f>
        <v>2</v>
      </c>
      <c r="I104" s="43">
        <f t="shared" si="209"/>
        <v>3</v>
      </c>
      <c r="J104" s="4">
        <v>2.0</v>
      </c>
      <c r="K104" s="4">
        <v>2.0</v>
      </c>
      <c r="L104" s="5" t="str">
        <f t="shared" ref="L104:M104" si="210">IFS(J104="-", "-", J104=H104, "Final", J104=1, "Initial", J104&gt;1, "Medial")</f>
        <v>Final</v>
      </c>
      <c r="M104" s="44" t="str">
        <f t="shared" si="210"/>
        <v>Medial</v>
      </c>
      <c r="N104" s="5" t="str">
        <f t="shared" si="5"/>
        <v>bi</v>
      </c>
      <c r="O104" s="5" t="str">
        <f t="shared" si="6"/>
        <v>di</v>
      </c>
      <c r="P104" s="5" t="str">
        <f t="shared" si="7"/>
        <v>bi</v>
      </c>
      <c r="Q104" s="5" t="str">
        <f t="shared" si="8"/>
        <v>dɨ</v>
      </c>
      <c r="R104" s="5"/>
      <c r="S104" s="3" t="s">
        <v>350</v>
      </c>
      <c r="T104" s="3" t="s">
        <v>351</v>
      </c>
      <c r="U104" s="3" t="s">
        <v>22</v>
      </c>
      <c r="V104" s="5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>
      <c r="A105" s="3" t="s">
        <v>14</v>
      </c>
      <c r="B105" s="3" t="s">
        <v>345</v>
      </c>
      <c r="C105" s="3" t="s">
        <v>346</v>
      </c>
      <c r="D105" s="3" t="s">
        <v>347</v>
      </c>
      <c r="E105" s="3" t="s">
        <v>348</v>
      </c>
      <c r="F105" s="3" t="s">
        <v>172</v>
      </c>
      <c r="G105" s="3" t="s">
        <v>334</v>
      </c>
      <c r="H105" s="43">
        <f t="shared" ref="H105:I105" si="211">LEN(D105)-LEN(B105)+1</f>
        <v>2</v>
      </c>
      <c r="I105" s="43">
        <f t="shared" si="211"/>
        <v>3</v>
      </c>
      <c r="J105" s="4">
        <v>3.0</v>
      </c>
      <c r="K105" s="4">
        <v>3.0</v>
      </c>
      <c r="L105" s="5" t="str">
        <f t="shared" ref="L105:M105" si="212">IFS(J105="-", "-", J105=H105, "Final", J105=1, "Initial", J105&gt;1, "Medial")</f>
        <v>Medial</v>
      </c>
      <c r="M105" s="44" t="str">
        <f t="shared" si="212"/>
        <v>Final</v>
      </c>
      <c r="N105" s="5" t="str">
        <f t="shared" si="5"/>
        <v>gɔ</v>
      </c>
      <c r="O105" s="5">
        <f t="shared" si="6"/>
        <v>3</v>
      </c>
      <c r="P105" s="5" t="str">
        <f t="shared" si="7"/>
        <v>ˈgo</v>
      </c>
      <c r="Q105" s="5">
        <f t="shared" si="8"/>
        <v>3</v>
      </c>
      <c r="R105" s="5"/>
      <c r="S105" s="3" t="s">
        <v>350</v>
      </c>
      <c r="T105" s="3" t="s">
        <v>351</v>
      </c>
      <c r="U105" s="3" t="s">
        <v>22</v>
      </c>
      <c r="V105" s="5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>
      <c r="A106" s="3" t="s">
        <v>14</v>
      </c>
      <c r="B106" s="3" t="s">
        <v>354</v>
      </c>
      <c r="C106" s="3" t="s">
        <v>355</v>
      </c>
      <c r="D106" s="6" t="s">
        <v>356</v>
      </c>
      <c r="E106" s="3" t="s">
        <v>357</v>
      </c>
      <c r="F106" s="6" t="s">
        <v>128</v>
      </c>
      <c r="G106" s="3" t="s">
        <v>358</v>
      </c>
      <c r="H106" s="43">
        <f t="shared" ref="H106:I106" si="213">LEN(D106)-LEN(B106)+1</f>
        <v>3</v>
      </c>
      <c r="I106" s="43">
        <f t="shared" si="213"/>
        <v>2</v>
      </c>
      <c r="J106" s="4">
        <v>1.0</v>
      </c>
      <c r="K106" s="4">
        <v>1.0</v>
      </c>
      <c r="L106" s="5" t="str">
        <f t="shared" ref="L106:M106" si="214">IFS(J106="-", "-", J106=H106, "Final", J106=1, "Initial", J106&gt;1, "Medial")</f>
        <v>Initial</v>
      </c>
      <c r="M106" s="44" t="str">
        <f t="shared" si="214"/>
        <v>Initial</v>
      </c>
      <c r="N106" s="5" t="str">
        <f t="shared" si="5"/>
        <v>0</v>
      </c>
      <c r="O106" s="5" t="str">
        <f t="shared" si="6"/>
        <v>ˈba:</v>
      </c>
      <c r="P106" s="5" t="str">
        <f t="shared" si="7"/>
        <v>0</v>
      </c>
      <c r="Q106" s="5" t="str">
        <f t="shared" si="8"/>
        <v>-</v>
      </c>
      <c r="R106" s="5"/>
      <c r="S106" s="3" t="s">
        <v>359</v>
      </c>
      <c r="T106" s="3" t="s">
        <v>360</v>
      </c>
      <c r="U106" s="3" t="s">
        <v>22</v>
      </c>
      <c r="V106" s="5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>
      <c r="A107" s="3" t="s">
        <v>14</v>
      </c>
      <c r="B107" s="3" t="s">
        <v>354</v>
      </c>
      <c r="C107" s="3" t="s">
        <v>355</v>
      </c>
      <c r="D107" s="6" t="s">
        <v>356</v>
      </c>
      <c r="E107" s="3" t="s">
        <v>357</v>
      </c>
      <c r="F107" s="6" t="s">
        <v>361</v>
      </c>
      <c r="G107" s="3" t="s">
        <v>36</v>
      </c>
      <c r="H107" s="43">
        <f t="shared" ref="H107:I107" si="215">LEN(D107)-LEN(B107)+1</f>
        <v>3</v>
      </c>
      <c r="I107" s="43">
        <f t="shared" si="215"/>
        <v>2</v>
      </c>
      <c r="J107" s="4">
        <v>2.0</v>
      </c>
      <c r="K107" s="4" t="s">
        <v>36</v>
      </c>
      <c r="L107" s="5" t="str">
        <f t="shared" ref="L107:M107" si="216">IFS(J107="-", "-", J107=H107, "Final", J107=1, "Initial", J107&gt;1, "Medial")</f>
        <v>Medial</v>
      </c>
      <c r="M107" s="44" t="str">
        <f t="shared" si="216"/>
        <v>-</v>
      </c>
      <c r="N107" s="5" t="str">
        <f t="shared" si="5"/>
        <v>u</v>
      </c>
      <c r="O107" s="5" t="str">
        <f t="shared" si="6"/>
        <v>su</v>
      </c>
      <c r="P107" s="5" t="str">
        <f t="shared" si="7"/>
        <v>ˈbɾa</v>
      </c>
      <c r="Q107" s="5" t="str">
        <f t="shared" si="8"/>
        <v>su</v>
      </c>
      <c r="R107" s="5"/>
      <c r="S107" s="3" t="s">
        <v>359</v>
      </c>
      <c r="T107" s="3" t="s">
        <v>360</v>
      </c>
      <c r="U107" s="3" t="s">
        <v>22</v>
      </c>
      <c r="V107" s="5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>
      <c r="A108" s="3" t="s">
        <v>14</v>
      </c>
      <c r="B108" s="3" t="s">
        <v>354</v>
      </c>
      <c r="C108" s="3" t="s">
        <v>355</v>
      </c>
      <c r="D108" s="6" t="s">
        <v>356</v>
      </c>
      <c r="E108" s="3" t="s">
        <v>357</v>
      </c>
      <c r="F108" s="6" t="s">
        <v>362</v>
      </c>
      <c r="G108" s="3" t="s">
        <v>362</v>
      </c>
      <c r="H108" s="43">
        <f t="shared" ref="H108:I108" si="217">LEN(D108)-LEN(B108)+1</f>
        <v>3</v>
      </c>
      <c r="I108" s="43">
        <f t="shared" si="217"/>
        <v>2</v>
      </c>
      <c r="J108" s="4">
        <v>3.0</v>
      </c>
      <c r="K108" s="4">
        <v>2.0</v>
      </c>
      <c r="L108" s="5" t="str">
        <f t="shared" ref="L108:M108" si="218">IFS(J108="-", "-", J108=H108, "Final", J108=1, "Initial", J108&gt;1, "Medial")</f>
        <v>Final</v>
      </c>
      <c r="M108" s="44" t="str">
        <f t="shared" si="218"/>
        <v>Final</v>
      </c>
      <c r="N108" s="5" t="str">
        <f t="shared" si="5"/>
        <v>ˈba:</v>
      </c>
      <c r="O108" s="5">
        <f t="shared" si="6"/>
        <v>3</v>
      </c>
      <c r="P108" s="5" t="str">
        <f t="shared" si="7"/>
        <v>-</v>
      </c>
      <c r="Q108" s="5">
        <f t="shared" si="8"/>
        <v>2</v>
      </c>
      <c r="R108" s="5"/>
      <c r="S108" s="3" t="s">
        <v>359</v>
      </c>
      <c r="T108" s="3" t="s">
        <v>360</v>
      </c>
      <c r="U108" s="3" t="s">
        <v>22</v>
      </c>
      <c r="V108" s="5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>
      <c r="A109" s="3" t="s">
        <v>14</v>
      </c>
      <c r="B109" s="3" t="s">
        <v>363</v>
      </c>
      <c r="C109" s="3" t="s">
        <v>364</v>
      </c>
      <c r="D109" s="3" t="s">
        <v>365</v>
      </c>
      <c r="E109" s="3" t="s">
        <v>366</v>
      </c>
      <c r="F109" s="3" t="s">
        <v>128</v>
      </c>
      <c r="G109" s="3" t="s">
        <v>36</v>
      </c>
      <c r="H109" s="43">
        <f t="shared" ref="H109:I109" si="219">LEN(D109)-LEN(B109)+1</f>
        <v>3</v>
      </c>
      <c r="I109" s="43">
        <f t="shared" si="219"/>
        <v>2</v>
      </c>
      <c r="J109" s="4">
        <v>1.0</v>
      </c>
      <c r="K109" s="4" t="s">
        <v>36</v>
      </c>
      <c r="L109" s="5" t="str">
        <f t="shared" ref="L109:M109" si="220">IFS(J109="-", "-", J109=H109, "Final", J109=1, "Initial", J109&gt;1, "Medial")</f>
        <v>Initial</v>
      </c>
      <c r="M109" s="44" t="str">
        <f t="shared" si="220"/>
        <v>-</v>
      </c>
      <c r="N109" s="5" t="str">
        <f t="shared" si="5"/>
        <v>0</v>
      </c>
      <c r="O109" s="5" t="str">
        <f t="shared" si="6"/>
        <v>ˈbu</v>
      </c>
      <c r="P109" s="5" t="str">
        <f t="shared" si="7"/>
        <v>0</v>
      </c>
      <c r="Q109" s="5" t="str">
        <f t="shared" si="8"/>
        <v>ˈbo</v>
      </c>
      <c r="R109" s="5"/>
      <c r="S109" s="3" t="s">
        <v>367</v>
      </c>
      <c r="T109" s="3" t="s">
        <v>368</v>
      </c>
      <c r="U109" s="3" t="s">
        <v>22</v>
      </c>
      <c r="V109" s="5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>
      <c r="A110" s="3" t="s">
        <v>14</v>
      </c>
      <c r="B110" s="3" t="s">
        <v>363</v>
      </c>
      <c r="C110" s="3" t="s">
        <v>364</v>
      </c>
      <c r="D110" s="3" t="s">
        <v>365</v>
      </c>
      <c r="E110" s="3" t="s">
        <v>366</v>
      </c>
      <c r="F110" s="3" t="s">
        <v>369</v>
      </c>
      <c r="G110" s="15" t="s">
        <v>370</v>
      </c>
      <c r="H110" s="43">
        <f t="shared" ref="H110:I110" si="221">LEN(D110)-LEN(B110)+1</f>
        <v>3</v>
      </c>
      <c r="I110" s="43">
        <f t="shared" si="221"/>
        <v>2</v>
      </c>
      <c r="J110" s="4">
        <v>2.0</v>
      </c>
      <c r="K110" s="4">
        <v>1.0</v>
      </c>
      <c r="L110" s="5" t="str">
        <f t="shared" ref="L110:M110" si="222">IFS(J110="-", "-", J110=H110, "Final", J110=1, "Initial", J110&gt;1, "Medial")</f>
        <v>Medial</v>
      </c>
      <c r="M110" s="44" t="str">
        <f t="shared" si="222"/>
        <v>Initial</v>
      </c>
      <c r="N110" s="5" t="str">
        <f t="shared" si="5"/>
        <v>u</v>
      </c>
      <c r="O110" s="5" t="str">
        <f t="shared" si="6"/>
        <v>kɐ</v>
      </c>
      <c r="P110" s="5" t="str">
        <f t="shared" si="7"/>
        <v>-</v>
      </c>
      <c r="Q110" s="5" t="str">
        <f t="shared" si="8"/>
        <v>kɐ</v>
      </c>
      <c r="R110" s="5"/>
      <c r="S110" s="3" t="s">
        <v>367</v>
      </c>
      <c r="T110" s="3" t="s">
        <v>368</v>
      </c>
      <c r="U110" s="3" t="s">
        <v>22</v>
      </c>
      <c r="V110" s="5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>
      <c r="A111" s="3" t="s">
        <v>14</v>
      </c>
      <c r="B111" s="3" t="s">
        <v>363</v>
      </c>
      <c r="C111" s="3" t="s">
        <v>364</v>
      </c>
      <c r="D111" s="3" t="s">
        <v>365</v>
      </c>
      <c r="E111" s="3" t="s">
        <v>366</v>
      </c>
      <c r="F111" s="3" t="s">
        <v>175</v>
      </c>
      <c r="G111" s="3" t="s">
        <v>175</v>
      </c>
      <c r="H111" s="43">
        <f t="shared" ref="H111:I111" si="223">LEN(D111)-LEN(B111)+1</f>
        <v>3</v>
      </c>
      <c r="I111" s="43">
        <f t="shared" si="223"/>
        <v>2</v>
      </c>
      <c r="J111" s="4">
        <v>3.0</v>
      </c>
      <c r="K111" s="4">
        <v>2.0</v>
      </c>
      <c r="L111" s="5" t="str">
        <f t="shared" ref="L111:M111" si="224">IFS(J111="-", "-", J111=H111, "Final", J111=1, "Initial", J111&gt;1, "Medial")</f>
        <v>Final</v>
      </c>
      <c r="M111" s="44" t="str">
        <f t="shared" si="224"/>
        <v>Final</v>
      </c>
      <c r="N111" s="5" t="str">
        <f t="shared" si="5"/>
        <v>ˈbu</v>
      </c>
      <c r="O111" s="5">
        <f t="shared" si="6"/>
        <v>3</v>
      </c>
      <c r="P111" s="5" t="str">
        <f t="shared" si="7"/>
        <v>ˈbo</v>
      </c>
      <c r="Q111" s="5">
        <f t="shared" si="8"/>
        <v>2</v>
      </c>
      <c r="R111" s="5"/>
      <c r="S111" s="3" t="s">
        <v>367</v>
      </c>
      <c r="T111" s="3" t="s">
        <v>368</v>
      </c>
      <c r="U111" s="3" t="s">
        <v>22</v>
      </c>
      <c r="V111" s="5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>
      <c r="A112" s="3" t="s">
        <v>14</v>
      </c>
      <c r="B112" s="3" t="s">
        <v>371</v>
      </c>
      <c r="C112" s="3" t="s">
        <v>372</v>
      </c>
      <c r="D112" s="3" t="s">
        <v>373</v>
      </c>
      <c r="E112" s="3" t="s">
        <v>374</v>
      </c>
      <c r="F112" s="3" t="s">
        <v>287</v>
      </c>
      <c r="G112" s="3" t="s">
        <v>36</v>
      </c>
      <c r="H112" s="43">
        <f t="shared" ref="H112:I112" si="225">LEN(D112)-LEN(B112)+1</f>
        <v>3</v>
      </c>
      <c r="I112" s="43">
        <f t="shared" si="225"/>
        <v>2</v>
      </c>
      <c r="J112" s="4">
        <v>1.0</v>
      </c>
      <c r="K112" s="4" t="s">
        <v>36</v>
      </c>
      <c r="L112" s="5" t="str">
        <f t="shared" ref="L112:M112" si="226">IFS(J112="-", "-", J112=H112, "Final", J112=1, "Initial", J112&gt;1, "Medial")</f>
        <v>Initial</v>
      </c>
      <c r="M112" s="44" t="str">
        <f t="shared" si="226"/>
        <v>-</v>
      </c>
      <c r="N112" s="5" t="str">
        <f t="shared" si="5"/>
        <v>0</v>
      </c>
      <c r="O112" s="5" t="str">
        <f t="shared" si="6"/>
        <v>ˈdɛ̃</v>
      </c>
      <c r="P112" s="5" t="str">
        <f t="shared" si="7"/>
        <v>0</v>
      </c>
      <c r="Q112" s="5" t="str">
        <f t="shared" si="8"/>
        <v>ˈdẽ</v>
      </c>
      <c r="R112" s="5"/>
      <c r="S112" s="3" t="s">
        <v>375</v>
      </c>
      <c r="T112" s="3" t="s">
        <v>376</v>
      </c>
      <c r="U112" s="3" t="s">
        <v>22</v>
      </c>
      <c r="V112" s="5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>
      <c r="A113" s="3" t="s">
        <v>14</v>
      </c>
      <c r="B113" s="3" t="s">
        <v>371</v>
      </c>
      <c r="C113" s="3" t="s">
        <v>372</v>
      </c>
      <c r="D113" s="3" t="s">
        <v>373</v>
      </c>
      <c r="E113" s="3" t="s">
        <v>374</v>
      </c>
      <c r="F113" s="3" t="s">
        <v>377</v>
      </c>
      <c r="G113" s="15" t="s">
        <v>54</v>
      </c>
      <c r="H113" s="43">
        <f t="shared" ref="H113:I113" si="227">LEN(D113)-LEN(B113)+1</f>
        <v>3</v>
      </c>
      <c r="I113" s="43">
        <f t="shared" si="227"/>
        <v>2</v>
      </c>
      <c r="J113" s="4">
        <v>2.0</v>
      </c>
      <c r="K113" s="4">
        <v>1.0</v>
      </c>
      <c r="L113" s="5" t="str">
        <f t="shared" ref="L113:M113" si="228">IFS(J113="-", "-", J113=H113, "Final", J113=1, "Initial", J113&gt;1, "Medial")</f>
        <v>Medial</v>
      </c>
      <c r="M113" s="44" t="str">
        <f t="shared" si="228"/>
        <v>Initial</v>
      </c>
      <c r="N113" s="5" t="str">
        <f t="shared" si="5"/>
        <v>i</v>
      </c>
      <c r="O113" s="5" t="str">
        <f t="shared" si="6"/>
        <v>t̠ʃɪ</v>
      </c>
      <c r="P113" s="5" t="str">
        <f t="shared" si="7"/>
        <v>-</v>
      </c>
      <c r="Q113" s="5" t="str">
        <f t="shared" si="8"/>
        <v>tɨ</v>
      </c>
      <c r="R113" s="3"/>
      <c r="S113" s="3" t="s">
        <v>375</v>
      </c>
      <c r="T113" s="3" t="s">
        <v>376</v>
      </c>
      <c r="U113" s="3" t="s">
        <v>22</v>
      </c>
      <c r="V113" s="5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>
      <c r="A114" s="3" t="s">
        <v>14</v>
      </c>
      <c r="B114" s="3" t="s">
        <v>371</v>
      </c>
      <c r="C114" s="3" t="s">
        <v>372</v>
      </c>
      <c r="D114" s="3" t="s">
        <v>373</v>
      </c>
      <c r="E114" s="3" t="s">
        <v>374</v>
      </c>
      <c r="F114" s="3" t="s">
        <v>378</v>
      </c>
      <c r="G114" s="3" t="s">
        <v>56</v>
      </c>
      <c r="H114" s="43">
        <f t="shared" ref="H114:I114" si="229">LEN(D114)-LEN(B114)+1</f>
        <v>3</v>
      </c>
      <c r="I114" s="43">
        <f t="shared" si="229"/>
        <v>2</v>
      </c>
      <c r="J114" s="4">
        <v>3.0</v>
      </c>
      <c r="K114" s="4">
        <v>2.0</v>
      </c>
      <c r="L114" s="5" t="str">
        <f t="shared" ref="L114:M114" si="230">IFS(J114="-", "-", J114=H114, "Final", J114=1, "Initial", J114&gt;1, "Medial")</f>
        <v>Final</v>
      </c>
      <c r="M114" s="44" t="str">
        <f t="shared" si="230"/>
        <v>Final</v>
      </c>
      <c r="N114" s="5" t="str">
        <f t="shared" si="5"/>
        <v>ˈdɛ̃</v>
      </c>
      <c r="O114" s="5">
        <f t="shared" si="6"/>
        <v>3</v>
      </c>
      <c r="P114" s="5" t="str">
        <f t="shared" si="7"/>
        <v>ˈdẽ</v>
      </c>
      <c r="Q114" s="5">
        <f t="shared" si="8"/>
        <v>2</v>
      </c>
      <c r="R114" s="5"/>
      <c r="S114" s="3" t="s">
        <v>375</v>
      </c>
      <c r="T114" s="3" t="s">
        <v>376</v>
      </c>
      <c r="U114" s="3" t="s">
        <v>22</v>
      </c>
      <c r="V114" s="5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>
      <c r="A115" s="3" t="s">
        <v>14</v>
      </c>
      <c r="B115" s="3" t="s">
        <v>379</v>
      </c>
      <c r="C115" s="3" t="s">
        <v>380</v>
      </c>
      <c r="D115" s="3" t="s">
        <v>381</v>
      </c>
      <c r="E115" s="3" t="s">
        <v>382</v>
      </c>
      <c r="F115" s="3" t="s">
        <v>383</v>
      </c>
      <c r="G115" s="3" t="s">
        <v>383</v>
      </c>
      <c r="H115" s="43">
        <f t="shared" ref="H115:I115" si="231">LEN(D115)-LEN(B115)+1</f>
        <v>3</v>
      </c>
      <c r="I115" s="43">
        <f t="shared" si="231"/>
        <v>3</v>
      </c>
      <c r="J115" s="4">
        <v>1.0</v>
      </c>
      <c r="K115" s="4">
        <v>1.0</v>
      </c>
      <c r="L115" s="5" t="str">
        <f t="shared" ref="L115:M115" si="232">IFS(J115="-", "-", J115=H115, "Final", J115=1, "Initial", J115&gt;1, "Medial")</f>
        <v>Initial</v>
      </c>
      <c r="M115" s="44" t="str">
        <f t="shared" si="232"/>
        <v>Initial</v>
      </c>
      <c r="N115" s="5" t="str">
        <f t="shared" si="5"/>
        <v>0</v>
      </c>
      <c r="O115" s="5" t="str">
        <f t="shared" si="6"/>
        <v>ga</v>
      </c>
      <c r="P115" s="5" t="str">
        <f t="shared" si="7"/>
        <v>0</v>
      </c>
      <c r="Q115" s="5" t="str">
        <f t="shared" si="8"/>
        <v>gɐ</v>
      </c>
      <c r="R115" s="5"/>
      <c r="S115" s="3" t="s">
        <v>384</v>
      </c>
      <c r="T115" s="3" t="s">
        <v>385</v>
      </c>
      <c r="U115" s="3" t="s">
        <v>22</v>
      </c>
      <c r="V115" s="5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>
      <c r="A116" s="3" t="s">
        <v>14</v>
      </c>
      <c r="B116" s="3" t="s">
        <v>379</v>
      </c>
      <c r="C116" s="3" t="s">
        <v>380</v>
      </c>
      <c r="D116" s="3" t="s">
        <v>381</v>
      </c>
      <c r="E116" s="3" t="s">
        <v>382</v>
      </c>
      <c r="F116" s="3" t="s">
        <v>386</v>
      </c>
      <c r="G116" s="3" t="s">
        <v>190</v>
      </c>
      <c r="H116" s="43">
        <f t="shared" ref="H116:I116" si="233">LEN(D116)-LEN(B116)+1</f>
        <v>3</v>
      </c>
      <c r="I116" s="43">
        <f t="shared" si="233"/>
        <v>3</v>
      </c>
      <c r="J116" s="4">
        <v>2.0</v>
      </c>
      <c r="K116" s="4">
        <v>2.0</v>
      </c>
      <c r="L116" s="5" t="str">
        <f t="shared" ref="L116:M116" si="234">IFS(J116="-", "-", J116=H116, "Final", J116=1, "Initial", J116&gt;1, "Medial")</f>
        <v>Medial</v>
      </c>
      <c r="M116" s="44" t="str">
        <f t="shared" si="234"/>
        <v>Medial</v>
      </c>
      <c r="N116" s="5" t="str">
        <f t="shared" si="5"/>
        <v>ˈfi</v>
      </c>
      <c r="O116" s="5" t="str">
        <f t="shared" si="6"/>
        <v>du</v>
      </c>
      <c r="P116" s="5" t="str">
        <f t="shared" si="7"/>
        <v>ˈfi</v>
      </c>
      <c r="Q116" s="5" t="str">
        <f t="shared" si="8"/>
        <v>du</v>
      </c>
      <c r="R116" s="5"/>
      <c r="S116" s="3" t="s">
        <v>384</v>
      </c>
      <c r="T116" s="3" t="s">
        <v>385</v>
      </c>
      <c r="U116" s="3" t="s">
        <v>22</v>
      </c>
      <c r="V116" s="5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>
      <c r="A117" s="3" t="s">
        <v>14</v>
      </c>
      <c r="B117" s="3" t="s">
        <v>379</v>
      </c>
      <c r="C117" s="3" t="s">
        <v>380</v>
      </c>
      <c r="D117" s="3" t="s">
        <v>381</v>
      </c>
      <c r="E117" s="3" t="s">
        <v>382</v>
      </c>
      <c r="F117" s="3" t="s">
        <v>387</v>
      </c>
      <c r="G117" s="3" t="s">
        <v>387</v>
      </c>
      <c r="H117" s="43">
        <f t="shared" ref="H117:I117" si="235">LEN(D117)-LEN(B117)+1</f>
        <v>3</v>
      </c>
      <c r="I117" s="43">
        <f t="shared" si="235"/>
        <v>3</v>
      </c>
      <c r="J117" s="4">
        <v>3.0</v>
      </c>
      <c r="K117" s="4">
        <v>3.0</v>
      </c>
      <c r="L117" s="5" t="str">
        <f t="shared" ref="L117:M117" si="236">IFS(J117="-", "-", J117=H117, "Final", J117=1, "Initial", J117&gt;1, "Medial")</f>
        <v>Final</v>
      </c>
      <c r="M117" s="44" t="str">
        <f t="shared" si="236"/>
        <v>Final</v>
      </c>
      <c r="N117" s="5" t="str">
        <f t="shared" si="5"/>
        <v>ga</v>
      </c>
      <c r="O117" s="5">
        <f t="shared" si="6"/>
        <v>3</v>
      </c>
      <c r="P117" s="5" t="str">
        <f t="shared" si="7"/>
        <v>gɐ</v>
      </c>
      <c r="Q117" s="5">
        <f t="shared" si="8"/>
        <v>3</v>
      </c>
      <c r="R117" s="5"/>
      <c r="S117" s="3" t="s">
        <v>384</v>
      </c>
      <c r="T117" s="3" t="s">
        <v>385</v>
      </c>
      <c r="U117" s="3" t="s">
        <v>22</v>
      </c>
      <c r="V117" s="5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>
      <c r="A118" s="3" t="s">
        <v>14</v>
      </c>
      <c r="B118" s="3" t="s">
        <v>388</v>
      </c>
      <c r="C118" s="3" t="s">
        <v>389</v>
      </c>
      <c r="D118" s="3" t="s">
        <v>390</v>
      </c>
      <c r="E118" s="3" t="s">
        <v>391</v>
      </c>
      <c r="F118" s="3" t="s">
        <v>108</v>
      </c>
      <c r="G118" s="3" t="s">
        <v>175</v>
      </c>
      <c r="H118" s="43">
        <f t="shared" ref="H118:I118" si="237">LEN(D118)-LEN(B118)+1</f>
        <v>3</v>
      </c>
      <c r="I118" s="43">
        <f t="shared" si="237"/>
        <v>3</v>
      </c>
      <c r="J118" s="4">
        <v>1.0</v>
      </c>
      <c r="K118" s="4">
        <v>1.0</v>
      </c>
      <c r="L118" s="5" t="str">
        <f t="shared" ref="L118:M118" si="238">IFS(J118="-", "-", J118=H118, "Final", J118=1, "Initial", J118&gt;1, "Medial")</f>
        <v>Initial</v>
      </c>
      <c r="M118" s="44" t="str">
        <f t="shared" si="238"/>
        <v>Initial</v>
      </c>
      <c r="N118" s="5" t="str">
        <f t="shared" si="5"/>
        <v>0</v>
      </c>
      <c r="O118" s="5" t="str">
        <f t="shared" si="6"/>
        <v>ˈbɛ</v>
      </c>
      <c r="P118" s="5" t="str">
        <f t="shared" si="7"/>
        <v>0</v>
      </c>
      <c r="Q118" s="5" t="str">
        <f t="shared" si="8"/>
        <v>ˈbe</v>
      </c>
      <c r="R118" s="3"/>
      <c r="S118" s="3" t="s">
        <v>392</v>
      </c>
      <c r="T118" s="3" t="s">
        <v>319</v>
      </c>
      <c r="U118" s="3" t="s">
        <v>22</v>
      </c>
      <c r="V118" s="5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>
      <c r="A119" s="3" t="s">
        <v>14</v>
      </c>
      <c r="B119" s="3" t="s">
        <v>388</v>
      </c>
      <c r="C119" s="3" t="s">
        <v>389</v>
      </c>
      <c r="D119" s="3" t="s">
        <v>390</v>
      </c>
      <c r="E119" s="3" t="s">
        <v>391</v>
      </c>
      <c r="F119" s="3" t="s">
        <v>393</v>
      </c>
      <c r="G119" s="3" t="s">
        <v>394</v>
      </c>
      <c r="H119" s="43">
        <f t="shared" ref="H119:I119" si="239">LEN(D119)-LEN(B119)+1</f>
        <v>3</v>
      </c>
      <c r="I119" s="43">
        <f t="shared" si="239"/>
        <v>3</v>
      </c>
      <c r="J119" s="4">
        <v>2.0</v>
      </c>
      <c r="K119" s="4">
        <v>2.0</v>
      </c>
      <c r="L119" s="5" t="str">
        <f t="shared" ref="L119:M119" si="240">IFS(J119="-", "-", J119=H119, "Final", J119=1, "Initial", J119&gt;1, "Medial")</f>
        <v>Medial</v>
      </c>
      <c r="M119" s="44" t="str">
        <f t="shared" si="240"/>
        <v>Medial</v>
      </c>
      <c r="N119" s="5" t="str">
        <f t="shared" si="5"/>
        <v>ka</v>
      </c>
      <c r="O119" s="5" t="str">
        <f t="shared" si="6"/>
        <v>lu</v>
      </c>
      <c r="P119" s="5" t="str">
        <f t="shared" si="7"/>
        <v>kɐ</v>
      </c>
      <c r="Q119" s="5" t="str">
        <f t="shared" si="8"/>
        <v>lu</v>
      </c>
      <c r="R119" s="3"/>
      <c r="S119" s="3" t="s">
        <v>392</v>
      </c>
      <c r="T119" s="3" t="s">
        <v>319</v>
      </c>
      <c r="U119" s="3" t="s">
        <v>22</v>
      </c>
      <c r="V119" s="5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>
      <c r="A120" s="3" t="s">
        <v>14</v>
      </c>
      <c r="B120" s="3" t="s">
        <v>388</v>
      </c>
      <c r="C120" s="3" t="s">
        <v>389</v>
      </c>
      <c r="D120" s="3" t="s">
        <v>390</v>
      </c>
      <c r="E120" s="3" t="s">
        <v>391</v>
      </c>
      <c r="F120" s="3" t="s">
        <v>245</v>
      </c>
      <c r="G120" s="3" t="s">
        <v>245</v>
      </c>
      <c r="H120" s="43">
        <f t="shared" ref="H120:I120" si="241">LEN(D120)-LEN(B120)+1</f>
        <v>3</v>
      </c>
      <c r="I120" s="43">
        <f t="shared" si="241"/>
        <v>3</v>
      </c>
      <c r="J120" s="4">
        <v>3.0</v>
      </c>
      <c r="K120" s="4">
        <v>3.0</v>
      </c>
      <c r="L120" s="5" t="str">
        <f t="shared" ref="L120:M120" si="242">IFS(J120="-", "-", J120=H120, "Final", J120=1, "Initial", J120&gt;1, "Medial")</f>
        <v>Final</v>
      </c>
      <c r="M120" s="44" t="str">
        <f t="shared" si="242"/>
        <v>Final</v>
      </c>
      <c r="N120" s="5" t="str">
        <f t="shared" si="5"/>
        <v>ˈbɛ</v>
      </c>
      <c r="O120" s="5">
        <f t="shared" si="6"/>
        <v>3</v>
      </c>
      <c r="P120" s="5" t="str">
        <f t="shared" si="7"/>
        <v>ˈbe</v>
      </c>
      <c r="Q120" s="5">
        <f t="shared" si="8"/>
        <v>3</v>
      </c>
      <c r="R120" s="3"/>
      <c r="S120" s="3" t="s">
        <v>392</v>
      </c>
      <c r="T120" s="3" t="s">
        <v>319</v>
      </c>
      <c r="U120" s="3" t="s">
        <v>22</v>
      </c>
      <c r="V120" s="5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>
      <c r="A121" s="3" t="s">
        <v>14</v>
      </c>
      <c r="B121" s="3" t="s">
        <v>395</v>
      </c>
      <c r="C121" s="3" t="s">
        <v>396</v>
      </c>
      <c r="D121" s="3" t="s">
        <v>397</v>
      </c>
      <c r="E121" s="3" t="s">
        <v>398</v>
      </c>
      <c r="F121" s="3" t="s">
        <v>108</v>
      </c>
      <c r="G121" s="3" t="s">
        <v>175</v>
      </c>
      <c r="H121" s="43">
        <f t="shared" ref="H121:I121" si="243">LEN(D121)-LEN(B121)+1</f>
        <v>3</v>
      </c>
      <c r="I121" s="43">
        <f t="shared" si="243"/>
        <v>3</v>
      </c>
      <c r="J121" s="4">
        <v>1.0</v>
      </c>
      <c r="K121" s="4">
        <v>1.0</v>
      </c>
      <c r="L121" s="5" t="str">
        <f t="shared" ref="L121:M121" si="244">IFS(J121="-", "-", J121=H121, "Final", J121=1, "Initial", J121&gt;1, "Medial")</f>
        <v>Initial</v>
      </c>
      <c r="M121" s="44" t="str">
        <f t="shared" si="244"/>
        <v>Initial</v>
      </c>
      <c r="N121" s="5" t="str">
        <f t="shared" si="5"/>
        <v>0</v>
      </c>
      <c r="O121" s="5" t="str">
        <f t="shared" si="6"/>
        <v>ˈbɛ</v>
      </c>
      <c r="P121" s="5" t="str">
        <f t="shared" si="7"/>
        <v>0</v>
      </c>
      <c r="Q121" s="5" t="str">
        <f t="shared" si="8"/>
        <v>ˈbe</v>
      </c>
      <c r="R121" s="3"/>
      <c r="S121" s="3" t="s">
        <v>399</v>
      </c>
      <c r="T121" s="3" t="s">
        <v>400</v>
      </c>
      <c r="U121" s="3" t="s">
        <v>22</v>
      </c>
      <c r="V121" s="5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>
      <c r="A122" s="3" t="s">
        <v>14</v>
      </c>
      <c r="B122" s="3" t="s">
        <v>395</v>
      </c>
      <c r="C122" s="3" t="s">
        <v>396</v>
      </c>
      <c r="D122" s="3" t="s">
        <v>397</v>
      </c>
      <c r="E122" s="3" t="s">
        <v>398</v>
      </c>
      <c r="F122" s="3" t="s">
        <v>393</v>
      </c>
      <c r="G122" s="3" t="s">
        <v>394</v>
      </c>
      <c r="H122" s="43">
        <f t="shared" ref="H122:I122" si="245">LEN(D122)-LEN(B122)+1</f>
        <v>3</v>
      </c>
      <c r="I122" s="43">
        <f t="shared" si="245"/>
        <v>3</v>
      </c>
      <c r="J122" s="4">
        <v>2.0</v>
      </c>
      <c r="K122" s="4">
        <v>2.0</v>
      </c>
      <c r="L122" s="5" t="str">
        <f t="shared" ref="L122:M122" si="246">IFS(J122="-", "-", J122=H122, "Final", J122=1, "Initial", J122&gt;1, "Medial")</f>
        <v>Medial</v>
      </c>
      <c r="M122" s="44" t="str">
        <f t="shared" si="246"/>
        <v>Medial</v>
      </c>
      <c r="N122" s="5" t="str">
        <f t="shared" si="5"/>
        <v>ka</v>
      </c>
      <c r="O122" s="5" t="str">
        <f t="shared" si="6"/>
        <v>sɛ</v>
      </c>
      <c r="P122" s="5" t="str">
        <f t="shared" si="7"/>
        <v>kɐ</v>
      </c>
      <c r="Q122" s="5" t="str">
        <f t="shared" si="8"/>
        <v>sɐ</v>
      </c>
      <c r="R122" s="3"/>
      <c r="S122" s="3" t="s">
        <v>399</v>
      </c>
      <c r="T122" s="3" t="s">
        <v>400</v>
      </c>
      <c r="U122" s="3" t="s">
        <v>22</v>
      </c>
      <c r="V122" s="5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>
      <c r="A123" s="3" t="s">
        <v>14</v>
      </c>
      <c r="B123" s="3" t="s">
        <v>395</v>
      </c>
      <c r="C123" s="3" t="s">
        <v>396</v>
      </c>
      <c r="D123" s="3" t="s">
        <v>397</v>
      </c>
      <c r="E123" s="3" t="s">
        <v>398</v>
      </c>
      <c r="F123" s="3" t="s">
        <v>401</v>
      </c>
      <c r="G123" s="3" t="s">
        <v>402</v>
      </c>
      <c r="H123" s="43">
        <f t="shared" ref="H123:I123" si="247">LEN(D123)-LEN(B123)+1</f>
        <v>3</v>
      </c>
      <c r="I123" s="43">
        <f t="shared" si="247"/>
        <v>3</v>
      </c>
      <c r="J123" s="4">
        <v>3.0</v>
      </c>
      <c r="K123" s="4">
        <v>3.0</v>
      </c>
      <c r="L123" s="5" t="str">
        <f t="shared" ref="L123:M123" si="248">IFS(J123="-", "-", J123=H123, "Final", J123=1, "Initial", J123&gt;1, "Medial")</f>
        <v>Final</v>
      </c>
      <c r="M123" s="44" t="str">
        <f t="shared" si="248"/>
        <v>Final</v>
      </c>
      <c r="N123" s="5" t="str">
        <f t="shared" si="5"/>
        <v>ˈbɛ</v>
      </c>
      <c r="O123" s="5">
        <f t="shared" si="6"/>
        <v>3</v>
      </c>
      <c r="P123" s="5" t="str">
        <f t="shared" si="7"/>
        <v>ˈbe</v>
      </c>
      <c r="Q123" s="5">
        <f t="shared" si="8"/>
        <v>3</v>
      </c>
      <c r="R123" s="3"/>
      <c r="S123" s="3" t="s">
        <v>399</v>
      </c>
      <c r="T123" s="3" t="s">
        <v>400</v>
      </c>
      <c r="U123" s="3" t="s">
        <v>22</v>
      </c>
      <c r="V123" s="5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>
      <c r="A124" s="3" t="s">
        <v>14</v>
      </c>
      <c r="B124" s="3" t="s">
        <v>403</v>
      </c>
      <c r="C124" s="3" t="s">
        <v>404</v>
      </c>
      <c r="D124" s="3" t="s">
        <v>405</v>
      </c>
      <c r="E124" s="3" t="s">
        <v>406</v>
      </c>
      <c r="F124" s="3" t="s">
        <v>108</v>
      </c>
      <c r="G124" s="3" t="s">
        <v>280</v>
      </c>
      <c r="H124" s="43">
        <f t="shared" ref="H124:I124" si="249">LEN(D124)-LEN(B124)+1</f>
        <v>2</v>
      </c>
      <c r="I124" s="43">
        <f t="shared" si="249"/>
        <v>3</v>
      </c>
      <c r="J124" s="4">
        <v>1.0</v>
      </c>
      <c r="K124" s="4">
        <v>1.0</v>
      </c>
      <c r="L124" s="5" t="str">
        <f t="shared" ref="L124:M124" si="250">IFS(J124="-", "-", J124=H124, "Final", J124=1, "Initial", J124&gt;1, "Medial")</f>
        <v>Initial</v>
      </c>
      <c r="M124" s="44" t="str">
        <f t="shared" si="250"/>
        <v>Initial</v>
      </c>
      <c r="N124" s="5" t="str">
        <f t="shared" si="5"/>
        <v>0</v>
      </c>
      <c r="O124" s="5" t="str">
        <f t="shared" si="6"/>
        <v>ˈdja</v>
      </c>
      <c r="P124" s="5" t="str">
        <f t="shared" si="7"/>
        <v>0</v>
      </c>
      <c r="Q124" s="5" t="str">
        <f t="shared" si="8"/>
        <v>dɨ</v>
      </c>
      <c r="R124" s="3"/>
      <c r="S124" s="3" t="s">
        <v>407</v>
      </c>
      <c r="T124" s="3" t="s">
        <v>408</v>
      </c>
      <c r="U124" s="3" t="s">
        <v>22</v>
      </c>
      <c r="V124" s="5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>
      <c r="A125" s="3" t="s">
        <v>14</v>
      </c>
      <c r="B125" s="3" t="s">
        <v>403</v>
      </c>
      <c r="C125" s="3" t="s">
        <v>404</v>
      </c>
      <c r="D125" s="3" t="s">
        <v>405</v>
      </c>
      <c r="E125" s="3" t="s">
        <v>406</v>
      </c>
      <c r="F125" s="3" t="s">
        <v>409</v>
      </c>
      <c r="G125" s="3" t="s">
        <v>334</v>
      </c>
      <c r="H125" s="43">
        <f t="shared" ref="H125:I125" si="251">LEN(D125)-LEN(B125)+1</f>
        <v>2</v>
      </c>
      <c r="I125" s="43">
        <f t="shared" si="251"/>
        <v>3</v>
      </c>
      <c r="J125" s="4">
        <v>2.0</v>
      </c>
      <c r="K125" s="4">
        <v>2.0</v>
      </c>
      <c r="L125" s="5" t="str">
        <f t="shared" ref="L125:M125" si="252">IFS(J125="-", "-", J125=H125, "Final", J125=1, "Initial", J125&gt;1, "Medial")</f>
        <v>Final</v>
      </c>
      <c r="M125" s="44" t="str">
        <f t="shared" si="252"/>
        <v>Medial</v>
      </c>
      <c r="N125" s="5" t="str">
        <f t="shared" si="5"/>
        <v>ka</v>
      </c>
      <c r="O125" s="5" t="str">
        <f t="shared" si="6"/>
        <v>-</v>
      </c>
      <c r="P125" s="5" t="str">
        <f t="shared" si="7"/>
        <v>ˈna</v>
      </c>
      <c r="Q125" s="5" t="str">
        <f t="shared" si="8"/>
        <v>gɐʃ</v>
      </c>
      <c r="R125" s="6"/>
      <c r="S125" s="3" t="s">
        <v>407</v>
      </c>
      <c r="T125" s="3" t="s">
        <v>408</v>
      </c>
      <c r="U125" s="3" t="s">
        <v>22</v>
      </c>
      <c r="V125" s="5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>
      <c r="A126" s="3" t="s">
        <v>14</v>
      </c>
      <c r="B126" s="3" t="s">
        <v>403</v>
      </c>
      <c r="C126" s="3" t="s">
        <v>404</v>
      </c>
      <c r="D126" s="3" t="s">
        <v>405</v>
      </c>
      <c r="E126" s="3" t="s">
        <v>406</v>
      </c>
      <c r="F126" s="17" t="s">
        <v>36</v>
      </c>
      <c r="G126" s="3" t="s">
        <v>410</v>
      </c>
      <c r="H126" s="43">
        <f t="shared" ref="H126:I126" si="253">LEN(D126)-LEN(B126)+1</f>
        <v>2</v>
      </c>
      <c r="I126" s="43">
        <f t="shared" si="253"/>
        <v>3</v>
      </c>
      <c r="J126" s="4">
        <v>3.0</v>
      </c>
      <c r="K126" s="4">
        <v>3.0</v>
      </c>
      <c r="L126" s="5" t="str">
        <f t="shared" ref="L126:M126" si="254">IFS(J126="-", "-", J126=H126, "Final", J126=1, "Initial", J126&gt;1, "Medial")</f>
        <v>Medial</v>
      </c>
      <c r="M126" s="44" t="str">
        <f t="shared" si="254"/>
        <v>Final</v>
      </c>
      <c r="N126" s="5" t="str">
        <f t="shared" si="5"/>
        <v>ˈdja</v>
      </c>
      <c r="O126" s="5">
        <f t="shared" si="6"/>
        <v>3</v>
      </c>
      <c r="P126" s="5" t="str">
        <f t="shared" si="7"/>
        <v>dɨ</v>
      </c>
      <c r="Q126" s="5">
        <f t="shared" si="8"/>
        <v>3</v>
      </c>
      <c r="R126" s="5"/>
      <c r="S126" s="3" t="s">
        <v>407</v>
      </c>
      <c r="T126" s="3" t="s">
        <v>408</v>
      </c>
      <c r="U126" s="3" t="s">
        <v>22</v>
      </c>
      <c r="V126" s="5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>
      <c r="A127" s="3" t="s">
        <v>14</v>
      </c>
      <c r="B127" s="3" t="s">
        <v>411</v>
      </c>
      <c r="C127" s="3" t="s">
        <v>412</v>
      </c>
      <c r="D127" s="3" t="s">
        <v>413</v>
      </c>
      <c r="E127" s="3" t="s">
        <v>414</v>
      </c>
      <c r="F127" s="17" t="s">
        <v>36</v>
      </c>
      <c r="G127" s="3" t="s">
        <v>415</v>
      </c>
      <c r="H127" s="43">
        <f t="shared" ref="H127:I127" si="255">LEN(D127)-LEN(B127)+1</f>
        <v>2</v>
      </c>
      <c r="I127" s="43">
        <f t="shared" si="255"/>
        <v>3</v>
      </c>
      <c r="J127" s="4" t="s">
        <v>36</v>
      </c>
      <c r="K127" s="4">
        <v>1.0</v>
      </c>
      <c r="L127" s="5" t="str">
        <f t="shared" ref="L127:M127" si="256">IFS(J127="-", "-", J127=H127, "Final", J127=1, "Initial", J127&gt;1, "Medial")</f>
        <v>-</v>
      </c>
      <c r="M127" s="44" t="str">
        <f t="shared" si="256"/>
        <v>Initial</v>
      </c>
      <c r="N127" s="5" t="str">
        <f t="shared" si="5"/>
        <v>0</v>
      </c>
      <c r="O127" s="5" t="str">
        <f t="shared" si="6"/>
        <v>ko</v>
      </c>
      <c r="P127" s="5" t="str">
        <f t="shared" si="7"/>
        <v>0</v>
      </c>
      <c r="Q127" s="5" t="str">
        <f t="shared" si="8"/>
        <v>ˈko</v>
      </c>
      <c r="R127" s="3"/>
      <c r="S127" s="3" t="s">
        <v>416</v>
      </c>
      <c r="T127" s="3" t="s">
        <v>417</v>
      </c>
      <c r="U127" s="3" t="s">
        <v>22</v>
      </c>
      <c r="V127" s="3" t="s">
        <v>418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>
      <c r="A128" s="3" t="s">
        <v>14</v>
      </c>
      <c r="B128" s="3" t="s">
        <v>411</v>
      </c>
      <c r="C128" s="3" t="s">
        <v>412</v>
      </c>
      <c r="D128" s="3" t="s">
        <v>413</v>
      </c>
      <c r="E128" s="3" t="s">
        <v>414</v>
      </c>
      <c r="F128" s="3" t="s">
        <v>419</v>
      </c>
      <c r="G128" s="3" t="s">
        <v>420</v>
      </c>
      <c r="H128" s="43">
        <f t="shared" ref="H128:I128" si="257">LEN(D128)-LEN(B128)+1</f>
        <v>2</v>
      </c>
      <c r="I128" s="43">
        <f t="shared" si="257"/>
        <v>3</v>
      </c>
      <c r="J128" s="4">
        <v>1.0</v>
      </c>
      <c r="K128" s="4">
        <v>2.0</v>
      </c>
      <c r="L128" s="5" t="str">
        <f t="shared" ref="L128:M128" si="258">IFS(J128="-", "-", J128=H128, "Final", J128=1, "Initial", J128&gt;1, "Medial")</f>
        <v>Initial</v>
      </c>
      <c r="M128" s="44" t="str">
        <f t="shared" si="258"/>
        <v>Medial</v>
      </c>
      <c r="N128" s="5" t="str">
        <f t="shared" si="5"/>
        <v>-</v>
      </c>
      <c r="O128" s="5" t="str">
        <f t="shared" si="6"/>
        <v>ˈko</v>
      </c>
      <c r="P128" s="5" t="str">
        <f t="shared" si="7"/>
        <v>pɨʃ</v>
      </c>
      <c r="Q128" s="5" t="str">
        <f t="shared" si="8"/>
        <v>su</v>
      </c>
      <c r="R128" s="3"/>
      <c r="S128" s="3" t="s">
        <v>416</v>
      </c>
      <c r="T128" s="3" t="s">
        <v>417</v>
      </c>
      <c r="U128" s="3" t="s">
        <v>22</v>
      </c>
      <c r="V128" s="3" t="s">
        <v>418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>
      <c r="A129" s="3" t="s">
        <v>14</v>
      </c>
      <c r="B129" s="3" t="s">
        <v>411</v>
      </c>
      <c r="C129" s="3" t="s">
        <v>412</v>
      </c>
      <c r="D129" s="3" t="s">
        <v>413</v>
      </c>
      <c r="E129" s="3" t="s">
        <v>414</v>
      </c>
      <c r="F129" s="3" t="s">
        <v>420</v>
      </c>
      <c r="G129" s="3" t="s">
        <v>362</v>
      </c>
      <c r="H129" s="43">
        <f t="shared" ref="H129:I129" si="259">LEN(D129)-LEN(B129)+1</f>
        <v>2</v>
      </c>
      <c r="I129" s="43">
        <f t="shared" si="259"/>
        <v>3</v>
      </c>
      <c r="J129" s="4">
        <v>2.0</v>
      </c>
      <c r="K129" s="4">
        <v>3.0</v>
      </c>
      <c r="L129" s="5" t="str">
        <f t="shared" ref="L129:M129" si="260">IFS(J129="-", "-", J129=H129, "Final", J129=1, "Initial", J129&gt;1, "Medial")</f>
        <v>Final</v>
      </c>
      <c r="M129" s="44" t="str">
        <f t="shared" si="260"/>
        <v>Final</v>
      </c>
      <c r="N129" s="5" t="str">
        <f t="shared" si="5"/>
        <v>ko</v>
      </c>
      <c r="O129" s="5">
        <f t="shared" si="6"/>
        <v>2</v>
      </c>
      <c r="P129" s="5" t="str">
        <f t="shared" si="7"/>
        <v>ˈko</v>
      </c>
      <c r="Q129" s="5">
        <f t="shared" si="8"/>
        <v>3</v>
      </c>
      <c r="R129" s="5"/>
      <c r="S129" s="3" t="s">
        <v>416</v>
      </c>
      <c r="T129" s="3" t="s">
        <v>417</v>
      </c>
      <c r="U129" s="3" t="s">
        <v>22</v>
      </c>
      <c r="V129" s="3" t="s">
        <v>418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>
      <c r="A130" s="3" t="s">
        <v>14</v>
      </c>
      <c r="B130" s="3" t="s">
        <v>421</v>
      </c>
      <c r="C130" s="3" t="s">
        <v>422</v>
      </c>
      <c r="D130" s="3" t="s">
        <v>423</v>
      </c>
      <c r="E130" s="3" t="s">
        <v>424</v>
      </c>
      <c r="F130" s="3" t="s">
        <v>174</v>
      </c>
      <c r="G130" s="3" t="s">
        <v>425</v>
      </c>
      <c r="H130" s="43">
        <f t="shared" ref="H130:I130" si="261">LEN(D130)-LEN(B130)+1</f>
        <v>2</v>
      </c>
      <c r="I130" s="43">
        <f t="shared" si="261"/>
        <v>3</v>
      </c>
      <c r="J130" s="4">
        <v>1.0</v>
      </c>
      <c r="K130" s="4">
        <v>1.0</v>
      </c>
      <c r="L130" s="5" t="str">
        <f t="shared" ref="L130:M130" si="262">IFS(J130="-", "-", J130=H130, "Final", J130=1, "Initial", J130&gt;1, "Medial")</f>
        <v>Initial</v>
      </c>
      <c r="M130" s="44" t="str">
        <f t="shared" si="262"/>
        <v>Initial</v>
      </c>
      <c r="N130" s="5" t="str">
        <f t="shared" si="5"/>
        <v>0</v>
      </c>
      <c r="O130" s="5" t="str">
        <f t="shared" si="6"/>
        <v>-</v>
      </c>
      <c r="P130" s="5" t="str">
        <f t="shared" si="7"/>
        <v>0</v>
      </c>
      <c r="Q130" s="5" t="str">
        <f t="shared" si="8"/>
        <v>ɾɐ</v>
      </c>
      <c r="R130" s="5"/>
      <c r="S130" s="3" t="s">
        <v>426</v>
      </c>
      <c r="T130" s="3" t="s">
        <v>427</v>
      </c>
      <c r="U130" s="3" t="s">
        <v>22</v>
      </c>
      <c r="V130" s="5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>
      <c r="A131" s="3" t="s">
        <v>14</v>
      </c>
      <c r="B131" s="3" t="s">
        <v>421</v>
      </c>
      <c r="C131" s="3" t="s">
        <v>422</v>
      </c>
      <c r="D131" s="3" t="s">
        <v>423</v>
      </c>
      <c r="E131" s="3" t="s">
        <v>424</v>
      </c>
      <c r="F131" s="3" t="s">
        <v>36</v>
      </c>
      <c r="G131" s="3" t="s">
        <v>103</v>
      </c>
      <c r="H131" s="43">
        <f t="shared" ref="H131:I131" si="263">LEN(D131)-LEN(B131)+1</f>
        <v>2</v>
      </c>
      <c r="I131" s="43">
        <f t="shared" si="263"/>
        <v>3</v>
      </c>
      <c r="J131" s="4" t="s">
        <v>36</v>
      </c>
      <c r="K131" s="4">
        <v>2.0</v>
      </c>
      <c r="L131" s="5" t="str">
        <f t="shared" ref="L131:M131" si="264">IFS(J131="-", "-", J131=H131, "Final", J131=1, "Initial", J131&gt;1, "Medial")</f>
        <v>-</v>
      </c>
      <c r="M131" s="44" t="str">
        <f t="shared" si="264"/>
        <v>Medial</v>
      </c>
      <c r="N131" s="5" t="str">
        <f t="shared" si="5"/>
        <v>kɔ</v>
      </c>
      <c r="O131" s="5" t="str">
        <f t="shared" si="6"/>
        <v>ˈsɐ̃</v>
      </c>
      <c r="P131" s="5" t="str">
        <f t="shared" si="7"/>
        <v>ku</v>
      </c>
      <c r="Q131" s="5" t="str">
        <f t="shared" si="8"/>
        <v>ˈsɐ̃w̃</v>
      </c>
      <c r="R131" s="3" t="s">
        <v>72</v>
      </c>
      <c r="S131" s="3" t="s">
        <v>426</v>
      </c>
      <c r="T131" s="3" t="s">
        <v>427</v>
      </c>
      <c r="U131" s="3" t="s">
        <v>22</v>
      </c>
      <c r="V131" s="5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>
      <c r="A132" s="3" t="s">
        <v>14</v>
      </c>
      <c r="B132" s="3" t="s">
        <v>421</v>
      </c>
      <c r="C132" s="3" t="s">
        <v>422</v>
      </c>
      <c r="D132" s="3" t="s">
        <v>423</v>
      </c>
      <c r="E132" s="3" t="s">
        <v>424</v>
      </c>
      <c r="F132" s="3" t="s">
        <v>181</v>
      </c>
      <c r="G132" s="3" t="s">
        <v>428</v>
      </c>
      <c r="H132" s="43">
        <f t="shared" ref="H132:I132" si="265">LEN(D132)-LEN(B132)+1</f>
        <v>2</v>
      </c>
      <c r="I132" s="43">
        <f t="shared" si="265"/>
        <v>3</v>
      </c>
      <c r="J132" s="4">
        <v>2.0</v>
      </c>
      <c r="K132" s="4">
        <v>3.0</v>
      </c>
      <c r="L132" s="5" t="str">
        <f t="shared" ref="L132:M132" si="266">IFS(J132="-", "-", J132=H132, "Final", J132=1, "Initial", J132&gt;1, "Medial")</f>
        <v>Final</v>
      </c>
      <c r="M132" s="44" t="str">
        <f t="shared" si="266"/>
        <v>Final</v>
      </c>
      <c r="N132" s="5" t="str">
        <f t="shared" si="5"/>
        <v>-</v>
      </c>
      <c r="O132" s="5">
        <f t="shared" si="6"/>
        <v>2</v>
      </c>
      <c r="P132" s="5" t="str">
        <f t="shared" si="7"/>
        <v>ɾɐ</v>
      </c>
      <c r="Q132" s="5">
        <f t="shared" si="8"/>
        <v>3</v>
      </c>
      <c r="R132" s="3"/>
      <c r="S132" s="3" t="s">
        <v>426</v>
      </c>
      <c r="T132" s="3" t="s">
        <v>427</v>
      </c>
      <c r="U132" s="3" t="s">
        <v>22</v>
      </c>
      <c r="V132" s="5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>
      <c r="A133" s="3" t="s">
        <v>14</v>
      </c>
      <c r="B133" s="3" t="s">
        <v>429</v>
      </c>
      <c r="C133" s="3" t="s">
        <v>430</v>
      </c>
      <c r="D133" s="3" t="s">
        <v>431</v>
      </c>
      <c r="E133" s="3" t="s">
        <v>432</v>
      </c>
      <c r="F133" s="3" t="s">
        <v>425</v>
      </c>
      <c r="G133" s="3" t="s">
        <v>433</v>
      </c>
      <c r="H133" s="43">
        <f t="shared" ref="H133:I133" si="267">LEN(D133)-LEN(B133)+1</f>
        <v>2</v>
      </c>
      <c r="I133" s="43">
        <f t="shared" si="267"/>
        <v>2</v>
      </c>
      <c r="J133" s="4">
        <v>1.0</v>
      </c>
      <c r="K133" s="4">
        <v>1.0</v>
      </c>
      <c r="L133" s="5" t="str">
        <f t="shared" ref="L133:M133" si="268">IFS(J133="-", "-", J133=H133, "Final", J133=1, "Initial", J133&gt;1, "Medial")</f>
        <v>Initial</v>
      </c>
      <c r="M133" s="44" t="str">
        <f t="shared" si="268"/>
        <v>Initial</v>
      </c>
      <c r="N133" s="5" t="str">
        <f t="shared" si="5"/>
        <v>0</v>
      </c>
      <c r="O133" s="5" t="str">
        <f t="shared" si="6"/>
        <v>ˈpi</v>
      </c>
      <c r="P133" s="5" t="str">
        <f t="shared" si="7"/>
        <v>0</v>
      </c>
      <c r="Q133" s="5" t="str">
        <f t="shared" si="8"/>
        <v>pu</v>
      </c>
      <c r="R133" s="5"/>
      <c r="S133" s="3" t="s">
        <v>434</v>
      </c>
      <c r="T133" s="3" t="s">
        <v>435</v>
      </c>
      <c r="U133" s="3" t="s">
        <v>22</v>
      </c>
      <c r="V133" s="5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>
      <c r="A134" s="3" t="s">
        <v>14</v>
      </c>
      <c r="B134" s="3" t="s">
        <v>429</v>
      </c>
      <c r="C134" s="3" t="s">
        <v>430</v>
      </c>
      <c r="D134" s="3" t="s">
        <v>431</v>
      </c>
      <c r="E134" s="3" t="s">
        <v>432</v>
      </c>
      <c r="F134" s="3" t="s">
        <v>436</v>
      </c>
      <c r="G134" s="3" t="s">
        <v>437</v>
      </c>
      <c r="H134" s="43">
        <f t="shared" ref="H134:I134" si="269">LEN(D134)-LEN(B134)+1</f>
        <v>2</v>
      </c>
      <c r="I134" s="43">
        <f t="shared" si="269"/>
        <v>2</v>
      </c>
      <c r="J134" s="4">
        <v>2.0</v>
      </c>
      <c r="K134" s="4">
        <v>2.0</v>
      </c>
      <c r="L134" s="5" t="str">
        <f t="shared" ref="L134:M134" si="270">IFS(J134="-", "-", J134=H134, "Final", J134=1, "Initial", J134&gt;1, "Medial")</f>
        <v>Final</v>
      </c>
      <c r="M134" s="44" t="str">
        <f t="shared" si="270"/>
        <v>Final</v>
      </c>
      <c r="N134" s="5" t="str">
        <f t="shared" si="5"/>
        <v>ku</v>
      </c>
      <c r="O134" s="5">
        <f t="shared" si="6"/>
        <v>2</v>
      </c>
      <c r="P134" s="5" t="str">
        <f t="shared" si="7"/>
        <v>ˈkuʃ</v>
      </c>
      <c r="Q134" s="5">
        <f t="shared" si="8"/>
        <v>2</v>
      </c>
      <c r="R134" s="5"/>
      <c r="S134" s="3" t="s">
        <v>434</v>
      </c>
      <c r="T134" s="3" t="s">
        <v>435</v>
      </c>
      <c r="U134" s="3" t="s">
        <v>22</v>
      </c>
      <c r="V134" s="5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>
      <c r="A135" s="3" t="s">
        <v>14</v>
      </c>
      <c r="B135" s="3" t="s">
        <v>438</v>
      </c>
      <c r="C135" s="3" t="s">
        <v>439</v>
      </c>
      <c r="D135" s="6" t="s">
        <v>440</v>
      </c>
      <c r="E135" s="3" t="s">
        <v>441</v>
      </c>
      <c r="F135" s="6" t="s">
        <v>442</v>
      </c>
      <c r="G135" s="3" t="s">
        <v>443</v>
      </c>
      <c r="H135" s="43">
        <f t="shared" ref="H135:I135" si="271">LEN(D135)-LEN(B135)+1</f>
        <v>2</v>
      </c>
      <c r="I135" s="43">
        <f t="shared" si="271"/>
        <v>3</v>
      </c>
      <c r="J135" s="4">
        <v>1.0</v>
      </c>
      <c r="K135" s="4">
        <v>1.0</v>
      </c>
      <c r="L135" s="5" t="str">
        <f t="shared" ref="L135:M135" si="272">IFS(J135="-", "-", J135=H135, "Final", J135=1, "Initial", J135&gt;1, "Medial")</f>
        <v>Initial</v>
      </c>
      <c r="M135" s="44" t="str">
        <f t="shared" si="272"/>
        <v>Initial</v>
      </c>
      <c r="N135" s="5" t="str">
        <f t="shared" si="5"/>
        <v>0</v>
      </c>
      <c r="O135" s="5" t="str">
        <f t="shared" si="6"/>
        <v>gɛ</v>
      </c>
      <c r="P135" s="5" t="str">
        <f t="shared" si="7"/>
        <v>0</v>
      </c>
      <c r="Q135" s="5" t="str">
        <f t="shared" si="8"/>
        <v>guɐ</v>
      </c>
      <c r="R135" s="5"/>
      <c r="S135" s="3" t="s">
        <v>444</v>
      </c>
      <c r="T135" s="3" t="s">
        <v>445</v>
      </c>
      <c r="U135" s="3" t="s">
        <v>22</v>
      </c>
      <c r="V135" s="5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>
      <c r="A136" s="3" t="s">
        <v>14</v>
      </c>
      <c r="B136" s="3" t="s">
        <v>438</v>
      </c>
      <c r="C136" s="3" t="s">
        <v>439</v>
      </c>
      <c r="D136" s="6" t="s">
        <v>440</v>
      </c>
      <c r="E136" s="3" t="s">
        <v>441</v>
      </c>
      <c r="F136" s="6" t="s">
        <v>446</v>
      </c>
      <c r="G136" s="3" t="s">
        <v>44</v>
      </c>
      <c r="H136" s="43">
        <f t="shared" ref="H136:I136" si="273">LEN(D136)-LEN(B136)+1</f>
        <v>2</v>
      </c>
      <c r="I136" s="43">
        <f t="shared" si="273"/>
        <v>3</v>
      </c>
      <c r="J136" s="4">
        <v>2.0</v>
      </c>
      <c r="K136" s="4">
        <v>2.0</v>
      </c>
      <c r="L136" s="5" t="str">
        <f t="shared" ref="L136:M136" si="274">IFS(J136="-", "-", J136=H136, "Final", J136=1, "Initial", J136&gt;1, "Medial")</f>
        <v>Final</v>
      </c>
      <c r="M136" s="44" t="str">
        <f t="shared" si="274"/>
        <v>Medial</v>
      </c>
      <c r="N136" s="5" t="str">
        <f t="shared" si="5"/>
        <v>ˈlũŋ</v>
      </c>
      <c r="O136" s="5">
        <f t="shared" si="6"/>
        <v>2</v>
      </c>
      <c r="P136" s="5" t="str">
        <f t="shared" si="7"/>
        <v>ˈlĩ</v>
      </c>
      <c r="Q136" s="5">
        <f t="shared" si="8"/>
        <v>2</v>
      </c>
      <c r="R136" s="5"/>
      <c r="S136" s="3" t="s">
        <v>444</v>
      </c>
      <c r="T136" s="3" t="s">
        <v>445</v>
      </c>
      <c r="U136" s="3" t="s">
        <v>22</v>
      </c>
      <c r="V136" s="5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>
      <c r="A137" s="3" t="s">
        <v>14</v>
      </c>
      <c r="B137" s="3" t="s">
        <v>447</v>
      </c>
      <c r="C137" s="3" t="s">
        <v>448</v>
      </c>
      <c r="D137" s="3" t="s">
        <v>449</v>
      </c>
      <c r="E137" s="3" t="s">
        <v>450</v>
      </c>
      <c r="F137" s="3" t="s">
        <v>451</v>
      </c>
      <c r="G137" s="3" t="s">
        <v>452</v>
      </c>
      <c r="H137" s="43">
        <f t="shared" ref="H137:I137" si="275">LEN(D137)-LEN(B137)+1</f>
        <v>2</v>
      </c>
      <c r="I137" s="43">
        <f t="shared" si="275"/>
        <v>2</v>
      </c>
      <c r="J137" s="4">
        <v>1.0</v>
      </c>
      <c r="K137" s="4">
        <v>2.0</v>
      </c>
      <c r="L137" s="5" t="str">
        <f t="shared" ref="L137:M137" si="276">IFS(J137="-", "-", J137=H137, "Final", J137=1, "Initial", J137&gt;1, "Medial")</f>
        <v>Initial</v>
      </c>
      <c r="M137" s="44" t="str">
        <f t="shared" si="276"/>
        <v>Final</v>
      </c>
      <c r="N137" s="5" t="str">
        <f t="shared" si="5"/>
        <v>0</v>
      </c>
      <c r="O137" s="5" t="str">
        <f t="shared" si="6"/>
        <v>mɐ</v>
      </c>
      <c r="P137" s="5" t="str">
        <f t="shared" si="7"/>
        <v>0</v>
      </c>
      <c r="Q137" s="5" t="str">
        <f t="shared" si="8"/>
        <v>mɐ</v>
      </c>
      <c r="R137" s="5"/>
      <c r="S137" s="3" t="s">
        <v>453</v>
      </c>
      <c r="T137" s="3" t="s">
        <v>454</v>
      </c>
      <c r="U137" s="3" t="s">
        <v>22</v>
      </c>
      <c r="V137" s="5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>
      <c r="A138" s="3" t="s">
        <v>14</v>
      </c>
      <c r="B138" s="3" t="s">
        <v>447</v>
      </c>
      <c r="C138" s="3" t="s">
        <v>448</v>
      </c>
      <c r="D138" s="3" t="s">
        <v>449</v>
      </c>
      <c r="E138" s="3" t="s">
        <v>450</v>
      </c>
      <c r="F138" s="3" t="s">
        <v>158</v>
      </c>
      <c r="G138" s="3" t="s">
        <v>158</v>
      </c>
      <c r="H138" s="43">
        <f t="shared" ref="H138:I138" si="277">LEN(D138)-LEN(B138)+1</f>
        <v>2</v>
      </c>
      <c r="I138" s="43">
        <f t="shared" si="277"/>
        <v>2</v>
      </c>
      <c r="J138" s="4">
        <v>1.0</v>
      </c>
      <c r="K138" s="4">
        <v>2.0</v>
      </c>
      <c r="L138" s="5" t="str">
        <f t="shared" ref="L138:M138" si="278">IFS(J138="-", "-", J138=H138, "Final", J138=1, "Initial", J138&gt;1, "Medial")</f>
        <v>Initial</v>
      </c>
      <c r="M138" s="44" t="str">
        <f t="shared" si="278"/>
        <v>Final</v>
      </c>
      <c r="N138" s="5" t="str">
        <f t="shared" si="5"/>
        <v>ˈma</v>
      </c>
      <c r="O138" s="5">
        <f t="shared" si="6"/>
        <v>1</v>
      </c>
      <c r="P138" s="5" t="str">
        <f t="shared" si="7"/>
        <v>ˈmɐ</v>
      </c>
      <c r="Q138" s="5">
        <f t="shared" si="8"/>
        <v>2</v>
      </c>
      <c r="R138" s="5"/>
      <c r="S138" s="3" t="s">
        <v>453</v>
      </c>
      <c r="T138" s="3" t="s">
        <v>454</v>
      </c>
      <c r="U138" s="3" t="s">
        <v>22</v>
      </c>
      <c r="V138" s="5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>
      <c r="A139" s="3" t="s">
        <v>14</v>
      </c>
      <c r="B139" s="3" t="s">
        <v>455</v>
      </c>
      <c r="C139" s="3" t="s">
        <v>163</v>
      </c>
      <c r="D139" s="3" t="s">
        <v>456</v>
      </c>
      <c r="E139" s="3" t="s">
        <v>163</v>
      </c>
      <c r="F139" s="3" t="s">
        <v>128</v>
      </c>
      <c r="G139" s="15" t="s">
        <v>36</v>
      </c>
      <c r="H139" s="43">
        <f t="shared" ref="H139:I139" si="279">LEN(D139)-LEN(B139)+1</f>
        <v>2</v>
      </c>
      <c r="I139" s="43">
        <f t="shared" si="279"/>
        <v>1</v>
      </c>
      <c r="J139" s="4">
        <v>1.0</v>
      </c>
      <c r="K139" s="4" t="s">
        <v>36</v>
      </c>
      <c r="L139" s="5" t="str">
        <f t="shared" ref="L139:M139" si="280">IFS(J139="-", "-", J139=H139, "Final", J139=1, "Initial", J139&gt;1, "Medial")</f>
        <v>Initial</v>
      </c>
      <c r="M139" s="44" t="str">
        <f t="shared" si="280"/>
        <v>-</v>
      </c>
      <c r="N139" s="5" t="str">
        <f t="shared" si="5"/>
        <v>0</v>
      </c>
      <c r="O139" s="5" t="str">
        <f t="shared" si="6"/>
        <v>ˈmɐ̃</v>
      </c>
      <c r="P139" s="5" t="str">
        <f t="shared" si="7"/>
        <v>0</v>
      </c>
      <c r="Q139" s="5" t="str">
        <f t="shared" si="8"/>
        <v>ˈmɐ̃w̃</v>
      </c>
      <c r="R139" s="3"/>
      <c r="S139" s="3" t="s">
        <v>457</v>
      </c>
      <c r="T139" s="3" t="s">
        <v>457</v>
      </c>
      <c r="U139" s="3" t="s">
        <v>22</v>
      </c>
      <c r="V139" s="5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>
      <c r="A140" s="3" t="s">
        <v>14</v>
      </c>
      <c r="B140" s="3" t="s">
        <v>455</v>
      </c>
      <c r="C140" s="3" t="s">
        <v>163</v>
      </c>
      <c r="D140" s="3" t="s">
        <v>456</v>
      </c>
      <c r="E140" s="3" t="s">
        <v>163</v>
      </c>
      <c r="F140" s="3" t="s">
        <v>162</v>
      </c>
      <c r="G140" s="15" t="s">
        <v>163</v>
      </c>
      <c r="H140" s="43">
        <f t="shared" ref="H140:I140" si="281">LEN(D140)-LEN(B140)+1</f>
        <v>2</v>
      </c>
      <c r="I140" s="43">
        <f t="shared" si="281"/>
        <v>1</v>
      </c>
      <c r="J140" s="4">
        <v>2.0</v>
      </c>
      <c r="K140" s="4">
        <v>1.0</v>
      </c>
      <c r="L140" s="5" t="str">
        <f t="shared" ref="L140:M140" si="282">IFS(J140="-", "-", J140=H140, "Final", J140=1, "Initial", J140&gt;1, "Medial")</f>
        <v>Final</v>
      </c>
      <c r="M140" s="44" t="str">
        <f t="shared" si="282"/>
        <v>Final</v>
      </c>
      <c r="N140" s="5" t="str">
        <f t="shared" si="5"/>
        <v>u</v>
      </c>
      <c r="O140" s="5">
        <f t="shared" si="6"/>
        <v>2</v>
      </c>
      <c r="P140" s="5" t="str">
        <f t="shared" si="7"/>
        <v>-</v>
      </c>
      <c r="Q140" s="5">
        <f t="shared" si="8"/>
        <v>1</v>
      </c>
      <c r="R140" s="3"/>
      <c r="S140" s="3" t="s">
        <v>457</v>
      </c>
      <c r="T140" s="3" t="s">
        <v>457</v>
      </c>
      <c r="U140" s="3" t="s">
        <v>22</v>
      </c>
      <c r="V140" s="5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>
      <c r="A141" s="3" t="s">
        <v>14</v>
      </c>
      <c r="B141" s="3" t="s">
        <v>458</v>
      </c>
      <c r="C141" s="3" t="s">
        <v>459</v>
      </c>
      <c r="D141" s="6" t="s">
        <v>460</v>
      </c>
      <c r="E141" s="3" t="s">
        <v>461</v>
      </c>
      <c r="F141" s="6" t="s">
        <v>36</v>
      </c>
      <c r="G141" s="3" t="s">
        <v>462</v>
      </c>
      <c r="H141" s="43">
        <f t="shared" ref="H141:I141" si="283">LEN(D141)-LEN(B141)+1</f>
        <v>2</v>
      </c>
      <c r="I141" s="43">
        <f t="shared" si="283"/>
        <v>3</v>
      </c>
      <c r="J141" s="4" t="s">
        <v>36</v>
      </c>
      <c r="K141" s="4">
        <v>1.0</v>
      </c>
      <c r="L141" s="5" t="str">
        <f t="shared" ref="L141:M141" si="284">IFS(J141="-", "-", J141=H141, "Final", J141=1, "Initial", J141&gt;1, "Medial")</f>
        <v>-</v>
      </c>
      <c r="M141" s="44" t="str">
        <f t="shared" si="284"/>
        <v>Initial</v>
      </c>
      <c r="N141" s="5" t="str">
        <f t="shared" si="5"/>
        <v>0</v>
      </c>
      <c r="O141" s="5" t="str">
        <f t="shared" si="6"/>
        <v>ˈmbi</v>
      </c>
      <c r="P141" s="5" t="str">
        <f t="shared" si="7"/>
        <v>0</v>
      </c>
      <c r="Q141" s="5" t="str">
        <f t="shared" si="8"/>
        <v>ˈbi</v>
      </c>
      <c r="R141" s="3"/>
      <c r="S141" s="3" t="s">
        <v>463</v>
      </c>
      <c r="T141" s="3" t="s">
        <v>464</v>
      </c>
      <c r="U141" s="3" t="s">
        <v>22</v>
      </c>
      <c r="V141" s="5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>
      <c r="A142" s="3" t="s">
        <v>14</v>
      </c>
      <c r="B142" s="3" t="s">
        <v>458</v>
      </c>
      <c r="C142" s="3" t="s">
        <v>459</v>
      </c>
      <c r="D142" s="6" t="s">
        <v>460</v>
      </c>
      <c r="E142" s="3" t="s">
        <v>461</v>
      </c>
      <c r="F142" s="6" t="s">
        <v>465</v>
      </c>
      <c r="G142" s="3" t="s">
        <v>466</v>
      </c>
      <c r="H142" s="43">
        <f t="shared" ref="H142:I142" si="285">LEN(D142)-LEN(B142)+1</f>
        <v>2</v>
      </c>
      <c r="I142" s="43">
        <f t="shared" si="285"/>
        <v>3</v>
      </c>
      <c r="J142" s="4">
        <v>1.0</v>
      </c>
      <c r="K142" s="4">
        <v>2.0</v>
      </c>
      <c r="L142" s="5" t="str">
        <f t="shared" ref="L142:M142" si="286">IFS(J142="-", "-", J142=H142, "Final", J142=1, "Initial", J142&gt;1, "Medial")</f>
        <v>Initial</v>
      </c>
      <c r="M142" s="44" t="str">
        <f t="shared" si="286"/>
        <v>Medial</v>
      </c>
      <c r="N142" s="5" t="str">
        <f t="shared" si="5"/>
        <v>-</v>
      </c>
      <c r="O142" s="5" t="str">
        <f t="shared" si="6"/>
        <v>gu</v>
      </c>
      <c r="P142" s="5" t="str">
        <f t="shared" si="7"/>
        <v>ũ</v>
      </c>
      <c r="Q142" s="5" t="str">
        <f t="shared" si="8"/>
        <v>gu</v>
      </c>
      <c r="R142" s="3" t="s">
        <v>467</v>
      </c>
      <c r="S142" s="3" t="s">
        <v>463</v>
      </c>
      <c r="T142" s="3" t="s">
        <v>464</v>
      </c>
      <c r="U142" s="3" t="s">
        <v>22</v>
      </c>
      <c r="V142" s="5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>
      <c r="A143" s="3" t="s">
        <v>14</v>
      </c>
      <c r="B143" s="3" t="s">
        <v>458</v>
      </c>
      <c r="C143" s="3" t="s">
        <v>459</v>
      </c>
      <c r="D143" s="6" t="s">
        <v>460</v>
      </c>
      <c r="E143" s="3" t="s">
        <v>461</v>
      </c>
      <c r="F143" s="6" t="s">
        <v>98</v>
      </c>
      <c r="G143" s="3" t="s">
        <v>98</v>
      </c>
      <c r="H143" s="43">
        <f t="shared" ref="H143:I143" si="287">LEN(D143)-LEN(B143)+1</f>
        <v>2</v>
      </c>
      <c r="I143" s="43">
        <f t="shared" si="287"/>
        <v>3</v>
      </c>
      <c r="J143" s="4">
        <v>2.0</v>
      </c>
      <c r="K143" s="4">
        <v>3.0</v>
      </c>
      <c r="L143" s="5" t="str">
        <f t="shared" ref="L143:M143" si="288">IFS(J143="-", "-", J143=H143, "Final", J143=1, "Initial", J143&gt;1, "Medial")</f>
        <v>Final</v>
      </c>
      <c r="M143" s="44" t="str">
        <f t="shared" si="288"/>
        <v>Final</v>
      </c>
      <c r="N143" s="5" t="str">
        <f t="shared" si="5"/>
        <v>ˈmbi</v>
      </c>
      <c r="O143" s="5">
        <f t="shared" si="6"/>
        <v>2</v>
      </c>
      <c r="P143" s="5" t="str">
        <f t="shared" si="7"/>
        <v>ˈbi</v>
      </c>
      <c r="Q143" s="5">
        <f t="shared" si="8"/>
        <v>3</v>
      </c>
      <c r="R143" s="3"/>
      <c r="S143" s="3" t="s">
        <v>463</v>
      </c>
      <c r="T143" s="3" t="s">
        <v>464</v>
      </c>
      <c r="U143" s="3" t="s">
        <v>22</v>
      </c>
      <c r="V143" s="5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>
      <c r="A144" s="3" t="s">
        <v>14</v>
      </c>
      <c r="B144" s="3" t="s">
        <v>468</v>
      </c>
      <c r="C144" s="3" t="s">
        <v>469</v>
      </c>
      <c r="D144" s="3" t="s">
        <v>470</v>
      </c>
      <c r="E144" s="3" t="s">
        <v>469</v>
      </c>
      <c r="F144" s="3" t="s">
        <v>471</v>
      </c>
      <c r="G144" s="15" t="s">
        <v>36</v>
      </c>
      <c r="H144" s="43">
        <f t="shared" ref="H144:I144" si="289">LEN(D144)-LEN(B144)+1</f>
        <v>2</v>
      </c>
      <c r="I144" s="43">
        <f t="shared" si="289"/>
        <v>1</v>
      </c>
      <c r="J144" s="4">
        <v>1.0</v>
      </c>
      <c r="K144" s="4" t="s">
        <v>36</v>
      </c>
      <c r="L144" s="5" t="str">
        <f t="shared" ref="L144:M144" si="290">IFS(J144="-", "-", J144=H144, "Final", J144=1, "Initial", J144&gt;1, "Medial")</f>
        <v>Initial</v>
      </c>
      <c r="M144" s="44" t="str">
        <f t="shared" si="290"/>
        <v>-</v>
      </c>
      <c r="N144" s="5" t="str">
        <f t="shared" si="5"/>
        <v>0</v>
      </c>
      <c r="O144" s="5" t="str">
        <f t="shared" si="6"/>
        <v>ˈpɛ</v>
      </c>
      <c r="P144" s="5" t="str">
        <f t="shared" si="7"/>
        <v>0</v>
      </c>
      <c r="Q144" s="5" t="str">
        <f t="shared" si="8"/>
        <v>ˈpɛ</v>
      </c>
      <c r="R144" s="5"/>
      <c r="S144" s="3" t="s">
        <v>472</v>
      </c>
      <c r="T144" s="3" t="s">
        <v>473</v>
      </c>
      <c r="U144" s="3" t="s">
        <v>22</v>
      </c>
      <c r="V144" s="5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>
      <c r="A145" s="3" t="s">
        <v>14</v>
      </c>
      <c r="B145" s="3" t="s">
        <v>468</v>
      </c>
      <c r="C145" s="3" t="s">
        <v>469</v>
      </c>
      <c r="D145" s="3" t="s">
        <v>470</v>
      </c>
      <c r="E145" s="3" t="s">
        <v>469</v>
      </c>
      <c r="F145" s="3" t="s">
        <v>469</v>
      </c>
      <c r="G145" s="3" t="s">
        <v>469</v>
      </c>
      <c r="H145" s="43">
        <f t="shared" ref="H145:I145" si="291">LEN(D145)-LEN(B145)+1</f>
        <v>2</v>
      </c>
      <c r="I145" s="43">
        <f t="shared" si="291"/>
        <v>1</v>
      </c>
      <c r="J145" s="4">
        <v>2.0</v>
      </c>
      <c r="K145" s="4">
        <v>1.0</v>
      </c>
      <c r="L145" s="5" t="str">
        <f t="shared" ref="L145:M145" si="292">IFS(J145="-", "-", J145=H145, "Final", J145=1, "Initial", J145&gt;1, "Medial")</f>
        <v>Final</v>
      </c>
      <c r="M145" s="44" t="str">
        <f t="shared" si="292"/>
        <v>Final</v>
      </c>
      <c r="N145" s="5" t="str">
        <f t="shared" si="5"/>
        <v>ɔ</v>
      </c>
      <c r="O145" s="5">
        <f t="shared" si="6"/>
        <v>2</v>
      </c>
      <c r="P145" s="5" t="str">
        <f t="shared" si="7"/>
        <v>-</v>
      </c>
      <c r="Q145" s="5">
        <f t="shared" si="8"/>
        <v>1</v>
      </c>
      <c r="R145" s="5"/>
      <c r="S145" s="3" t="s">
        <v>472</v>
      </c>
      <c r="T145" s="3" t="s">
        <v>473</v>
      </c>
      <c r="U145" s="3" t="s">
        <v>22</v>
      </c>
      <c r="V145" s="5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>
      <c r="A146" s="3" t="s">
        <v>14</v>
      </c>
      <c r="B146" s="3" t="s">
        <v>474</v>
      </c>
      <c r="C146" s="3" t="s">
        <v>475</v>
      </c>
      <c r="D146" s="3" t="s">
        <v>476</v>
      </c>
      <c r="E146" s="3" t="s">
        <v>477</v>
      </c>
      <c r="F146" s="3" t="s">
        <v>128</v>
      </c>
      <c r="G146" s="3" t="s">
        <v>29</v>
      </c>
      <c r="H146" s="43">
        <f t="shared" ref="H146:I146" si="293">LEN(D146)-LEN(B146)+1</f>
        <v>2</v>
      </c>
      <c r="I146" s="43">
        <f t="shared" si="293"/>
        <v>3</v>
      </c>
      <c r="J146" s="4">
        <v>1.0</v>
      </c>
      <c r="K146" s="4">
        <v>1.0</v>
      </c>
      <c r="L146" s="5" t="str">
        <f t="shared" ref="L146:M146" si="294">IFS(J146="-", "-", J146=H146, "Final", J146=1, "Initial", J146&gt;1, "Medial")</f>
        <v>Initial</v>
      </c>
      <c r="M146" s="44" t="str">
        <f t="shared" si="294"/>
        <v>Initial</v>
      </c>
      <c r="N146" s="5" t="str">
        <f t="shared" si="5"/>
        <v>0</v>
      </c>
      <c r="O146" s="5" t="str">
        <f t="shared" si="6"/>
        <v>-</v>
      </c>
      <c r="P146" s="5" t="str">
        <f t="shared" si="7"/>
        <v>0</v>
      </c>
      <c r="Q146" s="5" t="str">
        <f t="shared" si="8"/>
        <v>ˈɾɐ</v>
      </c>
      <c r="R146" s="3" t="s">
        <v>467</v>
      </c>
      <c r="S146" s="3" t="s">
        <v>478</v>
      </c>
      <c r="T146" s="3" t="s">
        <v>479</v>
      </c>
      <c r="U146" s="3" t="s">
        <v>22</v>
      </c>
      <c r="V146" s="5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>
      <c r="A147" s="3" t="s">
        <v>14</v>
      </c>
      <c r="B147" s="3" t="s">
        <v>474</v>
      </c>
      <c r="C147" s="3" t="s">
        <v>475</v>
      </c>
      <c r="D147" s="3" t="s">
        <v>476</v>
      </c>
      <c r="E147" s="3" t="s">
        <v>477</v>
      </c>
      <c r="F147" s="3" t="s">
        <v>36</v>
      </c>
      <c r="G147" s="3" t="s">
        <v>480</v>
      </c>
      <c r="H147" s="43">
        <f t="shared" ref="H147:I147" si="295">LEN(D147)-LEN(B147)+1</f>
        <v>2</v>
      </c>
      <c r="I147" s="43">
        <f t="shared" si="295"/>
        <v>3</v>
      </c>
      <c r="J147" s="4" t="s">
        <v>36</v>
      </c>
      <c r="K147" s="4">
        <v>2.0</v>
      </c>
      <c r="L147" s="5" t="str">
        <f t="shared" ref="L147:M147" si="296">IFS(J147="-", "-", J147=H147, "Final", J147=1, "Initial", J147&gt;1, "Medial")</f>
        <v>-</v>
      </c>
      <c r="M147" s="44" t="str">
        <f t="shared" si="296"/>
        <v>Medial</v>
      </c>
      <c r="N147" s="5" t="str">
        <f t="shared" si="5"/>
        <v>u</v>
      </c>
      <c r="O147" s="5" t="str">
        <f t="shared" si="6"/>
        <v>ˈrja</v>
      </c>
      <c r="P147" s="5" t="str">
        <f t="shared" si="7"/>
        <v>o</v>
      </c>
      <c r="Q147" s="5" t="str">
        <f t="shared" si="8"/>
        <v>ʎɐ</v>
      </c>
      <c r="R147" s="3"/>
      <c r="S147" s="3" t="s">
        <v>478</v>
      </c>
      <c r="T147" s="3" t="s">
        <v>479</v>
      </c>
      <c r="U147" s="3" t="s">
        <v>22</v>
      </c>
      <c r="V147" s="5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>
      <c r="A148" s="3" t="s">
        <v>14</v>
      </c>
      <c r="B148" s="3" t="s">
        <v>474</v>
      </c>
      <c r="C148" s="3" t="s">
        <v>475</v>
      </c>
      <c r="D148" s="3" t="s">
        <v>476</v>
      </c>
      <c r="E148" s="3" t="s">
        <v>477</v>
      </c>
      <c r="F148" s="3" t="s">
        <v>481</v>
      </c>
      <c r="G148" s="3" t="s">
        <v>482</v>
      </c>
      <c r="H148" s="43">
        <f t="shared" ref="H148:I148" si="297">LEN(D148)-LEN(B148)+1</f>
        <v>2</v>
      </c>
      <c r="I148" s="43">
        <f t="shared" si="297"/>
        <v>3</v>
      </c>
      <c r="J148" s="4">
        <v>2.0</v>
      </c>
      <c r="K148" s="4">
        <v>3.0</v>
      </c>
      <c r="L148" s="5" t="str">
        <f t="shared" ref="L148:M148" si="298">IFS(J148="-", "-", J148=H148, "Final", J148=1, "Initial", J148&gt;1, "Medial")</f>
        <v>Final</v>
      </c>
      <c r="M148" s="44" t="str">
        <f t="shared" si="298"/>
        <v>Final</v>
      </c>
      <c r="N148" s="5" t="str">
        <f t="shared" si="5"/>
        <v>-</v>
      </c>
      <c r="O148" s="5">
        <f t="shared" si="6"/>
        <v>2</v>
      </c>
      <c r="P148" s="5" t="str">
        <f t="shared" si="7"/>
        <v>ˈɾɐ</v>
      </c>
      <c r="Q148" s="5">
        <f t="shared" si="8"/>
        <v>3</v>
      </c>
      <c r="R148" s="5"/>
      <c r="S148" s="3" t="s">
        <v>478</v>
      </c>
      <c r="T148" s="3" t="s">
        <v>479</v>
      </c>
      <c r="U148" s="3" t="s">
        <v>22</v>
      </c>
      <c r="V148" s="5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>
      <c r="A149" s="3" t="s">
        <v>14</v>
      </c>
      <c r="B149" s="3" t="s">
        <v>483</v>
      </c>
      <c r="C149" s="3" t="s">
        <v>484</v>
      </c>
      <c r="D149" s="3" t="s">
        <v>485</v>
      </c>
      <c r="E149" s="3" t="s">
        <v>486</v>
      </c>
      <c r="F149" s="3" t="s">
        <v>173</v>
      </c>
      <c r="G149" s="3" t="s">
        <v>219</v>
      </c>
      <c r="H149" s="43">
        <f t="shared" ref="H149:I149" si="299">LEN(D149)-LEN(B149)+1</f>
        <v>2</v>
      </c>
      <c r="I149" s="43">
        <f t="shared" si="299"/>
        <v>2</v>
      </c>
      <c r="J149" s="4">
        <v>1.0</v>
      </c>
      <c r="K149" s="4">
        <v>1.0</v>
      </c>
      <c r="L149" s="5" t="str">
        <f t="shared" ref="L149:M149" si="300">IFS(J149="-", "-", J149=H149, "Final", J149=1, "Initial", J149&gt;1, "Medial")</f>
        <v>Initial</v>
      </c>
      <c r="M149" s="44" t="str">
        <f t="shared" si="300"/>
        <v>Initial</v>
      </c>
      <c r="N149" s="5" t="str">
        <f t="shared" si="5"/>
        <v>0</v>
      </c>
      <c r="O149" s="5" t="str">
        <f t="shared" si="6"/>
        <v>su</v>
      </c>
      <c r="P149" s="5" t="str">
        <f t="shared" si="7"/>
        <v>0</v>
      </c>
      <c r="Q149" s="5" t="str">
        <f t="shared" si="8"/>
        <v>su</v>
      </c>
      <c r="R149" s="5"/>
      <c r="S149" s="3" t="s">
        <v>487</v>
      </c>
      <c r="T149" s="3" t="s">
        <v>488</v>
      </c>
      <c r="U149" s="3" t="s">
        <v>22</v>
      </c>
      <c r="V149" s="5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>
      <c r="A150" s="3" t="s">
        <v>14</v>
      </c>
      <c r="B150" s="3" t="s">
        <v>483</v>
      </c>
      <c r="C150" s="3" t="s">
        <v>484</v>
      </c>
      <c r="D150" s="3" t="s">
        <v>485</v>
      </c>
      <c r="E150" s="3" t="s">
        <v>486</v>
      </c>
      <c r="F150" s="3" t="s">
        <v>362</v>
      </c>
      <c r="G150" s="3" t="s">
        <v>362</v>
      </c>
      <c r="H150" s="43">
        <f t="shared" ref="H150:I150" si="301">LEN(D150)-LEN(B150)+1</f>
        <v>2</v>
      </c>
      <c r="I150" s="43">
        <f t="shared" si="301"/>
        <v>2</v>
      </c>
      <c r="J150" s="4">
        <v>2.0</v>
      </c>
      <c r="K150" s="4">
        <v>2.0</v>
      </c>
      <c r="L150" s="5" t="str">
        <f t="shared" ref="L150:M150" si="302">IFS(J150="-", "-", J150=H150, "Final", J150=1, "Initial", J150&gt;1, "Medial")</f>
        <v>Final</v>
      </c>
      <c r="M150" s="44" t="str">
        <f t="shared" si="302"/>
        <v>Final</v>
      </c>
      <c r="N150" s="5" t="str">
        <f t="shared" si="5"/>
        <v>ˈɔ</v>
      </c>
      <c r="O150" s="5">
        <f t="shared" si="6"/>
        <v>2</v>
      </c>
      <c r="P150" s="5" t="str">
        <f t="shared" si="7"/>
        <v>ˈo</v>
      </c>
      <c r="Q150" s="5">
        <f t="shared" si="8"/>
        <v>2</v>
      </c>
      <c r="R150" s="5"/>
      <c r="S150" s="3" t="s">
        <v>487</v>
      </c>
      <c r="T150" s="3" t="s">
        <v>488</v>
      </c>
      <c r="U150" s="3" t="s">
        <v>22</v>
      </c>
      <c r="V150" s="5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>
      <c r="A151" s="3" t="s">
        <v>14</v>
      </c>
      <c r="B151" s="3" t="s">
        <v>489</v>
      </c>
      <c r="C151" s="3" t="s">
        <v>490</v>
      </c>
      <c r="D151" s="3" t="s">
        <v>491</v>
      </c>
      <c r="E151" s="3" t="s">
        <v>492</v>
      </c>
      <c r="F151" s="3" t="s">
        <v>29</v>
      </c>
      <c r="G151" s="3" t="s">
        <v>36</v>
      </c>
      <c r="H151" s="43">
        <f t="shared" ref="H151:I151" si="303">LEN(D151)-LEN(B151)+1</f>
        <v>2</v>
      </c>
      <c r="I151" s="43">
        <f t="shared" si="303"/>
        <v>3</v>
      </c>
      <c r="J151" s="4">
        <v>1.0</v>
      </c>
      <c r="K151" s="4" t="s">
        <v>36</v>
      </c>
      <c r="L151" s="5" t="str">
        <f t="shared" ref="L151:M151" si="304">IFS(J151="-", "-", J151=H151, "Final", J151=1, "Initial", J151&gt;1, "Medial")</f>
        <v>Initial</v>
      </c>
      <c r="M151" s="44" t="str">
        <f t="shared" si="304"/>
        <v>-</v>
      </c>
      <c r="N151" s="5" t="str">
        <f t="shared" si="5"/>
        <v>0</v>
      </c>
      <c r="O151" s="5" t="str">
        <f t="shared" si="6"/>
        <v>ˈze</v>
      </c>
      <c r="P151" s="5" t="str">
        <f t="shared" si="7"/>
        <v>0</v>
      </c>
      <c r="Q151" s="5" t="str">
        <f t="shared" si="8"/>
        <v>ʒu</v>
      </c>
      <c r="R151" s="3"/>
      <c r="S151" s="3" t="s">
        <v>493</v>
      </c>
      <c r="T151" s="3" t="s">
        <v>494</v>
      </c>
      <c r="U151" s="3" t="s">
        <v>22</v>
      </c>
      <c r="V151" s="5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>
      <c r="A152" s="3" t="s">
        <v>14</v>
      </c>
      <c r="B152" s="3" t="s">
        <v>489</v>
      </c>
      <c r="C152" s="3" t="s">
        <v>490</v>
      </c>
      <c r="D152" s="3" t="s">
        <v>491</v>
      </c>
      <c r="E152" s="3" t="s">
        <v>492</v>
      </c>
      <c r="F152" s="3" t="s">
        <v>290</v>
      </c>
      <c r="G152" s="3" t="s">
        <v>495</v>
      </c>
      <c r="H152" s="43">
        <f t="shared" ref="H152:I152" si="305">LEN(D152)-LEN(B152)+1</f>
        <v>2</v>
      </c>
      <c r="I152" s="43">
        <f t="shared" si="305"/>
        <v>3</v>
      </c>
      <c r="J152" s="4">
        <v>2.0</v>
      </c>
      <c r="K152" s="4">
        <v>1.0</v>
      </c>
      <c r="L152" s="5" t="str">
        <f t="shared" ref="L152:M152" si="306">IFS(J152="-", "-", J152=H152, "Final", J152=1, "Initial", J152&gt;1, "Medial")</f>
        <v>Final</v>
      </c>
      <c r="M152" s="44" t="str">
        <f t="shared" si="306"/>
        <v>Initial</v>
      </c>
      <c r="N152" s="5" t="str">
        <f t="shared" si="5"/>
        <v>o</v>
      </c>
      <c r="O152" s="5" t="str">
        <f t="shared" si="6"/>
        <v>-</v>
      </c>
      <c r="P152" s="5" t="str">
        <f t="shared" si="7"/>
        <v>-</v>
      </c>
      <c r="Q152" s="5" t="str">
        <f t="shared" si="8"/>
        <v>ˈɐ</v>
      </c>
      <c r="R152" s="3" t="s">
        <v>467</v>
      </c>
      <c r="S152" s="3" t="s">
        <v>493</v>
      </c>
      <c r="T152" s="3" t="s">
        <v>494</v>
      </c>
      <c r="U152" s="3" t="s">
        <v>22</v>
      </c>
      <c r="V152" s="5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>
      <c r="A153" s="3" t="s">
        <v>14</v>
      </c>
      <c r="B153" s="3" t="s">
        <v>489</v>
      </c>
      <c r="C153" s="3" t="s">
        <v>490</v>
      </c>
      <c r="D153" s="3" t="s">
        <v>491</v>
      </c>
      <c r="E153" s="3" t="s">
        <v>492</v>
      </c>
      <c r="F153" s="3" t="s">
        <v>36</v>
      </c>
      <c r="G153" s="3" t="s">
        <v>496</v>
      </c>
      <c r="H153" s="43">
        <f t="shared" ref="H153:I153" si="307">LEN(D153)-LEN(B153)+1</f>
        <v>2</v>
      </c>
      <c r="I153" s="43">
        <f t="shared" si="307"/>
        <v>3</v>
      </c>
      <c r="J153" s="4" t="s">
        <v>36</v>
      </c>
      <c r="K153" s="4">
        <v>2.0</v>
      </c>
      <c r="L153" s="5" t="str">
        <f t="shared" ref="L153:M153" si="308">IFS(J153="-", "-", J153=H153, "Final", J153=1, "Initial", J153&gt;1, "Medial")</f>
        <v>-</v>
      </c>
      <c r="M153" s="44" t="str">
        <f t="shared" si="308"/>
        <v>Medial</v>
      </c>
      <c r="N153" s="5" t="str">
        <f t="shared" si="5"/>
        <v>ˈze</v>
      </c>
      <c r="O153" s="5" t="str">
        <f t="shared" si="6"/>
        <v>-</v>
      </c>
      <c r="P153" s="5" t="str">
        <f t="shared" si="7"/>
        <v>ʒu</v>
      </c>
      <c r="Q153" s="5" t="str">
        <f t="shared" si="8"/>
        <v>ʎu</v>
      </c>
      <c r="R153" s="3"/>
      <c r="S153" s="3" t="s">
        <v>493</v>
      </c>
      <c r="T153" s="3" t="s">
        <v>494</v>
      </c>
      <c r="U153" s="3" t="s">
        <v>22</v>
      </c>
      <c r="V153" s="5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>
      <c r="A154" s="3" t="s">
        <v>14</v>
      </c>
      <c r="B154" s="3" t="s">
        <v>489</v>
      </c>
      <c r="C154" s="3" t="s">
        <v>490</v>
      </c>
      <c r="D154" s="3" t="s">
        <v>491</v>
      </c>
      <c r="E154" s="3" t="s">
        <v>492</v>
      </c>
      <c r="F154" s="17" t="s">
        <v>36</v>
      </c>
      <c r="G154" s="3" t="s">
        <v>24</v>
      </c>
      <c r="H154" s="43">
        <f t="shared" ref="H154:I154" si="309">LEN(D154)-LEN(B154)+1</f>
        <v>2</v>
      </c>
      <c r="I154" s="43">
        <f t="shared" si="309"/>
        <v>3</v>
      </c>
      <c r="J154" s="4" t="s">
        <v>36</v>
      </c>
      <c r="K154" s="4">
        <v>3.0</v>
      </c>
      <c r="L154" s="5" t="str">
        <f t="shared" ref="L154:M154" si="310">IFS(J154="-", "-", J154=H154, "Final", J154=1, "Initial", J154&gt;1, "Medial")</f>
        <v>-</v>
      </c>
      <c r="M154" s="44" t="str">
        <f t="shared" si="310"/>
        <v>Final</v>
      </c>
      <c r="N154" s="5" t="str">
        <f t="shared" si="5"/>
        <v>-</v>
      </c>
      <c r="O154" s="5" t="str">
        <f t="shared" si="6"/>
        <v>-</v>
      </c>
      <c r="P154" s="5" t="str">
        <f t="shared" si="7"/>
        <v>ˈɐ</v>
      </c>
      <c r="Q154" s="5">
        <f t="shared" si="8"/>
        <v>3</v>
      </c>
      <c r="R154" s="5"/>
      <c r="S154" s="3" t="s">
        <v>493</v>
      </c>
      <c r="T154" s="3" t="s">
        <v>494</v>
      </c>
      <c r="U154" s="3" t="s">
        <v>22</v>
      </c>
      <c r="V154" s="5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>
      <c r="A155" s="3" t="s">
        <v>14</v>
      </c>
      <c r="B155" s="3" t="s">
        <v>497</v>
      </c>
      <c r="C155" s="3" t="s">
        <v>498</v>
      </c>
      <c r="D155" s="3" t="s">
        <v>499</v>
      </c>
      <c r="E155" s="3" t="s">
        <v>500</v>
      </c>
      <c r="F155" s="3" t="s">
        <v>469</v>
      </c>
      <c r="G155" s="3" t="s">
        <v>317</v>
      </c>
      <c r="H155" s="43">
        <f t="shared" ref="H155:I155" si="311">LEN(D155)-LEN(B155)+1</f>
        <v>2</v>
      </c>
      <c r="I155" s="43">
        <f t="shared" si="311"/>
        <v>2</v>
      </c>
      <c r="J155" s="4">
        <v>1.0</v>
      </c>
      <c r="K155" s="4">
        <v>1.0</v>
      </c>
      <c r="L155" s="5" t="str">
        <f t="shared" ref="L155:M155" si="312">IFS(J155="-", "-", J155=H155, "Final", J155=1, "Initial", J155&gt;1, "Medial")</f>
        <v>Initial</v>
      </c>
      <c r="M155" s="44" t="str">
        <f t="shared" si="312"/>
        <v>Initial</v>
      </c>
      <c r="N155" s="5" t="str">
        <f t="shared" si="5"/>
        <v>0</v>
      </c>
      <c r="O155" s="5" t="str">
        <f t="shared" si="6"/>
        <v>li</v>
      </c>
      <c r="P155" s="5" t="str">
        <f t="shared" si="7"/>
        <v>0</v>
      </c>
      <c r="Q155" s="5" t="str">
        <f t="shared" si="8"/>
        <v>lɨ</v>
      </c>
      <c r="R155" s="5"/>
      <c r="S155" s="3" t="s">
        <v>501</v>
      </c>
      <c r="T155" s="3" t="s">
        <v>502</v>
      </c>
      <c r="U155" s="3" t="s">
        <v>22</v>
      </c>
      <c r="V155" s="5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>
      <c r="A156" s="3" t="s">
        <v>14</v>
      </c>
      <c r="B156" s="3" t="s">
        <v>497</v>
      </c>
      <c r="C156" s="3" t="s">
        <v>498</v>
      </c>
      <c r="D156" s="3" t="s">
        <v>499</v>
      </c>
      <c r="E156" s="3" t="s">
        <v>500</v>
      </c>
      <c r="F156" s="3" t="s">
        <v>197</v>
      </c>
      <c r="G156" s="3" t="s">
        <v>503</v>
      </c>
      <c r="H156" s="43">
        <f t="shared" ref="H156:I156" si="313">LEN(D156)-LEN(B156)+1</f>
        <v>2</v>
      </c>
      <c r="I156" s="43">
        <f t="shared" si="313"/>
        <v>2</v>
      </c>
      <c r="J156" s="4">
        <v>2.0</v>
      </c>
      <c r="K156" s="4">
        <v>2.0</v>
      </c>
      <c r="L156" s="5" t="str">
        <f t="shared" ref="L156:M156" si="314">IFS(J156="-", "-", J156=H156, "Final", J156=1, "Initial", J156&gt;1, "Medial")</f>
        <v>Final</v>
      </c>
      <c r="M156" s="44" t="str">
        <f t="shared" si="314"/>
        <v>Final</v>
      </c>
      <c r="N156" s="5" t="str">
        <f t="shared" si="5"/>
        <v>ˈpɛ</v>
      </c>
      <c r="O156" s="5">
        <f t="shared" si="6"/>
        <v>2</v>
      </c>
      <c r="P156" s="5" t="str">
        <f t="shared" si="7"/>
        <v>ˈpe</v>
      </c>
      <c r="Q156" s="5">
        <f t="shared" si="8"/>
        <v>2</v>
      </c>
      <c r="R156" s="5"/>
      <c r="S156" s="3" t="s">
        <v>501</v>
      </c>
      <c r="T156" s="3" t="s">
        <v>502</v>
      </c>
      <c r="U156" s="3" t="s">
        <v>22</v>
      </c>
      <c r="V156" s="5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>
      <c r="A157" s="3" t="s">
        <v>14</v>
      </c>
      <c r="B157" s="3" t="s">
        <v>504</v>
      </c>
      <c r="C157" s="3" t="s">
        <v>505</v>
      </c>
      <c r="D157" s="3" t="s">
        <v>506</v>
      </c>
      <c r="E157" s="3" t="s">
        <v>507</v>
      </c>
      <c r="F157" s="3" t="s">
        <v>508</v>
      </c>
      <c r="G157" s="3" t="s">
        <v>509</v>
      </c>
      <c r="H157" s="43">
        <f t="shared" ref="H157:I157" si="315">LEN(D157)-LEN(B157)+1</f>
        <v>2</v>
      </c>
      <c r="I157" s="43">
        <f t="shared" si="315"/>
        <v>2</v>
      </c>
      <c r="J157" s="4">
        <v>1.0</v>
      </c>
      <c r="K157" s="4">
        <v>1.0</v>
      </c>
      <c r="L157" s="5" t="str">
        <f t="shared" ref="L157:M157" si="316">IFS(J157="-", "-", J157=H157, "Final", J157=1, "Initial", J157&gt;1, "Medial")</f>
        <v>Initial</v>
      </c>
      <c r="M157" s="44" t="str">
        <f t="shared" si="316"/>
        <v>Initial</v>
      </c>
      <c r="N157" s="5" t="str">
        <f t="shared" si="5"/>
        <v>0</v>
      </c>
      <c r="O157" s="5" t="str">
        <f t="shared" si="6"/>
        <v>su</v>
      </c>
      <c r="P157" s="5" t="str">
        <f t="shared" si="7"/>
        <v>0</v>
      </c>
      <c r="Q157" s="5" t="str">
        <f t="shared" si="8"/>
        <v>su</v>
      </c>
      <c r="R157" s="5"/>
      <c r="S157" s="3" t="s">
        <v>510</v>
      </c>
      <c r="T157" s="3" t="s">
        <v>511</v>
      </c>
      <c r="U157" s="3" t="s">
        <v>22</v>
      </c>
      <c r="V157" s="5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>
      <c r="A158" s="3" t="s">
        <v>14</v>
      </c>
      <c r="B158" s="3" t="s">
        <v>504</v>
      </c>
      <c r="C158" s="3" t="s">
        <v>505</v>
      </c>
      <c r="D158" s="3" t="s">
        <v>506</v>
      </c>
      <c r="E158" s="3" t="s">
        <v>507</v>
      </c>
      <c r="F158" s="3" t="s">
        <v>362</v>
      </c>
      <c r="G158" s="3" t="s">
        <v>362</v>
      </c>
      <c r="H158" s="43">
        <f t="shared" ref="H158:I158" si="317">LEN(D158)-LEN(B158)+1</f>
        <v>2</v>
      </c>
      <c r="I158" s="43">
        <f t="shared" si="317"/>
        <v>2</v>
      </c>
      <c r="J158" s="4">
        <v>2.0</v>
      </c>
      <c r="K158" s="4">
        <v>2.0</v>
      </c>
      <c r="L158" s="5" t="str">
        <f t="shared" ref="L158:M158" si="318">IFS(J158="-", "-", J158=H158, "Final", J158=1, "Initial", J158&gt;1, "Medial")</f>
        <v>Final</v>
      </c>
      <c r="M158" s="44" t="str">
        <f t="shared" si="318"/>
        <v>Final</v>
      </c>
      <c r="N158" s="5" t="str">
        <f t="shared" si="5"/>
        <v>ˈpu</v>
      </c>
      <c r="O158" s="5">
        <f t="shared" si="6"/>
        <v>2</v>
      </c>
      <c r="P158" s="5" t="str">
        <f t="shared" si="7"/>
        <v>ˈpul</v>
      </c>
      <c r="Q158" s="5">
        <f t="shared" si="8"/>
        <v>2</v>
      </c>
      <c r="R158" s="5"/>
      <c r="S158" s="3" t="s">
        <v>510</v>
      </c>
      <c r="T158" s="3" t="s">
        <v>511</v>
      </c>
      <c r="U158" s="3" t="s">
        <v>22</v>
      </c>
      <c r="V158" s="5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>
      <c r="A159" s="3" t="s">
        <v>14</v>
      </c>
      <c r="B159" s="3" t="s">
        <v>512</v>
      </c>
      <c r="C159" s="3" t="s">
        <v>513</v>
      </c>
      <c r="D159" s="3" t="s">
        <v>514</v>
      </c>
      <c r="E159" s="3" t="s">
        <v>515</v>
      </c>
      <c r="F159" s="3" t="s">
        <v>437</v>
      </c>
      <c r="G159" s="3" t="s">
        <v>516</v>
      </c>
      <c r="H159" s="43">
        <f t="shared" ref="H159:I159" si="319">LEN(D159)-LEN(B159)+1</f>
        <v>3</v>
      </c>
      <c r="I159" s="43">
        <f t="shared" si="319"/>
        <v>2</v>
      </c>
      <c r="J159" s="4">
        <v>1.0</v>
      </c>
      <c r="K159" s="4">
        <v>1.0</v>
      </c>
      <c r="L159" s="5" t="str">
        <f t="shared" ref="L159:M159" si="320">IFS(J159="-", "-", J159=H159, "Final", J159=1, "Initial", J159&gt;1, "Medial")</f>
        <v>Initial</v>
      </c>
      <c r="M159" s="44" t="str">
        <f t="shared" si="320"/>
        <v>Initial</v>
      </c>
      <c r="N159" s="5" t="str">
        <f t="shared" si="5"/>
        <v>0</v>
      </c>
      <c r="O159" s="5" t="str">
        <f t="shared" si="6"/>
        <v>lu</v>
      </c>
      <c r="P159" s="5" t="str">
        <f t="shared" si="7"/>
        <v>0</v>
      </c>
      <c r="Q159" s="5" t="str">
        <f t="shared" si="8"/>
        <v>-</v>
      </c>
      <c r="R159" s="3" t="s">
        <v>72</v>
      </c>
      <c r="S159" s="3" t="s">
        <v>517</v>
      </c>
      <c r="T159" s="3" t="s">
        <v>518</v>
      </c>
      <c r="U159" s="3" t="s">
        <v>22</v>
      </c>
      <c r="V159" s="5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>
      <c r="A160" s="3" t="s">
        <v>14</v>
      </c>
      <c r="B160" s="3" t="s">
        <v>512</v>
      </c>
      <c r="C160" s="3" t="s">
        <v>513</v>
      </c>
      <c r="D160" s="3" t="s">
        <v>514</v>
      </c>
      <c r="E160" s="3" t="s">
        <v>515</v>
      </c>
      <c r="F160" s="3" t="s">
        <v>245</v>
      </c>
      <c r="G160" s="3" t="s">
        <v>36</v>
      </c>
      <c r="H160" s="43">
        <f t="shared" ref="H160:I160" si="321">LEN(D160)-LEN(B160)+1</f>
        <v>3</v>
      </c>
      <c r="I160" s="43">
        <f t="shared" si="321"/>
        <v>2</v>
      </c>
      <c r="J160" s="4">
        <v>2.0</v>
      </c>
      <c r="K160" s="4" t="s">
        <v>36</v>
      </c>
      <c r="L160" s="5" t="str">
        <f t="shared" ref="L160:M160" si="322">IFS(J160="-", "-", J160=H160, "Final", J160=1, "Initial", J160&gt;1, "Medial")</f>
        <v>Medial</v>
      </c>
      <c r="M160" s="44" t="str">
        <f t="shared" si="322"/>
        <v>-</v>
      </c>
      <c r="N160" s="5" t="str">
        <f t="shared" si="5"/>
        <v>pu</v>
      </c>
      <c r="O160" s="5" t="str">
        <f t="shared" si="6"/>
        <v>ˈmɐ̃</v>
      </c>
      <c r="P160" s="5" t="str">
        <f t="shared" si="7"/>
        <v>pul</v>
      </c>
      <c r="Q160" s="5" t="str">
        <f t="shared" si="8"/>
        <v>ˈmɐ̃w̃</v>
      </c>
      <c r="R160" s="3"/>
      <c r="S160" s="3" t="s">
        <v>517</v>
      </c>
      <c r="T160" s="3" t="s">
        <v>518</v>
      </c>
      <c r="U160" s="3" t="s">
        <v>22</v>
      </c>
      <c r="V160" s="5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>
      <c r="A161" s="3" t="s">
        <v>14</v>
      </c>
      <c r="B161" s="3" t="s">
        <v>512</v>
      </c>
      <c r="C161" s="3" t="s">
        <v>513</v>
      </c>
      <c r="D161" s="3" t="s">
        <v>514</v>
      </c>
      <c r="E161" s="3" t="s">
        <v>515</v>
      </c>
      <c r="F161" s="3" t="s">
        <v>162</v>
      </c>
      <c r="G161" s="3" t="s">
        <v>163</v>
      </c>
      <c r="H161" s="43">
        <f t="shared" ref="H161:I161" si="323">LEN(D161)-LEN(B161)+1</f>
        <v>3</v>
      </c>
      <c r="I161" s="43">
        <f t="shared" si="323"/>
        <v>2</v>
      </c>
      <c r="J161" s="4">
        <v>3.0</v>
      </c>
      <c r="K161" s="4">
        <v>2.0</v>
      </c>
      <c r="L161" s="5" t="str">
        <f t="shared" ref="L161:M161" si="324">IFS(J161="-", "-", J161=H161, "Final", J161=1, "Initial", J161&gt;1, "Medial")</f>
        <v>Final</v>
      </c>
      <c r="M161" s="44" t="str">
        <f t="shared" si="324"/>
        <v>Final</v>
      </c>
      <c r="N161" s="5" t="str">
        <f t="shared" si="5"/>
        <v>lu</v>
      </c>
      <c r="O161" s="5">
        <f t="shared" si="6"/>
        <v>3</v>
      </c>
      <c r="P161" s="5" t="str">
        <f t="shared" si="7"/>
        <v>-</v>
      </c>
      <c r="Q161" s="5">
        <f t="shared" si="8"/>
        <v>2</v>
      </c>
      <c r="R161" s="3"/>
      <c r="S161" s="3" t="s">
        <v>517</v>
      </c>
      <c r="T161" s="3" t="s">
        <v>518</v>
      </c>
      <c r="U161" s="3" t="s">
        <v>22</v>
      </c>
      <c r="V161" s="5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>
      <c r="A162" s="3" t="s">
        <v>14</v>
      </c>
      <c r="B162" s="3" t="s">
        <v>519</v>
      </c>
      <c r="C162" s="3" t="s">
        <v>520</v>
      </c>
      <c r="D162" s="3" t="s">
        <v>521</v>
      </c>
      <c r="E162" s="3" t="s">
        <v>522</v>
      </c>
      <c r="F162" s="3" t="s">
        <v>287</v>
      </c>
      <c r="G162" s="3" t="s">
        <v>65</v>
      </c>
      <c r="H162" s="43">
        <f t="shared" ref="H162:I162" si="325">LEN(D162)-LEN(B162)+1</f>
        <v>3</v>
      </c>
      <c r="I162" s="43">
        <f t="shared" si="325"/>
        <v>2</v>
      </c>
      <c r="J162" s="4">
        <v>1.0</v>
      </c>
      <c r="K162" s="4">
        <v>1.0</v>
      </c>
      <c r="L162" s="5" t="str">
        <f t="shared" ref="L162:M162" si="326">IFS(J162="-", "-", J162=H162, "Final", J162=1, "Initial", J162&gt;1, "Medial")</f>
        <v>Initial</v>
      </c>
      <c r="M162" s="44" t="str">
        <f t="shared" si="326"/>
        <v>Initial</v>
      </c>
      <c r="N162" s="5" t="str">
        <f t="shared" si="5"/>
        <v>0</v>
      </c>
      <c r="O162" s="5" t="str">
        <f t="shared" si="6"/>
        <v>ˈri</v>
      </c>
      <c r="P162" s="5" t="str">
        <f t="shared" si="7"/>
        <v>0</v>
      </c>
      <c r="Q162" s="5" t="str">
        <f t="shared" si="8"/>
        <v>ˈɾiʃ</v>
      </c>
      <c r="R162" s="5"/>
      <c r="S162" s="3" t="s">
        <v>523</v>
      </c>
      <c r="T162" s="3" t="s">
        <v>524</v>
      </c>
      <c r="U162" s="3" t="s">
        <v>22</v>
      </c>
      <c r="V162" s="5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>
      <c r="A163" s="3" t="s">
        <v>14</v>
      </c>
      <c r="B163" s="3" t="s">
        <v>519</v>
      </c>
      <c r="C163" s="3" t="s">
        <v>520</v>
      </c>
      <c r="D163" s="3" t="s">
        <v>521</v>
      </c>
      <c r="E163" s="3" t="s">
        <v>522</v>
      </c>
      <c r="F163" s="3" t="s">
        <v>525</v>
      </c>
      <c r="G163" s="3" t="s">
        <v>526</v>
      </c>
      <c r="H163" s="43">
        <f t="shared" ref="H163:I163" si="327">LEN(D163)-LEN(B163)+1</f>
        <v>3</v>
      </c>
      <c r="I163" s="43">
        <f t="shared" si="327"/>
        <v>2</v>
      </c>
      <c r="J163" s="4">
        <v>2.0</v>
      </c>
      <c r="K163" s="4">
        <v>2.0</v>
      </c>
      <c r="L163" s="5" t="str">
        <f t="shared" ref="L163:M163" si="328">IFS(J163="-", "-", J163=H163, "Final", J163=1, "Initial", J163&gt;1, "Medial")</f>
        <v>Medial</v>
      </c>
      <c r="M163" s="44" t="str">
        <f t="shared" si="328"/>
        <v>Final</v>
      </c>
      <c r="N163" s="5" t="str">
        <f t="shared" si="5"/>
        <v>i</v>
      </c>
      <c r="O163" s="5" t="str">
        <f t="shared" si="6"/>
        <v>ʃɪ</v>
      </c>
      <c r="P163" s="5" t="str">
        <f t="shared" si="7"/>
        <v>nɐ</v>
      </c>
      <c r="Q163" s="5" t="str">
        <f t="shared" si="8"/>
        <v>-</v>
      </c>
      <c r="R163" s="5"/>
      <c r="S163" s="3" t="s">
        <v>523</v>
      </c>
      <c r="T163" s="3" t="s">
        <v>524</v>
      </c>
      <c r="U163" s="3" t="s">
        <v>22</v>
      </c>
      <c r="V163" s="5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>
      <c r="A164" s="3" t="s">
        <v>14</v>
      </c>
      <c r="B164" s="3" t="s">
        <v>519</v>
      </c>
      <c r="C164" s="3" t="s">
        <v>520</v>
      </c>
      <c r="D164" s="3" t="s">
        <v>521</v>
      </c>
      <c r="E164" s="3" t="s">
        <v>522</v>
      </c>
      <c r="F164" s="3" t="s">
        <v>527</v>
      </c>
      <c r="G164" s="3" t="s">
        <v>36</v>
      </c>
      <c r="H164" s="43">
        <f t="shared" ref="H164:I164" si="329">LEN(D164)-LEN(B164)+1</f>
        <v>3</v>
      </c>
      <c r="I164" s="43">
        <f t="shared" si="329"/>
        <v>2</v>
      </c>
      <c r="J164" s="4">
        <v>3.0</v>
      </c>
      <c r="K164" s="4" t="s">
        <v>36</v>
      </c>
      <c r="L164" s="5" t="str">
        <f t="shared" ref="L164:M164" si="330">IFS(J164="-", "-", J164=H164, "Final", J164=1, "Initial", J164&gt;1, "Medial")</f>
        <v>Final</v>
      </c>
      <c r="M164" s="44" t="str">
        <f t="shared" si="330"/>
        <v>-</v>
      </c>
      <c r="N164" s="5" t="str">
        <f t="shared" si="5"/>
        <v>ˈri</v>
      </c>
      <c r="O164" s="5">
        <f t="shared" si="6"/>
        <v>3</v>
      </c>
      <c r="P164" s="5" t="str">
        <f t="shared" si="7"/>
        <v>ˈɾiʃ</v>
      </c>
      <c r="Q164" s="5" t="str">
        <f t="shared" si="8"/>
        <v>-</v>
      </c>
      <c r="R164" s="5"/>
      <c r="S164" s="3" t="s">
        <v>523</v>
      </c>
      <c r="T164" s="3" t="s">
        <v>524</v>
      </c>
      <c r="U164" s="3" t="s">
        <v>22</v>
      </c>
      <c r="V164" s="5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>
      <c r="A165" s="3" t="s">
        <v>14</v>
      </c>
      <c r="B165" s="3" t="s">
        <v>528</v>
      </c>
      <c r="C165" s="3" t="s">
        <v>529</v>
      </c>
      <c r="D165" s="3" t="s">
        <v>530</v>
      </c>
      <c r="E165" s="3" t="s">
        <v>531</v>
      </c>
      <c r="F165" s="3" t="s">
        <v>181</v>
      </c>
      <c r="G165" s="3" t="s">
        <v>181</v>
      </c>
      <c r="H165" s="43">
        <f t="shared" ref="H165:I165" si="331">LEN(D165)-LEN(B165)+1</f>
        <v>2</v>
      </c>
      <c r="I165" s="43">
        <f t="shared" si="331"/>
        <v>2</v>
      </c>
      <c r="J165" s="4">
        <v>1.0</v>
      </c>
      <c r="K165" s="4">
        <v>1.0</v>
      </c>
      <c r="L165" s="5" t="str">
        <f t="shared" ref="L165:M165" si="332">IFS(J165="-", "-", J165=H165, "Final", J165=1, "Initial", J165&gt;1, "Medial")</f>
        <v>Initial</v>
      </c>
      <c r="M165" s="44" t="str">
        <f t="shared" si="332"/>
        <v>Initial</v>
      </c>
      <c r="N165" s="5" t="str">
        <f t="shared" si="5"/>
        <v>0</v>
      </c>
      <c r="O165" s="5" t="str">
        <f t="shared" si="6"/>
        <v>gɪ</v>
      </c>
      <c r="P165" s="5" t="str">
        <f t="shared" si="7"/>
        <v>0</v>
      </c>
      <c r="Q165" s="5" t="str">
        <f t="shared" si="8"/>
        <v>ɡɨ</v>
      </c>
      <c r="R165" s="5"/>
      <c r="S165" s="3" t="s">
        <v>532</v>
      </c>
      <c r="T165" s="3" t="s">
        <v>533</v>
      </c>
      <c r="U165" s="3" t="s">
        <v>22</v>
      </c>
      <c r="V165" s="5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>
      <c r="A166" s="3" t="s">
        <v>14</v>
      </c>
      <c r="B166" s="3" t="s">
        <v>528</v>
      </c>
      <c r="C166" s="3" t="s">
        <v>529</v>
      </c>
      <c r="D166" s="3" t="s">
        <v>530</v>
      </c>
      <c r="E166" s="3" t="s">
        <v>531</v>
      </c>
      <c r="F166" s="3" t="s">
        <v>534</v>
      </c>
      <c r="G166" s="3" t="s">
        <v>535</v>
      </c>
      <c r="H166" s="43">
        <f t="shared" ref="H166:I166" si="333">LEN(D166)-LEN(B166)+1</f>
        <v>2</v>
      </c>
      <c r="I166" s="43">
        <f t="shared" si="333"/>
        <v>2</v>
      </c>
      <c r="J166" s="4">
        <v>2.0</v>
      </c>
      <c r="K166" s="4">
        <v>2.0</v>
      </c>
      <c r="L166" s="5" t="str">
        <f t="shared" ref="L166:M166" si="334">IFS(J166="-", "-", J166=H166, "Final", J166=1, "Initial", J166&gt;1, "Medial")</f>
        <v>Final</v>
      </c>
      <c r="M166" s="44" t="str">
        <f t="shared" si="334"/>
        <v>Final</v>
      </c>
      <c r="N166" s="5" t="str">
        <f t="shared" si="5"/>
        <v>ˈsɐ̃</v>
      </c>
      <c r="O166" s="5">
        <f t="shared" si="6"/>
        <v>2</v>
      </c>
      <c r="P166" s="5" t="str">
        <f t="shared" si="7"/>
        <v>ˈsɐ̃</v>
      </c>
      <c r="Q166" s="5">
        <f t="shared" si="8"/>
        <v>2</v>
      </c>
      <c r="R166" s="5"/>
      <c r="S166" s="3" t="s">
        <v>532</v>
      </c>
      <c r="T166" s="3" t="s">
        <v>533</v>
      </c>
      <c r="U166" s="3" t="s">
        <v>22</v>
      </c>
      <c r="V166" s="5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>
      <c r="A167" s="3" t="s">
        <v>14</v>
      </c>
      <c r="B167" s="3" t="s">
        <v>536</v>
      </c>
      <c r="C167" s="15" t="s">
        <v>537</v>
      </c>
      <c r="D167" s="3" t="s">
        <v>538</v>
      </c>
      <c r="E167" s="15" t="s">
        <v>539</v>
      </c>
      <c r="F167" s="3" t="s">
        <v>268</v>
      </c>
      <c r="G167" s="15" t="s">
        <v>269</v>
      </c>
      <c r="H167" s="43">
        <f t="shared" ref="H167:I167" si="335">LEN(D167)-LEN(B167)+1</f>
        <v>2</v>
      </c>
      <c r="I167" s="43">
        <f t="shared" si="335"/>
        <v>2</v>
      </c>
      <c r="J167" s="4">
        <v>1.0</v>
      </c>
      <c r="K167" s="4">
        <v>1.0</v>
      </c>
      <c r="L167" s="5" t="str">
        <f t="shared" ref="L167:M167" si="336">IFS(J167="-", "-", J167=H167, "Final", J167=1, "Initial", J167&gt;1, "Medial")</f>
        <v>Initial</v>
      </c>
      <c r="M167" s="44" t="str">
        <f t="shared" si="336"/>
        <v>Initial</v>
      </c>
      <c r="N167" s="5" t="str">
        <f t="shared" si="5"/>
        <v>0</v>
      </c>
      <c r="O167" s="5" t="str">
        <f t="shared" si="6"/>
        <v>pɐ</v>
      </c>
      <c r="P167" s="5" t="str">
        <f t="shared" si="7"/>
        <v>0</v>
      </c>
      <c r="Q167" s="5" t="str">
        <f t="shared" si="8"/>
        <v>pɐ</v>
      </c>
      <c r="R167" s="3"/>
      <c r="S167" s="15" t="s">
        <v>540</v>
      </c>
      <c r="T167" s="3" t="s">
        <v>541</v>
      </c>
      <c r="U167" s="3" t="s">
        <v>22</v>
      </c>
      <c r="V167" s="5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>
      <c r="A168" s="3" t="s">
        <v>14</v>
      </c>
      <c r="B168" s="3" t="s">
        <v>536</v>
      </c>
      <c r="C168" s="15" t="s">
        <v>537</v>
      </c>
      <c r="D168" s="3" t="s">
        <v>538</v>
      </c>
      <c r="E168" s="15" t="s">
        <v>539</v>
      </c>
      <c r="F168" s="15" t="s">
        <v>254</v>
      </c>
      <c r="G168" s="15" t="s">
        <v>254</v>
      </c>
      <c r="H168" s="43">
        <f t="shared" ref="H168:I168" si="337">LEN(D168)-LEN(B168)+1</f>
        <v>2</v>
      </c>
      <c r="I168" s="43">
        <f t="shared" si="337"/>
        <v>2</v>
      </c>
      <c r="J168" s="4">
        <v>2.0</v>
      </c>
      <c r="K168" s="4">
        <v>2.0</v>
      </c>
      <c r="L168" s="5" t="str">
        <f t="shared" ref="L168:M168" si="338">IFS(J168="-", "-", J168=H168, "Final", J168=1, "Initial", J168&gt;1, "Medial")</f>
        <v>Final</v>
      </c>
      <c r="M168" s="44" t="str">
        <f t="shared" si="338"/>
        <v>Final</v>
      </c>
      <c r="N168" s="5" t="str">
        <f t="shared" si="5"/>
        <v>ˈt̠ʃi</v>
      </c>
      <c r="O168" s="5">
        <f t="shared" si="6"/>
        <v>2</v>
      </c>
      <c r="P168" s="5" t="str">
        <f t="shared" si="7"/>
        <v>ˈtɾi</v>
      </c>
      <c r="Q168" s="5">
        <f t="shared" si="8"/>
        <v>2</v>
      </c>
      <c r="R168" s="3"/>
      <c r="S168" s="15" t="s">
        <v>540</v>
      </c>
      <c r="T168" s="3" t="s">
        <v>541</v>
      </c>
      <c r="U168" s="3" t="s">
        <v>22</v>
      </c>
      <c r="V168" s="5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>
      <c r="A169" s="3" t="s">
        <v>14</v>
      </c>
      <c r="B169" s="3" t="s">
        <v>542</v>
      </c>
      <c r="C169" s="3" t="s">
        <v>543</v>
      </c>
      <c r="D169" s="3" t="s">
        <v>544</v>
      </c>
      <c r="E169" s="3" t="s">
        <v>545</v>
      </c>
      <c r="F169" s="3" t="s">
        <v>128</v>
      </c>
      <c r="G169" s="3" t="s">
        <v>546</v>
      </c>
      <c r="H169" s="43">
        <f t="shared" ref="H169:I169" si="339">LEN(D169)-LEN(B169)+1</f>
        <v>3</v>
      </c>
      <c r="I169" s="43">
        <f t="shared" si="339"/>
        <v>2</v>
      </c>
      <c r="J169" s="4">
        <v>1.0</v>
      </c>
      <c r="K169" s="4">
        <v>1.0</v>
      </c>
      <c r="L169" s="5" t="str">
        <f t="shared" ref="L169:M169" si="340">IFS(J169="-", "-", J169=H169, "Final", J169=1, "Initial", J169&gt;1, "Medial")</f>
        <v>Initial</v>
      </c>
      <c r="M169" s="44" t="str">
        <f t="shared" si="340"/>
        <v>Initial</v>
      </c>
      <c r="N169" s="5" t="str">
        <f t="shared" si="5"/>
        <v>0</v>
      </c>
      <c r="O169" s="5" t="str">
        <f t="shared" si="6"/>
        <v>ˈmu</v>
      </c>
      <c r="P169" s="5" t="str">
        <f t="shared" si="7"/>
        <v>0</v>
      </c>
      <c r="Q169" s="5" t="str">
        <f t="shared" si="8"/>
        <v>-</v>
      </c>
      <c r="R169" s="3"/>
      <c r="S169" s="3" t="s">
        <v>547</v>
      </c>
      <c r="T169" s="3" t="s">
        <v>548</v>
      </c>
      <c r="U169" s="3" t="s">
        <v>22</v>
      </c>
      <c r="V169" s="5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>
      <c r="A170" s="3" t="s">
        <v>14</v>
      </c>
      <c r="B170" s="3" t="s">
        <v>542</v>
      </c>
      <c r="C170" s="3" t="s">
        <v>543</v>
      </c>
      <c r="D170" s="3" t="s">
        <v>544</v>
      </c>
      <c r="E170" s="3" t="s">
        <v>545</v>
      </c>
      <c r="F170" s="3" t="s">
        <v>549</v>
      </c>
      <c r="G170" s="3" t="s">
        <v>36</v>
      </c>
      <c r="H170" s="43">
        <f t="shared" ref="H170:I170" si="341">LEN(D170)-LEN(B170)+1</f>
        <v>3</v>
      </c>
      <c r="I170" s="43">
        <f t="shared" si="341"/>
        <v>2</v>
      </c>
      <c r="J170" s="4">
        <v>2.0</v>
      </c>
      <c r="K170" s="4" t="s">
        <v>36</v>
      </c>
      <c r="L170" s="5" t="str">
        <f t="shared" ref="L170:M170" si="342">IFS(J170="-", "-", J170=H170, "Final", J170=1, "Initial", J170&gt;1, "Medial")</f>
        <v>Medial</v>
      </c>
      <c r="M170" s="44" t="str">
        <f t="shared" si="342"/>
        <v>-</v>
      </c>
      <c r="N170" s="5" t="str">
        <f t="shared" si="5"/>
        <v>u</v>
      </c>
      <c r="O170" s="5" t="str">
        <f t="shared" si="6"/>
        <v>ɲɐ</v>
      </c>
      <c r="P170" s="5" t="str">
        <f t="shared" si="7"/>
        <v>ˈu</v>
      </c>
      <c r="Q170" s="5" t="str">
        <f t="shared" si="8"/>
        <v>ɲɐ</v>
      </c>
      <c r="R170" s="3"/>
      <c r="S170" s="3" t="s">
        <v>547</v>
      </c>
      <c r="T170" s="3" t="s">
        <v>548</v>
      </c>
      <c r="U170" s="3" t="s">
        <v>22</v>
      </c>
      <c r="V170" s="5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>
      <c r="A171" s="3" t="s">
        <v>14</v>
      </c>
      <c r="B171" s="3" t="s">
        <v>542</v>
      </c>
      <c r="C171" s="3" t="s">
        <v>543</v>
      </c>
      <c r="D171" s="3" t="s">
        <v>544</v>
      </c>
      <c r="E171" s="3" t="s">
        <v>545</v>
      </c>
      <c r="F171" s="3" t="s">
        <v>75</v>
      </c>
      <c r="G171" s="3" t="s">
        <v>75</v>
      </c>
      <c r="H171" s="43">
        <f t="shared" ref="H171:I171" si="343">LEN(D171)-LEN(B171)+1</f>
        <v>3</v>
      </c>
      <c r="I171" s="43">
        <f t="shared" si="343"/>
        <v>2</v>
      </c>
      <c r="J171" s="4">
        <v>3.0</v>
      </c>
      <c r="K171" s="4">
        <v>2.0</v>
      </c>
      <c r="L171" s="5" t="str">
        <f t="shared" ref="L171:M171" si="344">IFS(J171="-", "-", J171=H171, "Final", J171=1, "Initial", J171&gt;1, "Medial")</f>
        <v>Final</v>
      </c>
      <c r="M171" s="44" t="str">
        <f t="shared" si="344"/>
        <v>Final</v>
      </c>
      <c r="N171" s="5" t="str">
        <f t="shared" si="5"/>
        <v>ˈmu</v>
      </c>
      <c r="O171" s="5">
        <f t="shared" si="6"/>
        <v>3</v>
      </c>
      <c r="P171" s="5" t="str">
        <f t="shared" si="7"/>
        <v>-</v>
      </c>
      <c r="Q171" s="5">
        <f t="shared" si="8"/>
        <v>2</v>
      </c>
      <c r="R171" s="5"/>
      <c r="S171" s="3" t="s">
        <v>547</v>
      </c>
      <c r="T171" s="3" t="s">
        <v>548</v>
      </c>
      <c r="U171" s="3" t="s">
        <v>22</v>
      </c>
      <c r="V171" s="5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>
      <c r="A172" s="3" t="s">
        <v>14</v>
      </c>
      <c r="B172" s="3" t="s">
        <v>335</v>
      </c>
      <c r="C172" s="3" t="s">
        <v>550</v>
      </c>
      <c r="D172" s="3" t="s">
        <v>335</v>
      </c>
      <c r="E172" s="3" t="s">
        <v>551</v>
      </c>
      <c r="F172" s="3" t="s">
        <v>335</v>
      </c>
      <c r="G172" s="3" t="s">
        <v>219</v>
      </c>
      <c r="H172" s="43">
        <f t="shared" ref="H172:I172" si="345">LEN(D172)-LEN(B172)+1</f>
        <v>1</v>
      </c>
      <c r="I172" s="43">
        <f t="shared" si="345"/>
        <v>2</v>
      </c>
      <c r="J172" s="4">
        <v>1.0</v>
      </c>
      <c r="K172" s="4">
        <v>1.0</v>
      </c>
      <c r="L172" s="5" t="str">
        <f t="shared" ref="L172:M172" si="346">IFS(J172="-", "-", J172=H172, "Final", J172=1, "Initial", J172&gt;1, "Medial")</f>
        <v>Final</v>
      </c>
      <c r="M172" s="44" t="str">
        <f t="shared" si="346"/>
        <v>Initial</v>
      </c>
      <c r="N172" s="5" t="str">
        <f t="shared" si="5"/>
        <v>0</v>
      </c>
      <c r="O172" s="5" t="str">
        <f t="shared" si="6"/>
        <v>-</v>
      </c>
      <c r="P172" s="5" t="str">
        <f t="shared" si="7"/>
        <v>0</v>
      </c>
      <c r="Q172" s="5" t="str">
        <f t="shared" si="8"/>
        <v>ʎu</v>
      </c>
      <c r="R172" s="3"/>
      <c r="S172" s="3" t="s">
        <v>552</v>
      </c>
      <c r="T172" s="3" t="s">
        <v>553</v>
      </c>
      <c r="U172" s="3" t="s">
        <v>22</v>
      </c>
      <c r="V172" s="5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>
      <c r="A173" s="3" t="s">
        <v>14</v>
      </c>
      <c r="B173" s="3" t="s">
        <v>335</v>
      </c>
      <c r="C173" s="3" t="s">
        <v>550</v>
      </c>
      <c r="D173" s="3" t="s">
        <v>335</v>
      </c>
      <c r="E173" s="3" t="s">
        <v>551</v>
      </c>
      <c r="F173" s="3" t="s">
        <v>36</v>
      </c>
      <c r="G173" s="3" t="s">
        <v>24</v>
      </c>
      <c r="H173" s="43">
        <f t="shared" ref="H173:I173" si="347">LEN(D173)-LEN(B173)+1</f>
        <v>1</v>
      </c>
      <c r="I173" s="43">
        <f t="shared" si="347"/>
        <v>2</v>
      </c>
      <c r="J173" s="4" t="s">
        <v>36</v>
      </c>
      <c r="K173" s="4">
        <v>2.0</v>
      </c>
      <c r="L173" s="5" t="str">
        <f t="shared" ref="L173:M173" si="348">IFS(J173="-", "-", J173=H173, "Final", J173=1, "Initial", J173&gt;1, "Medial")</f>
        <v>-</v>
      </c>
      <c r="M173" s="44" t="str">
        <f t="shared" si="348"/>
        <v>Final</v>
      </c>
      <c r="N173" s="5" t="str">
        <f t="shared" si="5"/>
        <v>ˈwe</v>
      </c>
      <c r="O173" s="5" t="str">
        <f t="shared" si="6"/>
        <v>-</v>
      </c>
      <c r="P173" s="5" t="str">
        <f t="shared" si="7"/>
        <v>ˈo</v>
      </c>
      <c r="Q173" s="5">
        <f t="shared" si="8"/>
        <v>2</v>
      </c>
      <c r="R173" s="3"/>
      <c r="S173" s="3" t="s">
        <v>552</v>
      </c>
      <c r="T173" s="3" t="s">
        <v>553</v>
      </c>
      <c r="U173" s="3" t="s">
        <v>22</v>
      </c>
      <c r="V173" s="5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>
      <c r="A174" s="26" t="s">
        <v>14</v>
      </c>
      <c r="B174" s="26" t="s">
        <v>554</v>
      </c>
      <c r="C174" s="26" t="s">
        <v>555</v>
      </c>
      <c r="D174" s="26" t="s">
        <v>556</v>
      </c>
      <c r="E174" s="26" t="s">
        <v>557</v>
      </c>
      <c r="F174" s="26"/>
      <c r="G174" s="26"/>
      <c r="H174" s="43">
        <f t="shared" ref="H174:I174" si="349">LEN(D174)-LEN(B174)+1</f>
        <v>3</v>
      </c>
      <c r="I174" s="43">
        <f t="shared" si="349"/>
        <v>2</v>
      </c>
      <c r="J174" s="27"/>
      <c r="K174" s="27"/>
      <c r="L174" s="5" t="str">
        <f t="shared" ref="L174:M174" si="350">IFS(J174="-", "-", J174=H174, "Final", J174=1, "Initial", J174&gt;1, "Medial")</f>
        <v>#N/A</v>
      </c>
      <c r="M174" s="44" t="str">
        <f t="shared" si="350"/>
        <v>#N/A</v>
      </c>
      <c r="N174" s="5" t="str">
        <f t="shared" si="5"/>
        <v>0</v>
      </c>
      <c r="O174" s="5" t="str">
        <f t="shared" si="6"/>
        <v/>
      </c>
      <c r="P174" s="5" t="str">
        <f t="shared" si="7"/>
        <v>0</v>
      </c>
      <c r="Q174" s="5" t="str">
        <f t="shared" si="8"/>
        <v/>
      </c>
      <c r="R174" s="28"/>
      <c r="S174" s="26" t="s">
        <v>558</v>
      </c>
      <c r="T174" s="26" t="s">
        <v>559</v>
      </c>
      <c r="U174" s="26" t="s">
        <v>22</v>
      </c>
      <c r="V174" s="26" t="s">
        <v>560</v>
      </c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</row>
    <row r="175">
      <c r="A175" s="15" t="s">
        <v>14</v>
      </c>
      <c r="B175" s="15" t="s">
        <v>561</v>
      </c>
      <c r="C175" s="15" t="s">
        <v>562</v>
      </c>
      <c r="D175" s="15" t="s">
        <v>563</v>
      </c>
      <c r="E175" s="15" t="s">
        <v>562</v>
      </c>
      <c r="F175" s="15" t="s">
        <v>466</v>
      </c>
      <c r="G175" s="15" t="s">
        <v>466</v>
      </c>
      <c r="H175" s="43">
        <f t="shared" ref="H175:I175" si="351">LEN(D175)-LEN(B175)+1</f>
        <v>2</v>
      </c>
      <c r="I175" s="43">
        <f t="shared" si="351"/>
        <v>1</v>
      </c>
      <c r="J175" s="18">
        <v>1.0</v>
      </c>
      <c r="K175" s="18">
        <v>1.0</v>
      </c>
      <c r="L175" s="5" t="str">
        <f t="shared" ref="L175:M175" si="352">IFS(J175="-", "-", J175=H175, "Final", J175=1, "Initial", J175&gt;1, "Medial")</f>
        <v>Initial</v>
      </c>
      <c r="M175" s="44" t="str">
        <f t="shared" si="352"/>
        <v>Final</v>
      </c>
      <c r="N175" s="5" t="str">
        <f t="shared" si="5"/>
        <v>0</v>
      </c>
      <c r="O175" s="5" t="str">
        <f t="shared" si="6"/>
        <v>su</v>
      </c>
      <c r="P175" s="5" t="str">
        <f t="shared" si="7"/>
        <v>0</v>
      </c>
      <c r="Q175" s="5" t="str">
        <f t="shared" si="8"/>
        <v>ʃu</v>
      </c>
      <c r="R175" s="20"/>
      <c r="S175" s="15" t="s">
        <v>564</v>
      </c>
      <c r="T175" s="15" t="s">
        <v>565</v>
      </c>
      <c r="U175" s="15" t="s">
        <v>22</v>
      </c>
      <c r="V175" s="20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</row>
    <row r="176">
      <c r="A176" s="15" t="s">
        <v>14</v>
      </c>
      <c r="B176" s="15" t="s">
        <v>561</v>
      </c>
      <c r="C176" s="15" t="s">
        <v>562</v>
      </c>
      <c r="D176" s="15" t="s">
        <v>563</v>
      </c>
      <c r="E176" s="15" t="s">
        <v>562</v>
      </c>
      <c r="F176" s="15" t="s">
        <v>362</v>
      </c>
      <c r="G176" s="15" t="s">
        <v>566</v>
      </c>
      <c r="H176" s="43">
        <f t="shared" ref="H176:I176" si="353">LEN(D176)-LEN(B176)+1</f>
        <v>2</v>
      </c>
      <c r="I176" s="43">
        <f t="shared" si="353"/>
        <v>1</v>
      </c>
      <c r="J176" s="18" t="s">
        <v>36</v>
      </c>
      <c r="K176" s="18">
        <v>2.0</v>
      </c>
      <c r="L176" s="5" t="str">
        <f t="shared" ref="L176:M176" si="354">IFS(J176="-", "-", J176=H176, "Final", J176=1, "Initial", J176&gt;1, "Medial")</f>
        <v>-</v>
      </c>
      <c r="M176" s="44" t="str">
        <f t="shared" si="354"/>
        <v>Medial</v>
      </c>
      <c r="N176" s="5" t="str">
        <f t="shared" si="5"/>
        <v>ˈbi</v>
      </c>
      <c r="O176" s="5" t="str">
        <f t="shared" si="6"/>
        <v>-</v>
      </c>
      <c r="P176" s="5" t="str">
        <f t="shared" si="7"/>
        <v>ˈbi</v>
      </c>
      <c r="Q176" s="5">
        <f t="shared" si="8"/>
        <v>2</v>
      </c>
      <c r="R176" s="15"/>
      <c r="S176" s="15" t="s">
        <v>564</v>
      </c>
      <c r="T176" s="15" t="s">
        <v>565</v>
      </c>
      <c r="U176" s="15" t="s">
        <v>22</v>
      </c>
      <c r="V176" s="20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</row>
    <row r="177">
      <c r="A177" s="15" t="s">
        <v>14</v>
      </c>
      <c r="B177" s="15" t="s">
        <v>567</v>
      </c>
      <c r="C177" s="15" t="s">
        <v>568</v>
      </c>
      <c r="D177" s="15" t="s">
        <v>569</v>
      </c>
      <c r="E177" s="15" t="s">
        <v>570</v>
      </c>
      <c r="F177" s="15" t="s">
        <v>128</v>
      </c>
      <c r="G177" s="15" t="s">
        <v>36</v>
      </c>
      <c r="H177" s="43">
        <f t="shared" ref="H177:I177" si="355">LEN(D177)-LEN(B177)+1</f>
        <v>4</v>
      </c>
      <c r="I177" s="43">
        <f t="shared" si="355"/>
        <v>2</v>
      </c>
      <c r="J177" s="18">
        <v>1.0</v>
      </c>
      <c r="K177" s="18" t="s">
        <v>36</v>
      </c>
      <c r="L177" s="5" t="str">
        <f t="shared" ref="L177:M177" si="356">IFS(J177="-", "-", J177=H177, "Final", J177=1, "Initial", J177&gt;1, "Medial")</f>
        <v>Initial</v>
      </c>
      <c r="M177" s="44" t="str">
        <f t="shared" si="356"/>
        <v>-</v>
      </c>
      <c r="N177" s="5" t="str">
        <f t="shared" si="5"/>
        <v>0</v>
      </c>
      <c r="O177" s="5" t="str">
        <f t="shared" si="6"/>
        <v>ˈbwe</v>
      </c>
      <c r="P177" s="5" t="str">
        <f t="shared" si="7"/>
        <v>0</v>
      </c>
      <c r="Q177" s="5" t="str">
        <f t="shared" si="8"/>
        <v>ˈboj</v>
      </c>
      <c r="R177" s="20"/>
      <c r="S177" s="15" t="s">
        <v>571</v>
      </c>
      <c r="T177" s="15" t="s">
        <v>572</v>
      </c>
      <c r="U177" s="15" t="s">
        <v>22</v>
      </c>
      <c r="V177" s="20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</row>
    <row r="178">
      <c r="A178" s="15" t="s">
        <v>14</v>
      </c>
      <c r="B178" s="15" t="s">
        <v>567</v>
      </c>
      <c r="C178" s="15" t="s">
        <v>568</v>
      </c>
      <c r="D178" s="15" t="s">
        <v>569</v>
      </c>
      <c r="E178" s="15" t="s">
        <v>570</v>
      </c>
      <c r="F178" s="15" t="s">
        <v>573</v>
      </c>
      <c r="G178" s="15" t="s">
        <v>574</v>
      </c>
      <c r="H178" s="43">
        <f t="shared" ref="H178:I178" si="357">LEN(D178)-LEN(B178)+1</f>
        <v>4</v>
      </c>
      <c r="I178" s="43">
        <f t="shared" si="357"/>
        <v>2</v>
      </c>
      <c r="J178" s="18">
        <v>2.0</v>
      </c>
      <c r="K178" s="18">
        <v>1.0</v>
      </c>
      <c r="L178" s="5" t="str">
        <f t="shared" ref="L178:M178" si="358">IFS(J178="-", "-", J178=H178, "Final", J178=1, "Initial", J178&gt;1, "Medial")</f>
        <v>Medial</v>
      </c>
      <c r="M178" s="44" t="str">
        <f t="shared" si="358"/>
        <v>Initial</v>
      </c>
      <c r="N178" s="5" t="str">
        <f t="shared" si="5"/>
        <v>u</v>
      </c>
      <c r="O178" s="5" t="str">
        <f t="shared" si="6"/>
        <v>ɔ</v>
      </c>
      <c r="P178" s="5" t="str">
        <f t="shared" si="7"/>
        <v>-</v>
      </c>
      <c r="Q178" s="5" t="str">
        <f t="shared" si="8"/>
        <v>ˈo</v>
      </c>
      <c r="R178" s="20"/>
      <c r="S178" s="15" t="s">
        <v>571</v>
      </c>
      <c r="T178" s="15" t="s">
        <v>572</v>
      </c>
      <c r="U178" s="15" t="s">
        <v>22</v>
      </c>
      <c r="V178" s="20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</row>
    <row r="179">
      <c r="A179" s="15" t="s">
        <v>14</v>
      </c>
      <c r="B179" s="15" t="s">
        <v>567</v>
      </c>
      <c r="C179" s="15" t="s">
        <v>568</v>
      </c>
      <c r="D179" s="15" t="s">
        <v>569</v>
      </c>
      <c r="E179" s="15" t="s">
        <v>570</v>
      </c>
      <c r="F179" s="15" t="s">
        <v>471</v>
      </c>
      <c r="G179" s="15" t="s">
        <v>219</v>
      </c>
      <c r="H179" s="43">
        <f t="shared" ref="H179:I179" si="359">LEN(D179)-LEN(B179)+1</f>
        <v>4</v>
      </c>
      <c r="I179" s="43">
        <f t="shared" si="359"/>
        <v>2</v>
      </c>
      <c r="J179" s="18">
        <v>3.0</v>
      </c>
      <c r="K179" s="18">
        <v>2.0</v>
      </c>
      <c r="L179" s="5" t="str">
        <f t="shared" ref="L179:M179" si="360">IFS(J179="-", "-", J179=H179, "Final", J179=1, "Initial", J179&gt;1, "Medial")</f>
        <v>Medial</v>
      </c>
      <c r="M179" s="44" t="str">
        <f t="shared" si="360"/>
        <v>Final</v>
      </c>
      <c r="N179" s="5" t="str">
        <f t="shared" si="5"/>
        <v>ˈbwe</v>
      </c>
      <c r="O179" s="5" t="str">
        <f t="shared" si="6"/>
        <v>mi</v>
      </c>
      <c r="P179" s="5" t="str">
        <f t="shared" si="7"/>
        <v>ˈboj</v>
      </c>
      <c r="Q179" s="5" t="str">
        <f t="shared" si="8"/>
        <v>mɐ̃j̃</v>
      </c>
      <c r="R179" s="20"/>
      <c r="S179" s="15" t="s">
        <v>571</v>
      </c>
      <c r="T179" s="15" t="s">
        <v>572</v>
      </c>
      <c r="U179" s="15" t="s">
        <v>22</v>
      </c>
      <c r="V179" s="20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</row>
    <row r="180">
      <c r="A180" s="15" t="s">
        <v>14</v>
      </c>
      <c r="B180" s="15" t="s">
        <v>567</v>
      </c>
      <c r="C180" s="15" t="s">
        <v>568</v>
      </c>
      <c r="D180" s="15" t="s">
        <v>569</v>
      </c>
      <c r="E180" s="15" t="s">
        <v>570</v>
      </c>
      <c r="F180" s="15" t="s">
        <v>575</v>
      </c>
      <c r="G180" s="15" t="s">
        <v>576</v>
      </c>
      <c r="H180" s="43">
        <f t="shared" ref="H180:I180" si="361">LEN(D180)-LEN(B180)+1</f>
        <v>4</v>
      </c>
      <c r="I180" s="43">
        <f t="shared" si="361"/>
        <v>2</v>
      </c>
      <c r="J180" s="18">
        <v>4.0</v>
      </c>
      <c r="K180" s="18">
        <v>3.0</v>
      </c>
      <c r="L180" s="5" t="str">
        <f t="shared" ref="L180:M180" si="362">IFS(J180="-", "-", J180=H180, "Final", J180=1, "Initial", J180&gt;1, "Medial")</f>
        <v>Final</v>
      </c>
      <c r="M180" s="44" t="str">
        <f t="shared" si="362"/>
        <v>Medial</v>
      </c>
      <c r="N180" s="5" t="str">
        <f t="shared" si="5"/>
        <v>ɔ</v>
      </c>
      <c r="O180" s="5">
        <f t="shared" si="6"/>
        <v>4</v>
      </c>
      <c r="P180" s="5" t="str">
        <f t="shared" si="7"/>
        <v>ˈo</v>
      </c>
      <c r="Q180" s="5">
        <f t="shared" si="8"/>
        <v>3</v>
      </c>
      <c r="R180" s="20"/>
      <c r="S180" s="15" t="s">
        <v>571</v>
      </c>
      <c r="T180" s="15" t="s">
        <v>572</v>
      </c>
      <c r="U180" s="15" t="s">
        <v>22</v>
      </c>
      <c r="V180" s="20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</row>
    <row r="181">
      <c r="A181" s="3" t="s">
        <v>14</v>
      </c>
      <c r="B181" s="3" t="s">
        <v>577</v>
      </c>
      <c r="C181" s="3" t="s">
        <v>578</v>
      </c>
      <c r="D181" s="3" t="s">
        <v>579</v>
      </c>
      <c r="E181" s="3" t="s">
        <v>580</v>
      </c>
      <c r="F181" s="3" t="s">
        <v>131</v>
      </c>
      <c r="G181" s="3" t="s">
        <v>131</v>
      </c>
      <c r="H181" s="43">
        <f t="shared" ref="H181:I181" si="363">LEN(D181)-LEN(B181)+1</f>
        <v>2</v>
      </c>
      <c r="I181" s="43">
        <f t="shared" si="363"/>
        <v>2</v>
      </c>
      <c r="J181" s="4">
        <v>1.0</v>
      </c>
      <c r="K181" s="4">
        <v>1.0</v>
      </c>
      <c r="L181" s="5" t="str">
        <f t="shared" ref="L181:M181" si="364">IFS(J181="-", "-", J181=H181, "Final", J181=1, "Initial", J181&gt;1, "Medial")</f>
        <v>Initial</v>
      </c>
      <c r="M181" s="44" t="str">
        <f t="shared" si="364"/>
        <v>Initial</v>
      </c>
      <c r="N181" s="5" t="str">
        <f t="shared" si="5"/>
        <v>0</v>
      </c>
      <c r="O181" s="5" t="str">
        <f t="shared" si="6"/>
        <v>bɐ</v>
      </c>
      <c r="P181" s="5" t="str">
        <f t="shared" si="7"/>
        <v>0</v>
      </c>
      <c r="Q181" s="5" t="str">
        <f t="shared" si="8"/>
        <v>bɾɐ</v>
      </c>
      <c r="R181" s="5"/>
      <c r="S181" s="3" t="s">
        <v>581</v>
      </c>
      <c r="T181" s="3" t="s">
        <v>582</v>
      </c>
      <c r="U181" s="3" t="s">
        <v>22</v>
      </c>
      <c r="V181" s="5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>
      <c r="A182" s="3" t="s">
        <v>14</v>
      </c>
      <c r="B182" s="3" t="s">
        <v>577</v>
      </c>
      <c r="C182" s="3" t="s">
        <v>578</v>
      </c>
      <c r="D182" s="3" t="s">
        <v>579</v>
      </c>
      <c r="E182" s="3" t="s">
        <v>580</v>
      </c>
      <c r="F182" s="3" t="s">
        <v>62</v>
      </c>
      <c r="G182" s="3" t="s">
        <v>583</v>
      </c>
      <c r="H182" s="43">
        <f t="shared" ref="H182:I182" si="365">LEN(D182)-LEN(B182)+1</f>
        <v>2</v>
      </c>
      <c r="I182" s="43">
        <f t="shared" si="365"/>
        <v>2</v>
      </c>
      <c r="J182" s="4">
        <v>2.0</v>
      </c>
      <c r="K182" s="4">
        <v>2.0</v>
      </c>
      <c r="L182" s="5" t="str">
        <f t="shared" ref="L182:M182" si="366">IFS(J182="-", "-", J182=H182, "Final", J182=1, "Initial", J182&gt;1, "Medial")</f>
        <v>Final</v>
      </c>
      <c r="M182" s="44" t="str">
        <f t="shared" si="366"/>
        <v>Final</v>
      </c>
      <c r="N182" s="5" t="str">
        <f t="shared" si="5"/>
        <v>ˈka</v>
      </c>
      <c r="O182" s="5">
        <f t="shared" si="6"/>
        <v>2</v>
      </c>
      <c r="P182" s="5" t="str">
        <f t="shared" si="7"/>
        <v>ˈka</v>
      </c>
      <c r="Q182" s="5">
        <f t="shared" si="8"/>
        <v>2</v>
      </c>
      <c r="R182" s="5"/>
      <c r="S182" s="3" t="s">
        <v>581</v>
      </c>
      <c r="T182" s="3" t="s">
        <v>582</v>
      </c>
      <c r="U182" s="3" t="s">
        <v>22</v>
      </c>
      <c r="V182" s="5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>
      <c r="A183" s="15" t="s">
        <v>14</v>
      </c>
      <c r="B183" s="15" t="s">
        <v>584</v>
      </c>
      <c r="C183" s="15" t="s">
        <v>585</v>
      </c>
      <c r="D183" s="15" t="s">
        <v>586</v>
      </c>
      <c r="E183" s="15" t="s">
        <v>587</v>
      </c>
      <c r="F183" s="15" t="s">
        <v>108</v>
      </c>
      <c r="G183" s="15" t="s">
        <v>175</v>
      </c>
      <c r="H183" s="43">
        <f t="shared" ref="H183:I183" si="367">LEN(D183)-LEN(B183)+1</f>
        <v>2</v>
      </c>
      <c r="I183" s="43">
        <f t="shared" si="367"/>
        <v>3</v>
      </c>
      <c r="J183" s="18">
        <v>1.0</v>
      </c>
      <c r="K183" s="18">
        <v>1.0</v>
      </c>
      <c r="L183" s="5" t="str">
        <f t="shared" ref="L183:M183" si="368">IFS(J183="-", "-", J183=H183, "Final", J183=1, "Initial", J183&gt;1, "Medial")</f>
        <v>Initial</v>
      </c>
      <c r="M183" s="44" t="str">
        <f t="shared" si="368"/>
        <v>Initial</v>
      </c>
      <c r="N183" s="5" t="str">
        <f t="shared" si="5"/>
        <v>0</v>
      </c>
      <c r="O183" s="5" t="str">
        <f t="shared" si="6"/>
        <v>ˈso</v>
      </c>
      <c r="P183" s="5" t="str">
        <f t="shared" si="7"/>
        <v>0</v>
      </c>
      <c r="Q183" s="5" t="str">
        <f t="shared" si="8"/>
        <v>ˈʃo</v>
      </c>
      <c r="R183" s="15" t="s">
        <v>467</v>
      </c>
      <c r="S183" s="15" t="s">
        <v>588</v>
      </c>
      <c r="T183" s="15" t="s">
        <v>589</v>
      </c>
      <c r="U183" s="15" t="s">
        <v>22</v>
      </c>
      <c r="V183" s="20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</row>
    <row r="184">
      <c r="A184" s="15" t="s">
        <v>14</v>
      </c>
      <c r="B184" s="15" t="s">
        <v>584</v>
      </c>
      <c r="C184" s="15" t="s">
        <v>585</v>
      </c>
      <c r="D184" s="15" t="s">
        <v>586</v>
      </c>
      <c r="E184" s="15" t="s">
        <v>587</v>
      </c>
      <c r="F184" s="15" t="s">
        <v>251</v>
      </c>
      <c r="G184" s="15" t="s">
        <v>590</v>
      </c>
      <c r="H184" s="43">
        <f t="shared" ref="H184:I184" si="369">LEN(D184)-LEN(B184)+1</f>
        <v>2</v>
      </c>
      <c r="I184" s="43">
        <f t="shared" si="369"/>
        <v>3</v>
      </c>
      <c r="J184" s="18">
        <v>2.0</v>
      </c>
      <c r="K184" s="18">
        <v>2.0</v>
      </c>
      <c r="L184" s="5" t="str">
        <f t="shared" ref="L184:M184" si="370">IFS(J184="-", "-", J184=H184, "Final", J184=1, "Initial", J184&gt;1, "Medial")</f>
        <v>Final</v>
      </c>
      <c r="M184" s="44" t="str">
        <f t="shared" si="370"/>
        <v>Medial</v>
      </c>
      <c r="N184" s="5" t="str">
        <f t="shared" si="5"/>
        <v>ka</v>
      </c>
      <c r="O184" s="5" t="str">
        <f t="shared" si="6"/>
        <v>-</v>
      </c>
      <c r="P184" s="5" t="str">
        <f t="shared" si="7"/>
        <v>kɐ</v>
      </c>
      <c r="Q184" s="5" t="str">
        <f t="shared" si="8"/>
        <v>ʀu</v>
      </c>
      <c r="R184" s="15"/>
      <c r="S184" s="15" t="s">
        <v>588</v>
      </c>
      <c r="T184" s="15" t="s">
        <v>589</v>
      </c>
      <c r="U184" s="15" t="s">
        <v>22</v>
      </c>
      <c r="V184" s="20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</row>
    <row r="185">
      <c r="A185" s="15" t="s">
        <v>14</v>
      </c>
      <c r="B185" s="15" t="s">
        <v>584</v>
      </c>
      <c r="C185" s="15" t="s">
        <v>585</v>
      </c>
      <c r="D185" s="15" t="s">
        <v>586</v>
      </c>
      <c r="E185" s="15" t="s">
        <v>587</v>
      </c>
      <c r="F185" s="15" t="s">
        <v>36</v>
      </c>
      <c r="G185" s="15" t="s">
        <v>591</v>
      </c>
      <c r="H185" s="43">
        <f t="shared" ref="H185:I185" si="371">LEN(D185)-LEN(B185)+1</f>
        <v>2</v>
      </c>
      <c r="I185" s="43">
        <f t="shared" si="371"/>
        <v>3</v>
      </c>
      <c r="J185" s="18" t="s">
        <v>36</v>
      </c>
      <c r="K185" s="18">
        <v>3.0</v>
      </c>
      <c r="L185" s="5" t="str">
        <f t="shared" ref="L185:M185" si="372">IFS(J185="-", "-", J185=H185, "Final", J185=1, "Initial", J185&gt;1, "Medial")</f>
        <v>-</v>
      </c>
      <c r="M185" s="44" t="str">
        <f t="shared" si="372"/>
        <v>Final</v>
      </c>
      <c r="N185" s="5" t="str">
        <f t="shared" si="5"/>
        <v>ˈso</v>
      </c>
      <c r="O185" s="5" t="str">
        <f t="shared" si="6"/>
        <v>-</v>
      </c>
      <c r="P185" s="5" t="str">
        <f t="shared" si="7"/>
        <v>ˈʃo</v>
      </c>
      <c r="Q185" s="5">
        <f t="shared" si="8"/>
        <v>3</v>
      </c>
      <c r="R185" s="20"/>
      <c r="S185" s="15" t="s">
        <v>588</v>
      </c>
      <c r="T185" s="15" t="s">
        <v>589</v>
      </c>
      <c r="U185" s="15" t="s">
        <v>22</v>
      </c>
      <c r="V185" s="20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</row>
    <row r="186">
      <c r="A186" s="3" t="s">
        <v>14</v>
      </c>
      <c r="B186" s="3" t="s">
        <v>592</v>
      </c>
      <c r="C186" s="3" t="s">
        <v>593</v>
      </c>
      <c r="D186" s="3" t="s">
        <v>594</v>
      </c>
      <c r="E186" s="3" t="s">
        <v>595</v>
      </c>
      <c r="F186" s="3" t="s">
        <v>596</v>
      </c>
      <c r="G186" s="3" t="s">
        <v>596</v>
      </c>
      <c r="H186" s="43">
        <f t="shared" ref="H186:I186" si="373">LEN(D186)-LEN(B186)+1</f>
        <v>2</v>
      </c>
      <c r="I186" s="43">
        <f t="shared" si="373"/>
        <v>2</v>
      </c>
      <c r="J186" s="4">
        <v>1.0</v>
      </c>
      <c r="K186" s="4">
        <v>1.0</v>
      </c>
      <c r="L186" s="5" t="str">
        <f t="shared" ref="L186:M186" si="374">IFS(J186="-", "-", J186=H186, "Final", J186=1, "Initial", J186&gt;1, "Medial")</f>
        <v>Initial</v>
      </c>
      <c r="M186" s="44" t="str">
        <f t="shared" si="374"/>
        <v>Initial</v>
      </c>
      <c r="N186" s="5" t="str">
        <f t="shared" si="5"/>
        <v>0</v>
      </c>
      <c r="O186" s="5" t="str">
        <f t="shared" si="6"/>
        <v>bɔ</v>
      </c>
      <c r="P186" s="5" t="str">
        <f t="shared" si="7"/>
        <v>0</v>
      </c>
      <c r="Q186" s="5" t="str">
        <f t="shared" si="8"/>
        <v>bɾɐ</v>
      </c>
      <c r="R186" s="5"/>
      <c r="S186" s="3" t="s">
        <v>597</v>
      </c>
      <c r="T186" s="3" t="s">
        <v>598</v>
      </c>
      <c r="U186" s="3" t="s">
        <v>22</v>
      </c>
      <c r="V186" s="5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>
      <c r="A187" s="3" t="s">
        <v>14</v>
      </c>
      <c r="B187" s="3" t="s">
        <v>592</v>
      </c>
      <c r="C187" s="3" t="s">
        <v>593</v>
      </c>
      <c r="D187" s="3" t="s">
        <v>594</v>
      </c>
      <c r="E187" s="3" t="s">
        <v>595</v>
      </c>
      <c r="F187" s="3" t="s">
        <v>599</v>
      </c>
      <c r="G187" s="3" t="s">
        <v>583</v>
      </c>
      <c r="H187" s="43">
        <f t="shared" ref="H187:I187" si="375">LEN(D187)-LEN(B187)+1</f>
        <v>2</v>
      </c>
      <c r="I187" s="43">
        <f t="shared" si="375"/>
        <v>2</v>
      </c>
      <c r="J187" s="4">
        <v>2.0</v>
      </c>
      <c r="K187" s="4">
        <v>2.0</v>
      </c>
      <c r="L187" s="5" t="str">
        <f t="shared" ref="L187:M187" si="376">IFS(J187="-", "-", J187=H187, "Final", J187=1, "Initial", J187&gt;1, "Medial")</f>
        <v>Final</v>
      </c>
      <c r="M187" s="44" t="str">
        <f t="shared" si="376"/>
        <v>Final</v>
      </c>
      <c r="N187" s="5" t="str">
        <f t="shared" si="5"/>
        <v>ˈkɔ</v>
      </c>
      <c r="O187" s="5">
        <f t="shared" si="6"/>
        <v>2</v>
      </c>
      <c r="P187" s="5" t="str">
        <f t="shared" si="7"/>
        <v>ˈkɔ</v>
      </c>
      <c r="Q187" s="5">
        <f t="shared" si="8"/>
        <v>2</v>
      </c>
      <c r="R187" s="5"/>
      <c r="S187" s="3" t="s">
        <v>597</v>
      </c>
      <c r="T187" s="3" t="s">
        <v>598</v>
      </c>
      <c r="U187" s="3" t="s">
        <v>22</v>
      </c>
      <c r="V187" s="5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>
      <c r="A188" s="3" t="s">
        <v>14</v>
      </c>
      <c r="B188" s="3" t="s">
        <v>600</v>
      </c>
      <c r="C188" s="3" t="s">
        <v>601</v>
      </c>
      <c r="D188" s="3" t="s">
        <v>602</v>
      </c>
      <c r="E188" s="3" t="s">
        <v>603</v>
      </c>
      <c r="F188" s="3" t="s">
        <v>157</v>
      </c>
      <c r="G188" s="3" t="s">
        <v>158</v>
      </c>
      <c r="H188" s="43">
        <f t="shared" ref="H188:I188" si="377">LEN(D188)-LEN(B188)+1</f>
        <v>3</v>
      </c>
      <c r="I188" s="43">
        <f t="shared" si="377"/>
        <v>3</v>
      </c>
      <c r="J188" s="4">
        <v>1.0</v>
      </c>
      <c r="K188" s="4">
        <v>1.0</v>
      </c>
      <c r="L188" s="5" t="str">
        <f t="shared" ref="L188:M188" si="378">IFS(J188="-", "-", J188=H188, "Final", J188=1, "Initial", J188&gt;1, "Medial")</f>
        <v>Initial</v>
      </c>
      <c r="M188" s="44" t="str">
        <f t="shared" si="378"/>
        <v>Initial</v>
      </c>
      <c r="N188" s="5" t="str">
        <f t="shared" si="5"/>
        <v>0</v>
      </c>
      <c r="O188" s="5" t="str">
        <f t="shared" si="6"/>
        <v>ˈka</v>
      </c>
      <c r="P188" s="5" t="str">
        <f t="shared" si="7"/>
        <v>0</v>
      </c>
      <c r="Q188" s="5" t="str">
        <f t="shared" si="8"/>
        <v>ˈka</v>
      </c>
      <c r="R188" s="5"/>
      <c r="S188" s="3" t="s">
        <v>604</v>
      </c>
      <c r="T188" s="3" t="s">
        <v>605</v>
      </c>
      <c r="U188" s="3" t="s">
        <v>22</v>
      </c>
      <c r="V188" s="5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>
      <c r="A189" s="3" t="s">
        <v>14</v>
      </c>
      <c r="B189" s="3" t="s">
        <v>600</v>
      </c>
      <c r="C189" s="3" t="s">
        <v>601</v>
      </c>
      <c r="D189" s="3" t="s">
        <v>602</v>
      </c>
      <c r="E189" s="3" t="s">
        <v>603</v>
      </c>
      <c r="F189" s="3" t="s">
        <v>131</v>
      </c>
      <c r="G189" s="3" t="s">
        <v>131</v>
      </c>
      <c r="H189" s="43">
        <f t="shared" ref="H189:I189" si="379">LEN(D189)-LEN(B189)+1</f>
        <v>3</v>
      </c>
      <c r="I189" s="43">
        <f t="shared" si="379"/>
        <v>3</v>
      </c>
      <c r="J189" s="4">
        <v>2.0</v>
      </c>
      <c r="K189" s="4">
        <v>2.0</v>
      </c>
      <c r="L189" s="5" t="str">
        <f t="shared" ref="L189:M189" si="380">IFS(J189="-", "-", J189=H189, "Final", J189=1, "Initial", J189&gt;1, "Medial")</f>
        <v>Medial</v>
      </c>
      <c r="M189" s="44" t="str">
        <f t="shared" si="380"/>
        <v>Medial</v>
      </c>
      <c r="N189" s="5" t="str">
        <f t="shared" si="5"/>
        <v>ma</v>
      </c>
      <c r="O189" s="5" t="str">
        <f t="shared" si="6"/>
        <v>ku</v>
      </c>
      <c r="P189" s="5" t="str">
        <f t="shared" si="7"/>
        <v>mɐ</v>
      </c>
      <c r="Q189" s="5" t="str">
        <f t="shared" si="8"/>
        <v>ku</v>
      </c>
      <c r="R189" s="5"/>
      <c r="S189" s="3" t="s">
        <v>604</v>
      </c>
      <c r="T189" s="3" t="s">
        <v>605</v>
      </c>
      <c r="U189" s="3" t="s">
        <v>22</v>
      </c>
      <c r="V189" s="5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>
      <c r="A190" s="3" t="s">
        <v>14</v>
      </c>
      <c r="B190" s="3" t="s">
        <v>600</v>
      </c>
      <c r="C190" s="3" t="s">
        <v>601</v>
      </c>
      <c r="D190" s="3" t="s">
        <v>602</v>
      </c>
      <c r="E190" s="3" t="s">
        <v>603</v>
      </c>
      <c r="F190" s="3" t="s">
        <v>425</v>
      </c>
      <c r="G190" s="3" t="s">
        <v>425</v>
      </c>
      <c r="H190" s="43">
        <f t="shared" ref="H190:I190" si="381">LEN(D190)-LEN(B190)+1</f>
        <v>3</v>
      </c>
      <c r="I190" s="43">
        <f t="shared" si="381"/>
        <v>3</v>
      </c>
      <c r="J190" s="4">
        <v>3.0</v>
      </c>
      <c r="K190" s="4">
        <v>3.0</v>
      </c>
      <c r="L190" s="5" t="str">
        <f t="shared" ref="L190:M190" si="382">IFS(J190="-", "-", J190=H190, "Final", J190=1, "Initial", J190&gt;1, "Medial")</f>
        <v>Final</v>
      </c>
      <c r="M190" s="44" t="str">
        <f t="shared" si="382"/>
        <v>Final</v>
      </c>
      <c r="N190" s="5" t="str">
        <f t="shared" si="5"/>
        <v>ˈka</v>
      </c>
      <c r="O190" s="5">
        <f t="shared" si="6"/>
        <v>3</v>
      </c>
      <c r="P190" s="5" t="str">
        <f t="shared" si="7"/>
        <v>ˈka</v>
      </c>
      <c r="Q190" s="5">
        <f t="shared" si="8"/>
        <v>3</v>
      </c>
      <c r="R190" s="5"/>
      <c r="S190" s="3" t="s">
        <v>604</v>
      </c>
      <c r="T190" s="3" t="s">
        <v>605</v>
      </c>
      <c r="U190" s="3" t="s">
        <v>22</v>
      </c>
      <c r="V190" s="5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>
      <c r="A191" s="3" t="s">
        <v>14</v>
      </c>
      <c r="B191" s="3" t="s">
        <v>606</v>
      </c>
      <c r="C191" s="3" t="s">
        <v>607</v>
      </c>
      <c r="D191" s="3" t="s">
        <v>608</v>
      </c>
      <c r="E191" s="3" t="s">
        <v>609</v>
      </c>
      <c r="F191" s="3" t="s">
        <v>610</v>
      </c>
      <c r="G191" s="3" t="s">
        <v>611</v>
      </c>
      <c r="H191" s="43">
        <f t="shared" ref="H191:I191" si="383">LEN(D191)-LEN(B191)+1</f>
        <v>3</v>
      </c>
      <c r="I191" s="43">
        <f t="shared" si="383"/>
        <v>3</v>
      </c>
      <c r="J191" s="4">
        <v>1.0</v>
      </c>
      <c r="K191" s="4">
        <v>1.0</v>
      </c>
      <c r="L191" s="5" t="str">
        <f t="shared" ref="L191:M191" si="384">IFS(J191="-", "-", J191=H191, "Final", J191=1, "Initial", J191&gt;1, "Medial")</f>
        <v>Initial</v>
      </c>
      <c r="M191" s="44" t="str">
        <f t="shared" si="384"/>
        <v>Initial</v>
      </c>
      <c r="N191" s="5" t="str">
        <f t="shared" si="5"/>
        <v>0</v>
      </c>
      <c r="O191" s="5" t="str">
        <f t="shared" si="6"/>
        <v>ˈsɛ</v>
      </c>
      <c r="P191" s="5" t="str">
        <f t="shared" si="7"/>
        <v>0</v>
      </c>
      <c r="Q191" s="5" t="str">
        <f t="shared" si="8"/>
        <v>ˈse</v>
      </c>
      <c r="R191" s="5"/>
      <c r="S191" s="3" t="s">
        <v>612</v>
      </c>
      <c r="T191" s="3" t="s">
        <v>613</v>
      </c>
      <c r="U191" s="3" t="s">
        <v>22</v>
      </c>
      <c r="V191" s="5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>
      <c r="A192" s="3" t="s">
        <v>14</v>
      </c>
      <c r="B192" s="3" t="s">
        <v>606</v>
      </c>
      <c r="C192" s="3" t="s">
        <v>607</v>
      </c>
      <c r="D192" s="3" t="s">
        <v>608</v>
      </c>
      <c r="E192" s="3" t="s">
        <v>609</v>
      </c>
      <c r="F192" s="3" t="s">
        <v>614</v>
      </c>
      <c r="G192" s="3" t="s">
        <v>615</v>
      </c>
      <c r="H192" s="43">
        <f t="shared" ref="H192:I192" si="385">LEN(D192)-LEN(B192)+1</f>
        <v>3</v>
      </c>
      <c r="I192" s="43">
        <f t="shared" si="385"/>
        <v>3</v>
      </c>
      <c r="J192" s="4">
        <v>2.0</v>
      </c>
      <c r="K192" s="4">
        <v>2.0</v>
      </c>
      <c r="L192" s="5" t="str">
        <f t="shared" ref="L192:M192" si="386">IFS(J192="-", "-", J192=H192, "Final", J192=1, "Initial", J192&gt;1, "Medial")</f>
        <v>Medial</v>
      </c>
      <c r="M192" s="44" t="str">
        <f t="shared" si="386"/>
        <v>Medial</v>
      </c>
      <c r="N192" s="5" t="str">
        <f t="shared" si="5"/>
        <v>mu</v>
      </c>
      <c r="O192" s="5" t="str">
        <f t="shared" si="6"/>
        <v>gu</v>
      </c>
      <c r="P192" s="5" t="str">
        <f t="shared" si="7"/>
        <v>muɾ</v>
      </c>
      <c r="Q192" s="5" t="str">
        <f t="shared" si="8"/>
        <v>gu</v>
      </c>
      <c r="R192" s="5"/>
      <c r="S192" s="3" t="s">
        <v>612</v>
      </c>
      <c r="T192" s="3" t="s">
        <v>613</v>
      </c>
      <c r="U192" s="3" t="s">
        <v>22</v>
      </c>
      <c r="V192" s="5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>
      <c r="A193" s="3" t="s">
        <v>14</v>
      </c>
      <c r="B193" s="3" t="s">
        <v>606</v>
      </c>
      <c r="C193" s="3" t="s">
        <v>607</v>
      </c>
      <c r="D193" s="3" t="s">
        <v>608</v>
      </c>
      <c r="E193" s="3" t="s">
        <v>609</v>
      </c>
      <c r="F193" s="3" t="s">
        <v>98</v>
      </c>
      <c r="G193" s="3" t="s">
        <v>98</v>
      </c>
      <c r="H193" s="43">
        <f t="shared" ref="H193:I193" si="387">LEN(D193)-LEN(B193)+1</f>
        <v>3</v>
      </c>
      <c r="I193" s="43">
        <f t="shared" si="387"/>
        <v>3</v>
      </c>
      <c r="J193" s="4">
        <v>3.0</v>
      </c>
      <c r="K193" s="4">
        <v>3.0</v>
      </c>
      <c r="L193" s="5" t="str">
        <f t="shared" ref="L193:M193" si="388">IFS(J193="-", "-", J193=H193, "Final", J193=1, "Initial", J193&gt;1, "Medial")</f>
        <v>Final</v>
      </c>
      <c r="M193" s="44" t="str">
        <f t="shared" si="388"/>
        <v>Final</v>
      </c>
      <c r="N193" s="5" t="str">
        <f t="shared" si="5"/>
        <v>ˈsɛ</v>
      </c>
      <c r="O193" s="5">
        <f t="shared" si="6"/>
        <v>3</v>
      </c>
      <c r="P193" s="5" t="str">
        <f t="shared" si="7"/>
        <v>ˈse</v>
      </c>
      <c r="Q193" s="5">
        <f t="shared" si="8"/>
        <v>3</v>
      </c>
      <c r="R193" s="5"/>
      <c r="S193" s="3" t="s">
        <v>612</v>
      </c>
      <c r="T193" s="3" t="s">
        <v>613</v>
      </c>
      <c r="U193" s="3" t="s">
        <v>22</v>
      </c>
      <c r="V193" s="5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>
      <c r="A194" s="3" t="s">
        <v>14</v>
      </c>
      <c r="B194" s="3" t="s">
        <v>616</v>
      </c>
      <c r="C194" s="3" t="s">
        <v>617</v>
      </c>
      <c r="D194" s="3" t="s">
        <v>618</v>
      </c>
      <c r="E194" s="3" t="s">
        <v>619</v>
      </c>
      <c r="F194" s="3" t="s">
        <v>620</v>
      </c>
      <c r="G194" s="3" t="s">
        <v>190</v>
      </c>
      <c r="H194" s="43">
        <f t="shared" ref="H194:I194" si="389">LEN(D194)-LEN(B194)+1</f>
        <v>2</v>
      </c>
      <c r="I194" s="43">
        <f t="shared" si="389"/>
        <v>3</v>
      </c>
      <c r="J194" s="4">
        <v>1.0</v>
      </c>
      <c r="K194" s="4">
        <v>1.0</v>
      </c>
      <c r="L194" s="5" t="str">
        <f t="shared" ref="L194:M194" si="390">IFS(J194="-", "-", J194=H194, "Final", J194=1, "Initial", J194&gt;1, "Medial")</f>
        <v>Initial</v>
      </c>
      <c r="M194" s="44" t="str">
        <f t="shared" si="390"/>
        <v>Initial</v>
      </c>
      <c r="N194" s="5" t="str">
        <f t="shared" si="5"/>
        <v>0</v>
      </c>
      <c r="O194" s="5" t="str">
        <f t="shared" si="6"/>
        <v>-</v>
      </c>
      <c r="P194" s="5" t="str">
        <f t="shared" si="7"/>
        <v>0</v>
      </c>
      <c r="Q194" s="5" t="str">
        <f t="shared" si="8"/>
        <v>ˈli</v>
      </c>
      <c r="R194" s="3" t="s">
        <v>467</v>
      </c>
      <c r="S194" s="3" t="s">
        <v>621</v>
      </c>
      <c r="T194" s="3" t="s">
        <v>622</v>
      </c>
      <c r="U194" s="3" t="s">
        <v>22</v>
      </c>
      <c r="V194" s="5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>
      <c r="A195" s="3" t="s">
        <v>14</v>
      </c>
      <c r="B195" s="3" t="s">
        <v>616</v>
      </c>
      <c r="C195" s="3" t="s">
        <v>617</v>
      </c>
      <c r="D195" s="3" t="s">
        <v>618</v>
      </c>
      <c r="E195" s="3" t="s">
        <v>619</v>
      </c>
      <c r="F195" s="3" t="s">
        <v>36</v>
      </c>
      <c r="G195" s="3" t="s">
        <v>623</v>
      </c>
      <c r="H195" s="43">
        <f t="shared" ref="H195:I195" si="391">LEN(D195)-LEN(B195)+1</f>
        <v>2</v>
      </c>
      <c r="I195" s="43">
        <f t="shared" si="391"/>
        <v>3</v>
      </c>
      <c r="J195" s="4">
        <v>2.0</v>
      </c>
      <c r="K195" s="4">
        <v>2.0</v>
      </c>
      <c r="L195" s="5" t="str">
        <f t="shared" ref="L195:M195" si="392">IFS(J195="-", "-", J195=H195, "Final", J195=1, "Initial", J195&gt;1, "Medial")</f>
        <v>Final</v>
      </c>
      <c r="M195" s="44" t="str">
        <f t="shared" si="392"/>
        <v>Medial</v>
      </c>
      <c r="N195" s="5" t="str">
        <f t="shared" si="5"/>
        <v>gi</v>
      </c>
      <c r="O195" s="5" t="str">
        <f t="shared" si="6"/>
        <v>ˈɲɐ̃</v>
      </c>
      <c r="P195" s="5" t="str">
        <f t="shared" si="7"/>
        <v>gɐ</v>
      </c>
      <c r="Q195" s="5" t="str">
        <f t="shared" si="8"/>
        <v>ɲɐ</v>
      </c>
      <c r="R195" s="3"/>
      <c r="S195" s="3" t="s">
        <v>621</v>
      </c>
      <c r="T195" s="3" t="s">
        <v>622</v>
      </c>
      <c r="U195" s="3" t="s">
        <v>22</v>
      </c>
      <c r="V195" s="5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>
      <c r="A196" s="3" t="s">
        <v>14</v>
      </c>
      <c r="B196" s="3" t="s">
        <v>616</v>
      </c>
      <c r="C196" s="3" t="s">
        <v>617</v>
      </c>
      <c r="D196" s="3" t="s">
        <v>618</v>
      </c>
      <c r="E196" s="3" t="s">
        <v>619</v>
      </c>
      <c r="F196" s="3" t="s">
        <v>624</v>
      </c>
      <c r="G196" s="3" t="s">
        <v>75</v>
      </c>
      <c r="H196" s="43">
        <f t="shared" ref="H196:I196" si="393">LEN(D196)-LEN(B196)+1</f>
        <v>2</v>
      </c>
      <c r="I196" s="43">
        <f t="shared" si="393"/>
        <v>3</v>
      </c>
      <c r="J196" s="4">
        <v>3.0</v>
      </c>
      <c r="K196" s="4">
        <v>3.0</v>
      </c>
      <c r="L196" s="5" t="str">
        <f t="shared" ref="L196:M196" si="394">IFS(J196="-", "-", J196=H196, "Final", J196=1, "Initial", J196&gt;1, "Medial")</f>
        <v>Medial</v>
      </c>
      <c r="M196" s="44" t="str">
        <f t="shared" si="394"/>
        <v>Final</v>
      </c>
      <c r="N196" s="5" t="str">
        <f t="shared" si="5"/>
        <v>-</v>
      </c>
      <c r="O196" s="5">
        <f t="shared" si="6"/>
        <v>3</v>
      </c>
      <c r="P196" s="5" t="str">
        <f t="shared" si="7"/>
        <v>ˈli</v>
      </c>
      <c r="Q196" s="5">
        <f t="shared" si="8"/>
        <v>3</v>
      </c>
      <c r="R196" s="5"/>
      <c r="S196" s="3" t="s">
        <v>621</v>
      </c>
      <c r="T196" s="3" t="s">
        <v>622</v>
      </c>
      <c r="U196" s="3" t="s">
        <v>22</v>
      </c>
      <c r="V196" s="5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>
      <c r="A197" s="3" t="s">
        <v>14</v>
      </c>
      <c r="B197" s="3" t="s">
        <v>625</v>
      </c>
      <c r="C197" s="3" t="s">
        <v>626</v>
      </c>
      <c r="D197" s="3" t="s">
        <v>627</v>
      </c>
      <c r="E197" s="3" t="s">
        <v>628</v>
      </c>
      <c r="F197" s="3" t="s">
        <v>629</v>
      </c>
      <c r="G197" s="3" t="s">
        <v>630</v>
      </c>
      <c r="H197" s="43">
        <f t="shared" ref="H197:I197" si="395">LEN(D197)-LEN(B197)+1</f>
        <v>2</v>
      </c>
      <c r="I197" s="43">
        <f t="shared" si="395"/>
        <v>2</v>
      </c>
      <c r="J197" s="4">
        <v>1.0</v>
      </c>
      <c r="K197" s="4">
        <v>1.0</v>
      </c>
      <c r="L197" s="5" t="str">
        <f t="shared" ref="L197:M197" si="396">IFS(J197="-", "-", J197=H197, "Final", J197=1, "Initial", J197&gt;1, "Medial")</f>
        <v>Initial</v>
      </c>
      <c r="M197" s="44" t="str">
        <f t="shared" si="396"/>
        <v>Initial</v>
      </c>
      <c r="N197" s="5" t="str">
        <f t="shared" si="5"/>
        <v>0</v>
      </c>
      <c r="O197" s="5" t="str">
        <f t="shared" si="6"/>
        <v>sɐ</v>
      </c>
      <c r="P197" s="5" t="str">
        <f t="shared" si="7"/>
        <v>0</v>
      </c>
      <c r="Q197" s="5" t="str">
        <f t="shared" si="8"/>
        <v>sɐ</v>
      </c>
      <c r="R197" s="5"/>
      <c r="S197" s="3" t="s">
        <v>631</v>
      </c>
      <c r="T197" s="3" t="s">
        <v>632</v>
      </c>
      <c r="U197" s="3" t="s">
        <v>22</v>
      </c>
      <c r="V197" s="5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>
      <c r="A198" s="3" t="s">
        <v>14</v>
      </c>
      <c r="B198" s="3" t="s">
        <v>625</v>
      </c>
      <c r="C198" s="3" t="s">
        <v>626</v>
      </c>
      <c r="D198" s="3" t="s">
        <v>627</v>
      </c>
      <c r="E198" s="3" t="s">
        <v>628</v>
      </c>
      <c r="F198" s="3" t="s">
        <v>402</v>
      </c>
      <c r="G198" s="3" t="s">
        <v>402</v>
      </c>
      <c r="H198" s="43">
        <f t="shared" ref="H198:I198" si="397">LEN(D198)-LEN(B198)+1</f>
        <v>2</v>
      </c>
      <c r="I198" s="43">
        <f t="shared" si="397"/>
        <v>2</v>
      </c>
      <c r="J198" s="4">
        <v>2.0</v>
      </c>
      <c r="K198" s="4">
        <v>2.0</v>
      </c>
      <c r="L198" s="5" t="str">
        <f t="shared" ref="L198:M198" si="398">IFS(J198="-", "-", J198=H198, "Final", J198=1, "Initial", J198&gt;1, "Medial")</f>
        <v>Final</v>
      </c>
      <c r="M198" s="44" t="str">
        <f t="shared" si="398"/>
        <v>Final</v>
      </c>
      <c r="N198" s="5" t="str">
        <f t="shared" si="5"/>
        <v>ˈga</v>
      </c>
      <c r="O198" s="5">
        <f t="shared" si="6"/>
        <v>2</v>
      </c>
      <c r="P198" s="5" t="str">
        <f t="shared" si="7"/>
        <v>ˈgaɾ</v>
      </c>
      <c r="Q198" s="5">
        <f t="shared" si="8"/>
        <v>2</v>
      </c>
      <c r="R198" s="5"/>
      <c r="S198" s="3" t="s">
        <v>631</v>
      </c>
      <c r="T198" s="3" t="s">
        <v>632</v>
      </c>
      <c r="U198" s="3" t="s">
        <v>22</v>
      </c>
      <c r="V198" s="5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>
      <c r="A199" s="15" t="s">
        <v>14</v>
      </c>
      <c r="B199" s="15" t="s">
        <v>633</v>
      </c>
      <c r="C199" s="15" t="s">
        <v>634</v>
      </c>
      <c r="D199" s="15" t="s">
        <v>635</v>
      </c>
      <c r="E199" s="15" t="s">
        <v>636</v>
      </c>
      <c r="F199" s="15"/>
      <c r="G199" s="15"/>
      <c r="H199" s="43">
        <f t="shared" ref="H199:I199" si="399">LEN(D199)-LEN(B199)+1</f>
        <v>2</v>
      </c>
      <c r="I199" s="43">
        <f t="shared" si="399"/>
        <v>7</v>
      </c>
      <c r="J199" s="18"/>
      <c r="K199" s="18"/>
      <c r="L199" s="5" t="str">
        <f t="shared" ref="L199:M199" si="400">IFS(J199="-", "-", J199=H199, "Final", J199=1, "Initial", J199&gt;1, "Medial")</f>
        <v>#N/A</v>
      </c>
      <c r="M199" s="44" t="str">
        <f t="shared" si="400"/>
        <v>#N/A</v>
      </c>
      <c r="N199" s="5" t="str">
        <f t="shared" si="5"/>
        <v>0</v>
      </c>
      <c r="O199" s="5" t="str">
        <f t="shared" si="6"/>
        <v/>
      </c>
      <c r="P199" s="5" t="str">
        <f t="shared" si="7"/>
        <v>0</v>
      </c>
      <c r="Q199" s="5" t="str">
        <f t="shared" si="8"/>
        <v/>
      </c>
      <c r="R199" s="20"/>
      <c r="S199" s="15" t="s">
        <v>637</v>
      </c>
      <c r="T199" s="15" t="s">
        <v>638</v>
      </c>
      <c r="U199" s="15" t="s">
        <v>22</v>
      </c>
      <c r="V199" s="15" t="s">
        <v>560</v>
      </c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</row>
    <row r="200">
      <c r="A200" s="3" t="s">
        <v>14</v>
      </c>
      <c r="B200" s="3" t="s">
        <v>639</v>
      </c>
      <c r="C200" s="3" t="s">
        <v>640</v>
      </c>
      <c r="D200" s="6" t="s">
        <v>641</v>
      </c>
      <c r="E200" s="3" t="s">
        <v>642</v>
      </c>
      <c r="F200" s="6" t="s">
        <v>643</v>
      </c>
      <c r="G200" s="3" t="s">
        <v>644</v>
      </c>
      <c r="H200" s="43">
        <f t="shared" ref="H200:I200" si="401">LEN(D200)-LEN(B200)+1</f>
        <v>2</v>
      </c>
      <c r="I200" s="43">
        <f t="shared" si="401"/>
        <v>2</v>
      </c>
      <c r="J200" s="4">
        <v>1.0</v>
      </c>
      <c r="K200" s="4">
        <v>1.0</v>
      </c>
      <c r="L200" s="5" t="str">
        <f t="shared" ref="L200:M200" si="402">IFS(J200="-", "-", J200=H200, "Final", J200=1, "Initial", J200&gt;1, "Medial")</f>
        <v>Initial</v>
      </c>
      <c r="M200" s="44" t="str">
        <f t="shared" si="402"/>
        <v>Initial</v>
      </c>
      <c r="N200" s="5" t="str">
        <f t="shared" si="5"/>
        <v>0</v>
      </c>
      <c r="O200" s="5" t="str">
        <f t="shared" si="6"/>
        <v>ko</v>
      </c>
      <c r="P200" s="5" t="str">
        <f t="shared" si="7"/>
        <v>0</v>
      </c>
      <c r="Q200" s="5" t="str">
        <f t="shared" si="8"/>
        <v>ku</v>
      </c>
      <c r="R200" s="5"/>
      <c r="S200" s="3" t="s">
        <v>645</v>
      </c>
      <c r="T200" s="3" t="s">
        <v>646</v>
      </c>
      <c r="U200" s="3" t="s">
        <v>22</v>
      </c>
      <c r="V200" s="5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>
      <c r="A201" s="3" t="s">
        <v>14</v>
      </c>
      <c r="B201" s="3" t="s">
        <v>639</v>
      </c>
      <c r="C201" s="3" t="s">
        <v>640</v>
      </c>
      <c r="D201" s="6" t="s">
        <v>641</v>
      </c>
      <c r="E201" s="3" t="s">
        <v>642</v>
      </c>
      <c r="F201" s="6" t="s">
        <v>419</v>
      </c>
      <c r="G201" s="3" t="s">
        <v>425</v>
      </c>
      <c r="H201" s="43">
        <f t="shared" ref="H201:I201" si="403">LEN(D201)-LEN(B201)+1</f>
        <v>2</v>
      </c>
      <c r="I201" s="43">
        <f t="shared" si="403"/>
        <v>2</v>
      </c>
      <c r="J201" s="4">
        <v>2.0</v>
      </c>
      <c r="K201" s="4">
        <v>2.0</v>
      </c>
      <c r="L201" s="5" t="str">
        <f t="shared" ref="L201:M201" si="404">IFS(J201="-", "-", J201=H201, "Final", J201=1, "Initial", J201&gt;1, "Medial")</f>
        <v>Final</v>
      </c>
      <c r="M201" s="44" t="str">
        <f t="shared" si="404"/>
        <v>Final</v>
      </c>
      <c r="N201" s="5" t="str">
        <f t="shared" si="5"/>
        <v>ˈpo:</v>
      </c>
      <c r="O201" s="5">
        <f t="shared" si="6"/>
        <v>2</v>
      </c>
      <c r="P201" s="5" t="str">
        <f t="shared" si="7"/>
        <v>ˈpoɾ</v>
      </c>
      <c r="Q201" s="5">
        <f t="shared" si="8"/>
        <v>2</v>
      </c>
      <c r="R201" s="5"/>
      <c r="S201" s="3" t="s">
        <v>645</v>
      </c>
      <c r="T201" s="3" t="s">
        <v>646</v>
      </c>
      <c r="U201" s="3" t="s">
        <v>22</v>
      </c>
      <c r="V201" s="5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>
      <c r="A202" s="3" t="s">
        <v>14</v>
      </c>
      <c r="B202" s="3" t="s">
        <v>647</v>
      </c>
      <c r="C202" s="3" t="s">
        <v>648</v>
      </c>
      <c r="D202" s="6" t="s">
        <v>649</v>
      </c>
      <c r="E202" s="3" t="s">
        <v>650</v>
      </c>
      <c r="F202" s="6"/>
      <c r="G202" s="3"/>
      <c r="H202" s="43">
        <f t="shared" ref="H202:I202" si="405">LEN(D202)-LEN(B202)+1</f>
        <v>3</v>
      </c>
      <c r="I202" s="43">
        <f t="shared" si="405"/>
        <v>4</v>
      </c>
      <c r="J202" s="4"/>
      <c r="K202" s="4"/>
      <c r="L202" s="5" t="str">
        <f t="shared" ref="L202:M202" si="406">IFS(J202="-", "-", J202=H202, "Final", J202=1, "Initial", J202&gt;1, "Medial")</f>
        <v>#N/A</v>
      </c>
      <c r="M202" s="44" t="str">
        <f t="shared" si="406"/>
        <v>#N/A</v>
      </c>
      <c r="N202" s="5" t="str">
        <f t="shared" si="5"/>
        <v>0</v>
      </c>
      <c r="O202" s="5" t="str">
        <f t="shared" si="6"/>
        <v>ˈtu:</v>
      </c>
      <c r="P202" s="5" t="str">
        <f t="shared" si="7"/>
        <v>0</v>
      </c>
      <c r="Q202" s="5" t="str">
        <f t="shared" si="8"/>
        <v>tɐ</v>
      </c>
      <c r="R202" s="3"/>
      <c r="S202" s="3" t="s">
        <v>651</v>
      </c>
      <c r="T202" s="3" t="s">
        <v>652</v>
      </c>
      <c r="U202" s="3" t="s">
        <v>22</v>
      </c>
      <c r="V202" s="5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>
      <c r="A203" s="3" t="s">
        <v>14</v>
      </c>
      <c r="B203" s="3" t="s">
        <v>647</v>
      </c>
      <c r="C203" s="3" t="s">
        <v>648</v>
      </c>
      <c r="D203" s="6" t="s">
        <v>649</v>
      </c>
      <c r="E203" s="3" t="s">
        <v>650</v>
      </c>
      <c r="F203" s="6" t="s">
        <v>653</v>
      </c>
      <c r="G203" s="3" t="s">
        <v>238</v>
      </c>
      <c r="H203" s="43">
        <f t="shared" ref="H203:I203" si="407">LEN(D203)-LEN(B203)+1</f>
        <v>3</v>
      </c>
      <c r="I203" s="43">
        <f t="shared" si="407"/>
        <v>4</v>
      </c>
      <c r="J203" s="4">
        <v>2.0</v>
      </c>
      <c r="K203" s="4">
        <v>2.0</v>
      </c>
      <c r="L203" s="5" t="str">
        <f t="shared" ref="L203:M203" si="408">IFS(J203="-", "-", J203=H203, "Final", J203=1, "Initial", J203&gt;1, "Medial")</f>
        <v>Medial</v>
      </c>
      <c r="M203" s="44" t="str">
        <f t="shared" si="408"/>
        <v>Medial</v>
      </c>
      <c r="N203" s="5" t="str">
        <f t="shared" si="5"/>
        <v/>
      </c>
      <c r="O203" s="5" t="str">
        <f t="shared" si="6"/>
        <v>-</v>
      </c>
      <c r="P203" s="5" t="str">
        <f t="shared" si="7"/>
        <v/>
      </c>
      <c r="Q203" s="5" t="str">
        <f t="shared" si="8"/>
        <v>ˈɾu</v>
      </c>
      <c r="R203" s="5"/>
      <c r="S203" s="3" t="s">
        <v>651</v>
      </c>
      <c r="T203" s="3" t="s">
        <v>652</v>
      </c>
      <c r="U203" s="3" t="s">
        <v>22</v>
      </c>
      <c r="V203" s="5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>
      <c r="A204" s="3" t="s">
        <v>14</v>
      </c>
      <c r="B204" s="3" t="s">
        <v>647</v>
      </c>
      <c r="C204" s="3" t="s">
        <v>648</v>
      </c>
      <c r="D204" s="6" t="s">
        <v>649</v>
      </c>
      <c r="E204" s="3" t="s">
        <v>650</v>
      </c>
      <c r="F204" s="6" t="s">
        <v>36</v>
      </c>
      <c r="G204" s="3" t="s">
        <v>654</v>
      </c>
      <c r="H204" s="43">
        <f t="shared" ref="H204:I204" si="409">LEN(D204)-LEN(B204)+1</f>
        <v>3</v>
      </c>
      <c r="I204" s="43">
        <f t="shared" si="409"/>
        <v>4</v>
      </c>
      <c r="J204" s="4">
        <v>3.0</v>
      </c>
      <c r="K204" s="4">
        <v>3.0</v>
      </c>
      <c r="L204" s="5" t="str">
        <f t="shared" ref="L204:M204" si="410">IFS(J204="-", "-", J204=H204, "Final", J204=1, "Initial", J204&gt;1, "Medial")</f>
        <v>Final</v>
      </c>
      <c r="M204" s="44" t="str">
        <f t="shared" si="410"/>
        <v>Medial</v>
      </c>
      <c r="N204" s="5" t="str">
        <f t="shared" si="5"/>
        <v>ˈtu:</v>
      </c>
      <c r="O204" s="5" t="str">
        <f t="shared" si="6"/>
        <v>gɐ</v>
      </c>
      <c r="P204" s="5" t="str">
        <f t="shared" si="7"/>
        <v>tɐ</v>
      </c>
      <c r="Q204" s="5" t="str">
        <f t="shared" si="8"/>
        <v>gɐ</v>
      </c>
      <c r="R204" s="3"/>
      <c r="S204" s="3" t="s">
        <v>651</v>
      </c>
      <c r="T204" s="3" t="s">
        <v>652</v>
      </c>
      <c r="U204" s="3" t="s">
        <v>22</v>
      </c>
      <c r="V204" s="5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>
      <c r="A205" s="3" t="s">
        <v>14</v>
      </c>
      <c r="B205" s="3" t="s">
        <v>647</v>
      </c>
      <c r="C205" s="3" t="s">
        <v>648</v>
      </c>
      <c r="D205" s="6" t="s">
        <v>649</v>
      </c>
      <c r="E205" s="3" t="s">
        <v>650</v>
      </c>
      <c r="F205" s="6" t="s">
        <v>190</v>
      </c>
      <c r="G205" s="3" t="s">
        <v>190</v>
      </c>
      <c r="H205" s="43">
        <f t="shared" ref="H205:I205" si="411">LEN(D205)-LEN(B205)+1</f>
        <v>3</v>
      </c>
      <c r="I205" s="43">
        <f t="shared" si="411"/>
        <v>4</v>
      </c>
      <c r="J205" s="4">
        <v>4.0</v>
      </c>
      <c r="K205" s="4">
        <v>4.0</v>
      </c>
      <c r="L205" s="5" t="str">
        <f t="shared" ref="L205:M205" si="412">IFS(J205="-", "-", J205=H205, "Final", J205=1, "Initial", J205&gt;1, "Medial")</f>
        <v>Medial</v>
      </c>
      <c r="M205" s="44" t="str">
        <f t="shared" si="412"/>
        <v>Final</v>
      </c>
      <c r="N205" s="5" t="str">
        <f t="shared" si="5"/>
        <v>-</v>
      </c>
      <c r="O205" s="5">
        <f t="shared" si="6"/>
        <v>4</v>
      </c>
      <c r="P205" s="5" t="str">
        <f t="shared" si="7"/>
        <v>ˈɾu</v>
      </c>
      <c r="Q205" s="5">
        <f t="shared" si="8"/>
        <v>4</v>
      </c>
      <c r="R205" s="5"/>
      <c r="S205" s="3" t="s">
        <v>651</v>
      </c>
      <c r="T205" s="3" t="s">
        <v>652</v>
      </c>
      <c r="U205" s="3" t="s">
        <v>22</v>
      </c>
      <c r="V205" s="5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>
      <c r="A206" s="3" t="s">
        <v>14</v>
      </c>
      <c r="B206" s="3" t="s">
        <v>655</v>
      </c>
      <c r="C206" s="3" t="s">
        <v>656</v>
      </c>
      <c r="D206" s="3" t="s">
        <v>657</v>
      </c>
      <c r="E206" s="3" t="s">
        <v>658</v>
      </c>
      <c r="F206" s="3" t="s">
        <v>30</v>
      </c>
      <c r="G206" s="3" t="s">
        <v>49</v>
      </c>
      <c r="H206" s="43">
        <f t="shared" ref="H206:I206" si="413">LEN(D206)-LEN(B206)+1</f>
        <v>2</v>
      </c>
      <c r="I206" s="43">
        <f t="shared" si="413"/>
        <v>2</v>
      </c>
      <c r="J206" s="4">
        <v>1.0</v>
      </c>
      <c r="K206" s="4">
        <v>1.0</v>
      </c>
      <c r="L206" s="5" t="str">
        <f t="shared" ref="L206:M206" si="414">IFS(J206="-", "-", J206=H206, "Final", J206=1, "Initial", J206&gt;1, "Medial")</f>
        <v>Initial</v>
      </c>
      <c r="M206" s="44" t="str">
        <f t="shared" si="414"/>
        <v>Initial</v>
      </c>
      <c r="N206" s="5" t="str">
        <f t="shared" si="5"/>
        <v>0</v>
      </c>
      <c r="O206" s="5" t="str">
        <f t="shared" si="6"/>
        <v>ˈmwe</v>
      </c>
      <c r="P206" s="5" t="str">
        <f t="shared" si="7"/>
        <v>0</v>
      </c>
      <c r="Q206" s="5" t="str">
        <f t="shared" si="8"/>
        <v>ˈmoɾ</v>
      </c>
      <c r="R206" s="5"/>
      <c r="S206" s="3" t="s">
        <v>659</v>
      </c>
      <c r="T206" s="3" t="s">
        <v>660</v>
      </c>
      <c r="U206" s="3" t="s">
        <v>22</v>
      </c>
      <c r="V206" s="5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>
      <c r="A207" s="3" t="s">
        <v>14</v>
      </c>
      <c r="B207" s="3" t="s">
        <v>655</v>
      </c>
      <c r="C207" s="3" t="s">
        <v>656</v>
      </c>
      <c r="D207" s="3" t="s">
        <v>657</v>
      </c>
      <c r="E207" s="3" t="s">
        <v>658</v>
      </c>
      <c r="F207" s="3" t="s">
        <v>661</v>
      </c>
      <c r="G207" s="3" t="s">
        <v>662</v>
      </c>
      <c r="H207" s="43">
        <f t="shared" ref="H207:I207" si="415">LEN(D207)-LEN(B207)+1</f>
        <v>2</v>
      </c>
      <c r="I207" s="43">
        <f t="shared" si="415"/>
        <v>2</v>
      </c>
      <c r="J207" s="4">
        <v>2.0</v>
      </c>
      <c r="K207" s="4">
        <v>2.0</v>
      </c>
      <c r="L207" s="5" t="str">
        <f t="shared" ref="L207:M207" si="416">IFS(J207="-", "-", J207=H207, "Final", J207=1, "Initial", J207&gt;1, "Medial")</f>
        <v>Final</v>
      </c>
      <c r="M207" s="44" t="str">
        <f t="shared" si="416"/>
        <v>Final</v>
      </c>
      <c r="N207" s="5" t="str">
        <f t="shared" si="5"/>
        <v>a</v>
      </c>
      <c r="O207" s="5">
        <f t="shared" si="6"/>
        <v>2</v>
      </c>
      <c r="P207" s="5" t="str">
        <f t="shared" si="7"/>
        <v>ɐ</v>
      </c>
      <c r="Q207" s="5">
        <f t="shared" si="8"/>
        <v>2</v>
      </c>
      <c r="R207" s="5"/>
      <c r="S207" s="3" t="s">
        <v>659</v>
      </c>
      <c r="T207" s="3" t="s">
        <v>660</v>
      </c>
      <c r="U207" s="3" t="s">
        <v>22</v>
      </c>
      <c r="V207" s="5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>
      <c r="A208" s="3" t="s">
        <v>14</v>
      </c>
      <c r="B208" s="3" t="s">
        <v>663</v>
      </c>
      <c r="C208" s="3" t="s">
        <v>664</v>
      </c>
      <c r="D208" s="3" t="s">
        <v>663</v>
      </c>
      <c r="E208" s="3" t="s">
        <v>665</v>
      </c>
      <c r="F208" s="3" t="s">
        <v>663</v>
      </c>
      <c r="G208" s="3" t="s">
        <v>663</v>
      </c>
      <c r="H208" s="43">
        <f t="shared" ref="H208:I208" si="417">LEN(D208)-LEN(B208)+1</f>
        <v>1</v>
      </c>
      <c r="I208" s="43">
        <f t="shared" si="417"/>
        <v>2</v>
      </c>
      <c r="J208" s="4">
        <v>1.0</v>
      </c>
      <c r="K208" s="4">
        <v>1.0</v>
      </c>
      <c r="L208" s="5" t="str">
        <f t="shared" ref="L208:M208" si="418">IFS(J208="-", "-", J208=H208, "Final", J208=1, "Initial", J208&gt;1, "Medial")</f>
        <v>Final</v>
      </c>
      <c r="M208" s="44" t="str">
        <f t="shared" si="418"/>
        <v>Initial</v>
      </c>
      <c r="N208" s="5" t="str">
        <f t="shared" si="5"/>
        <v>0</v>
      </c>
      <c r="O208" s="5" t="str">
        <f t="shared" si="6"/>
        <v>-</v>
      </c>
      <c r="P208" s="5" t="str">
        <f t="shared" si="7"/>
        <v>0</v>
      </c>
      <c r="Q208" s="5" t="str">
        <f t="shared" si="8"/>
        <v>ʀɐ</v>
      </c>
      <c r="R208" s="3"/>
      <c r="S208" s="3" t="s">
        <v>666</v>
      </c>
      <c r="T208" s="3" t="s">
        <v>667</v>
      </c>
      <c r="U208" s="3" t="s">
        <v>22</v>
      </c>
      <c r="V208" s="5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>
      <c r="A209" s="3" t="s">
        <v>14</v>
      </c>
      <c r="B209" s="3" t="s">
        <v>663</v>
      </c>
      <c r="C209" s="3" t="s">
        <v>664</v>
      </c>
      <c r="D209" s="3" t="s">
        <v>663</v>
      </c>
      <c r="E209" s="3" t="s">
        <v>665</v>
      </c>
      <c r="F209" s="3" t="s">
        <v>36</v>
      </c>
      <c r="G209" s="3" t="s">
        <v>668</v>
      </c>
      <c r="H209" s="43">
        <f t="shared" ref="H209:I209" si="419">LEN(D209)-LEN(B209)+1</f>
        <v>1</v>
      </c>
      <c r="I209" s="43">
        <f t="shared" si="419"/>
        <v>2</v>
      </c>
      <c r="J209" s="4" t="s">
        <v>36</v>
      </c>
      <c r="K209" s="4">
        <v>2.0</v>
      </c>
      <c r="L209" s="5" t="str">
        <f t="shared" ref="L209:M209" si="420">IFS(J209="-", "-", J209=H209, "Final", J209=1, "Initial", J209&gt;1, "Medial")</f>
        <v>-</v>
      </c>
      <c r="M209" s="44" t="str">
        <f t="shared" si="420"/>
        <v>Final</v>
      </c>
      <c r="N209" s="5" t="str">
        <f t="shared" si="5"/>
        <v>ˈgɛ</v>
      </c>
      <c r="O209" s="5" t="str">
        <f t="shared" si="6"/>
        <v>-</v>
      </c>
      <c r="P209" s="5" t="str">
        <f t="shared" si="7"/>
        <v>ˈgɛ</v>
      </c>
      <c r="Q209" s="5">
        <f t="shared" si="8"/>
        <v>2</v>
      </c>
      <c r="R209" s="3"/>
      <c r="S209" s="3" t="s">
        <v>666</v>
      </c>
      <c r="T209" s="3" t="s">
        <v>667</v>
      </c>
      <c r="U209" s="3" t="s">
        <v>22</v>
      </c>
      <c r="V209" s="5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>
      <c r="A210" s="3" t="s">
        <v>14</v>
      </c>
      <c r="B210" s="3" t="s">
        <v>669</v>
      </c>
      <c r="C210" s="3" t="s">
        <v>670</v>
      </c>
      <c r="D210" s="3" t="s">
        <v>671</v>
      </c>
      <c r="E210" s="3" t="s">
        <v>672</v>
      </c>
      <c r="F210" s="3" t="s">
        <v>131</v>
      </c>
      <c r="G210" s="3" t="s">
        <v>673</v>
      </c>
      <c r="H210" s="43">
        <f t="shared" ref="H210:I210" si="421">LEN(D210)-LEN(B210)+1</f>
        <v>3</v>
      </c>
      <c r="I210" s="43">
        <f t="shared" si="421"/>
        <v>2</v>
      </c>
      <c r="J210" s="4">
        <v>1.0</v>
      </c>
      <c r="K210" s="4">
        <v>1.0</v>
      </c>
      <c r="L210" s="5" t="str">
        <f t="shared" ref="L210:M210" si="422">IFS(J210="-", "-", J210=H210, "Final", J210=1, "Initial", J210&gt;1, "Medial")</f>
        <v>Initial</v>
      </c>
      <c r="M210" s="44" t="str">
        <f t="shared" si="422"/>
        <v>Initial</v>
      </c>
      <c r="N210" s="5" t="str">
        <f t="shared" si="5"/>
        <v>0</v>
      </c>
      <c r="O210" s="5" t="str">
        <f t="shared" si="6"/>
        <v>li</v>
      </c>
      <c r="P210" s="5" t="str">
        <f t="shared" si="7"/>
        <v>0</v>
      </c>
      <c r="Q210" s="5" t="str">
        <f t="shared" si="8"/>
        <v>-</v>
      </c>
      <c r="R210" s="5"/>
      <c r="S210" s="3" t="s">
        <v>674</v>
      </c>
      <c r="T210" s="3" t="s">
        <v>675</v>
      </c>
      <c r="U210" s="3" t="s">
        <v>22</v>
      </c>
      <c r="V210" s="5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>
      <c r="A211" s="3" t="s">
        <v>14</v>
      </c>
      <c r="B211" s="3" t="s">
        <v>669</v>
      </c>
      <c r="C211" s="3" t="s">
        <v>670</v>
      </c>
      <c r="D211" s="3" t="s">
        <v>671</v>
      </c>
      <c r="E211" s="3" t="s">
        <v>672</v>
      </c>
      <c r="F211" s="3" t="s">
        <v>197</v>
      </c>
      <c r="G211" s="3" t="s">
        <v>36</v>
      </c>
      <c r="H211" s="43">
        <f t="shared" ref="H211:I211" si="423">LEN(D211)-LEN(B211)+1</f>
        <v>3</v>
      </c>
      <c r="I211" s="43">
        <f t="shared" si="423"/>
        <v>2</v>
      </c>
      <c r="J211" s="4">
        <v>2.0</v>
      </c>
      <c r="K211" s="4" t="s">
        <v>36</v>
      </c>
      <c r="L211" s="5" t="str">
        <f t="shared" ref="L211:M211" si="424">IFS(J211="-", "-", J211=H211, "Final", J211=1, "Initial", J211&gt;1, "Medial")</f>
        <v>Medial</v>
      </c>
      <c r="M211" s="44" t="str">
        <f t="shared" si="424"/>
        <v>-</v>
      </c>
      <c r="N211" s="5" t="str">
        <f t="shared" si="5"/>
        <v>ˈka</v>
      </c>
      <c r="O211" s="5" t="str">
        <f t="shared" si="6"/>
        <v>mɐ</v>
      </c>
      <c r="P211" s="5" t="str">
        <f t="shared" si="7"/>
        <v>ˈkal</v>
      </c>
      <c r="Q211" s="5" t="str">
        <f t="shared" si="8"/>
        <v>mɐ</v>
      </c>
      <c r="R211" s="5"/>
      <c r="S211" s="3" t="s">
        <v>674</v>
      </c>
      <c r="T211" s="3" t="s">
        <v>675</v>
      </c>
      <c r="U211" s="3" t="s">
        <v>22</v>
      </c>
      <c r="V211" s="5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>
      <c r="A212" s="3" t="s">
        <v>14</v>
      </c>
      <c r="B212" s="3" t="s">
        <v>669</v>
      </c>
      <c r="C212" s="3" t="s">
        <v>670</v>
      </c>
      <c r="D212" s="3" t="s">
        <v>671</v>
      </c>
      <c r="E212" s="3" t="s">
        <v>672</v>
      </c>
      <c r="F212" s="3" t="s">
        <v>158</v>
      </c>
      <c r="G212" s="3" t="s">
        <v>158</v>
      </c>
      <c r="H212" s="43">
        <f t="shared" ref="H212:I212" si="425">LEN(D212)-LEN(B212)+1</f>
        <v>3</v>
      </c>
      <c r="I212" s="43">
        <f t="shared" si="425"/>
        <v>2</v>
      </c>
      <c r="J212" s="4">
        <v>3.0</v>
      </c>
      <c r="K212" s="4">
        <v>2.0</v>
      </c>
      <c r="L212" s="5" t="str">
        <f t="shared" ref="L212:M212" si="426">IFS(J212="-", "-", J212=H212, "Final", J212=1, "Initial", J212&gt;1, "Medial")</f>
        <v>Final</v>
      </c>
      <c r="M212" s="44" t="str">
        <f t="shared" si="426"/>
        <v>Final</v>
      </c>
      <c r="N212" s="5" t="str">
        <f t="shared" si="5"/>
        <v>li</v>
      </c>
      <c r="O212" s="5">
        <f t="shared" si="6"/>
        <v>3</v>
      </c>
      <c r="P212" s="5" t="str">
        <f t="shared" si="7"/>
        <v>-</v>
      </c>
      <c r="Q212" s="5">
        <f t="shared" si="8"/>
        <v>2</v>
      </c>
      <c r="R212" s="5"/>
      <c r="S212" s="3" t="s">
        <v>674</v>
      </c>
      <c r="T212" s="3" t="s">
        <v>675</v>
      </c>
      <c r="U212" s="3" t="s">
        <v>22</v>
      </c>
      <c r="V212" s="5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>
      <c r="A213" s="3" t="s">
        <v>14</v>
      </c>
      <c r="B213" s="3" t="s">
        <v>676</v>
      </c>
      <c r="C213" s="3" t="s">
        <v>677</v>
      </c>
      <c r="D213" s="3" t="s">
        <v>678</v>
      </c>
      <c r="E213" s="3" t="s">
        <v>679</v>
      </c>
      <c r="F213" s="3" t="s">
        <v>174</v>
      </c>
      <c r="G213" s="3" t="s">
        <v>425</v>
      </c>
      <c r="H213" s="43">
        <f t="shared" ref="H213:I213" si="427">LEN(D213)-LEN(B213)+1</f>
        <v>3</v>
      </c>
      <c r="I213" s="43">
        <f t="shared" si="427"/>
        <v>3</v>
      </c>
      <c r="J213" s="4">
        <v>1.0</v>
      </c>
      <c r="K213" s="4">
        <v>1.0</v>
      </c>
      <c r="L213" s="5" t="str">
        <f t="shared" ref="L213:M213" si="428">IFS(J213="-", "-", J213=H213, "Final", J213=1, "Initial", J213&gt;1, "Medial")</f>
        <v>Initial</v>
      </c>
      <c r="M213" s="44" t="str">
        <f t="shared" si="428"/>
        <v>Initial</v>
      </c>
      <c r="N213" s="5" t="str">
        <f t="shared" si="5"/>
        <v>0</v>
      </c>
      <c r="O213" s="5" t="str">
        <f t="shared" si="6"/>
        <v>ˈra</v>
      </c>
      <c r="P213" s="5" t="str">
        <f t="shared" si="7"/>
        <v>0</v>
      </c>
      <c r="Q213" s="5" t="str">
        <f t="shared" si="8"/>
        <v>ˈɾa</v>
      </c>
      <c r="R213" s="5"/>
      <c r="S213" s="3" t="s">
        <v>680</v>
      </c>
      <c r="T213" s="3" t="s">
        <v>681</v>
      </c>
      <c r="U213" s="3" t="s">
        <v>22</v>
      </c>
      <c r="V213" s="5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>
      <c r="A214" s="3" t="s">
        <v>14</v>
      </c>
      <c r="B214" s="3" t="s">
        <v>676</v>
      </c>
      <c r="C214" s="3" t="s">
        <v>677</v>
      </c>
      <c r="D214" s="3" t="s">
        <v>678</v>
      </c>
      <c r="E214" s="3" t="s">
        <v>679</v>
      </c>
      <c r="F214" s="3" t="s">
        <v>326</v>
      </c>
      <c r="G214" s="3" t="s">
        <v>115</v>
      </c>
      <c r="H214" s="43">
        <f t="shared" ref="H214:I214" si="429">LEN(D214)-LEN(B214)+1</f>
        <v>3</v>
      </c>
      <c r="I214" s="43">
        <f t="shared" si="429"/>
        <v>3</v>
      </c>
      <c r="J214" s="4">
        <v>2.0</v>
      </c>
      <c r="K214" s="4">
        <v>2.0</v>
      </c>
      <c r="L214" s="5" t="str">
        <f t="shared" ref="L214:M214" si="430">IFS(J214="-", "-", J214=H214, "Final", J214=1, "Initial", J214&gt;1, "Medial")</f>
        <v>Medial</v>
      </c>
      <c r="M214" s="44" t="str">
        <f t="shared" si="430"/>
        <v>Medial</v>
      </c>
      <c r="N214" s="5" t="str">
        <f t="shared" si="5"/>
        <v>kɔ</v>
      </c>
      <c r="O214" s="5" t="str">
        <f t="shared" si="6"/>
        <v>ʒi</v>
      </c>
      <c r="P214" s="5" t="str">
        <f t="shared" si="7"/>
        <v>ku</v>
      </c>
      <c r="Q214" s="5" t="str">
        <f t="shared" si="8"/>
        <v>ʒɐ̃j̃</v>
      </c>
      <c r="R214" s="5"/>
      <c r="S214" s="3" t="s">
        <v>680</v>
      </c>
      <c r="T214" s="3" t="s">
        <v>681</v>
      </c>
      <c r="U214" s="3" t="s">
        <v>22</v>
      </c>
      <c r="V214" s="5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>
      <c r="A215" s="3" t="s">
        <v>14</v>
      </c>
      <c r="B215" s="3" t="s">
        <v>676</v>
      </c>
      <c r="C215" s="3" t="s">
        <v>677</v>
      </c>
      <c r="D215" s="3" t="s">
        <v>678</v>
      </c>
      <c r="E215" s="3" t="s">
        <v>679</v>
      </c>
      <c r="F215" s="3" t="s">
        <v>213</v>
      </c>
      <c r="G215" s="3" t="s">
        <v>682</v>
      </c>
      <c r="H215" s="43">
        <f t="shared" ref="H215:I215" si="431">LEN(D215)-LEN(B215)+1</f>
        <v>3</v>
      </c>
      <c r="I215" s="43">
        <f t="shared" si="431"/>
        <v>3</v>
      </c>
      <c r="J215" s="4">
        <v>3.0</v>
      </c>
      <c r="K215" s="4">
        <v>3.0</v>
      </c>
      <c r="L215" s="5" t="str">
        <f t="shared" ref="L215:M215" si="432">IFS(J215="-", "-", J215=H215, "Final", J215=1, "Initial", J215&gt;1, "Medial")</f>
        <v>Final</v>
      </c>
      <c r="M215" s="44" t="str">
        <f t="shared" si="432"/>
        <v>Final</v>
      </c>
      <c r="N215" s="5" t="str">
        <f t="shared" si="5"/>
        <v>ˈra</v>
      </c>
      <c r="O215" s="5">
        <f t="shared" si="6"/>
        <v>3</v>
      </c>
      <c r="P215" s="5" t="str">
        <f t="shared" si="7"/>
        <v>ˈɾa</v>
      </c>
      <c r="Q215" s="5">
        <f t="shared" si="8"/>
        <v>3</v>
      </c>
      <c r="R215" s="5"/>
      <c r="S215" s="3" t="s">
        <v>680</v>
      </c>
      <c r="T215" s="3" t="s">
        <v>681</v>
      </c>
      <c r="U215" s="3" t="s">
        <v>22</v>
      </c>
      <c r="V215" s="5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>
      <c r="A216" s="3" t="s">
        <v>14</v>
      </c>
      <c r="B216" s="3" t="s">
        <v>683</v>
      </c>
      <c r="C216" s="3" t="s">
        <v>684</v>
      </c>
      <c r="D216" s="3" t="s">
        <v>685</v>
      </c>
      <c r="E216" s="3" t="s">
        <v>686</v>
      </c>
      <c r="F216" s="3" t="s">
        <v>128</v>
      </c>
      <c r="G216" s="3" t="s">
        <v>591</v>
      </c>
      <c r="H216" s="43">
        <f t="shared" ref="H216:I216" si="433">LEN(D216)-LEN(B216)+1</f>
        <v>2</v>
      </c>
      <c r="I216" s="43">
        <f t="shared" si="433"/>
        <v>2</v>
      </c>
      <c r="J216" s="4">
        <v>1.0</v>
      </c>
      <c r="K216" s="4">
        <v>1.0</v>
      </c>
      <c r="L216" s="5" t="str">
        <f t="shared" ref="L216:M216" si="434">IFS(J216="-", "-", J216=H216, "Final", J216=1, "Initial", J216&gt;1, "Medial")</f>
        <v>Initial</v>
      </c>
      <c r="M216" s="44" t="str">
        <f t="shared" si="434"/>
        <v>Initial</v>
      </c>
      <c r="N216" s="5" t="str">
        <f t="shared" si="5"/>
        <v>0</v>
      </c>
      <c r="O216" s="5" t="str">
        <f t="shared" si="6"/>
        <v>ˈrĩ</v>
      </c>
      <c r="P216" s="5" t="str">
        <f t="shared" si="7"/>
        <v>0</v>
      </c>
      <c r="Q216" s="5" t="str">
        <f t="shared" si="8"/>
        <v>ˈĩ</v>
      </c>
      <c r="R216" s="5"/>
      <c r="S216" s="3" t="s">
        <v>687</v>
      </c>
      <c r="T216" s="3" t="s">
        <v>688</v>
      </c>
      <c r="U216" s="3" t="s">
        <v>22</v>
      </c>
      <c r="V216" s="5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>
      <c r="A217" s="3" t="s">
        <v>14</v>
      </c>
      <c r="B217" s="3" t="s">
        <v>683</v>
      </c>
      <c r="C217" s="3" t="s">
        <v>684</v>
      </c>
      <c r="D217" s="3" t="s">
        <v>685</v>
      </c>
      <c r="E217" s="3" t="s">
        <v>686</v>
      </c>
      <c r="F217" s="3" t="s">
        <v>689</v>
      </c>
      <c r="G217" s="3" t="s">
        <v>690</v>
      </c>
      <c r="H217" s="43">
        <f t="shared" ref="H217:I217" si="435">LEN(D217)-LEN(B217)+1</f>
        <v>2</v>
      </c>
      <c r="I217" s="43">
        <f t="shared" si="435"/>
        <v>2</v>
      </c>
      <c r="J217" s="4">
        <v>2.0</v>
      </c>
      <c r="K217" s="4">
        <v>2.0</v>
      </c>
      <c r="L217" s="5" t="str">
        <f t="shared" ref="L217:M217" si="436">IFS(J217="-", "-", J217=H217, "Final", J217=1, "Initial", J217&gt;1, "Medial")</f>
        <v>Final</v>
      </c>
      <c r="M217" s="44" t="str">
        <f t="shared" si="436"/>
        <v>Final</v>
      </c>
      <c r="N217" s="5" t="str">
        <f t="shared" si="5"/>
        <v>u</v>
      </c>
      <c r="O217" s="5">
        <f t="shared" si="6"/>
        <v>2</v>
      </c>
      <c r="P217" s="5" t="str">
        <f t="shared" si="7"/>
        <v>ʀu</v>
      </c>
      <c r="Q217" s="5">
        <f t="shared" si="8"/>
        <v>2</v>
      </c>
      <c r="R217" s="5"/>
      <c r="S217" s="3" t="s">
        <v>687</v>
      </c>
      <c r="T217" s="3" t="s">
        <v>688</v>
      </c>
      <c r="U217" s="3" t="s">
        <v>22</v>
      </c>
      <c r="V217" s="5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>
      <c r="A218" s="3" t="s">
        <v>14</v>
      </c>
      <c r="B218" s="3" t="s">
        <v>691</v>
      </c>
      <c r="C218" s="3" t="s">
        <v>692</v>
      </c>
      <c r="D218" s="3" t="s">
        <v>693</v>
      </c>
      <c r="E218" s="3" t="s">
        <v>694</v>
      </c>
      <c r="F218" s="3" t="s">
        <v>157</v>
      </c>
      <c r="G218" s="3" t="s">
        <v>695</v>
      </c>
      <c r="H218" s="43">
        <f t="shared" ref="H218:I218" si="437">LEN(D218)-LEN(B218)+1</f>
        <v>3</v>
      </c>
      <c r="I218" s="43">
        <f t="shared" si="437"/>
        <v>3</v>
      </c>
      <c r="J218" s="4">
        <v>1.0</v>
      </c>
      <c r="K218" s="4">
        <v>1.0</v>
      </c>
      <c r="L218" s="5" t="str">
        <f t="shared" ref="L218:M218" si="438">IFS(J218="-", "-", J218=H218, "Final", J218=1, "Initial", J218&gt;1, "Medial")</f>
        <v>Initial</v>
      </c>
      <c r="M218" s="44" t="str">
        <f t="shared" si="438"/>
        <v>Initial</v>
      </c>
      <c r="N218" s="5" t="str">
        <f t="shared" si="5"/>
        <v>0</v>
      </c>
      <c r="O218" s="5" t="str">
        <f t="shared" si="6"/>
        <v>di</v>
      </c>
      <c r="P218" s="5" t="str">
        <f t="shared" si="7"/>
        <v>0</v>
      </c>
      <c r="Q218" s="5" t="str">
        <f t="shared" si="8"/>
        <v>di</v>
      </c>
      <c r="R218" s="3"/>
      <c r="S218" s="3" t="s">
        <v>696</v>
      </c>
      <c r="T218" s="3" t="s">
        <v>697</v>
      </c>
      <c r="U218" s="3" t="s">
        <v>22</v>
      </c>
      <c r="V218" s="5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>
      <c r="A219" s="3" t="s">
        <v>14</v>
      </c>
      <c r="B219" s="3" t="s">
        <v>691</v>
      </c>
      <c r="C219" s="3" t="s">
        <v>692</v>
      </c>
      <c r="D219" s="3" t="s">
        <v>693</v>
      </c>
      <c r="E219" s="3" t="s">
        <v>694</v>
      </c>
      <c r="F219" s="3" t="s">
        <v>172</v>
      </c>
      <c r="G219" s="3" t="s">
        <v>172</v>
      </c>
      <c r="H219" s="43">
        <f t="shared" ref="H219:I219" si="439">LEN(D219)-LEN(B219)+1</f>
        <v>3</v>
      </c>
      <c r="I219" s="43">
        <f t="shared" si="439"/>
        <v>3</v>
      </c>
      <c r="J219" s="4">
        <v>2.0</v>
      </c>
      <c r="K219" s="4">
        <v>2.0</v>
      </c>
      <c r="L219" s="5" t="str">
        <f t="shared" ref="L219:M219" si="440">IFS(J219="-", "-", J219=H219, "Final", J219=1, "Initial", J219&gt;1, "Medial")</f>
        <v>Medial</v>
      </c>
      <c r="M219" s="44" t="str">
        <f t="shared" si="440"/>
        <v>Medial</v>
      </c>
      <c r="N219" s="5" t="str">
        <f t="shared" si="5"/>
        <v>ma</v>
      </c>
      <c r="O219" s="5" t="str">
        <f t="shared" si="6"/>
        <v>ˈsɐ̃</v>
      </c>
      <c r="P219" s="5" t="str">
        <f t="shared" si="7"/>
        <v>mal</v>
      </c>
      <c r="Q219" s="5" t="str">
        <f t="shared" si="8"/>
        <v>ˈsɐ̃w̃</v>
      </c>
      <c r="R219" s="5"/>
      <c r="S219" s="3" t="s">
        <v>696</v>
      </c>
      <c r="T219" s="3" t="s">
        <v>697</v>
      </c>
      <c r="U219" s="3" t="s">
        <v>22</v>
      </c>
      <c r="V219" s="5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>
      <c r="A220" s="3" t="s">
        <v>14</v>
      </c>
      <c r="B220" s="3" t="s">
        <v>691</v>
      </c>
      <c r="C220" s="3" t="s">
        <v>692</v>
      </c>
      <c r="D220" s="3" t="s">
        <v>693</v>
      </c>
      <c r="E220" s="3" t="s">
        <v>694</v>
      </c>
      <c r="F220" s="3" t="s">
        <v>181</v>
      </c>
      <c r="G220" s="3" t="s">
        <v>428</v>
      </c>
      <c r="H220" s="43">
        <f t="shared" ref="H220:I220" si="441">LEN(D220)-LEN(B220)+1</f>
        <v>3</v>
      </c>
      <c r="I220" s="43">
        <f t="shared" si="441"/>
        <v>3</v>
      </c>
      <c r="J220" s="4">
        <v>3.0</v>
      </c>
      <c r="K220" s="4">
        <v>3.0</v>
      </c>
      <c r="L220" s="5" t="str">
        <f t="shared" ref="L220:M220" si="442">IFS(J220="-", "-", J220=H220, "Final", J220=1, "Initial", J220&gt;1, "Medial")</f>
        <v>Final</v>
      </c>
      <c r="M220" s="44" t="str">
        <f t="shared" si="442"/>
        <v>Final</v>
      </c>
      <c r="N220" s="5" t="str">
        <f t="shared" si="5"/>
        <v>di</v>
      </c>
      <c r="O220" s="5">
        <f t="shared" si="6"/>
        <v>3</v>
      </c>
      <c r="P220" s="5" t="str">
        <f t="shared" si="7"/>
        <v>di</v>
      </c>
      <c r="Q220" s="5">
        <f t="shared" si="8"/>
        <v>3</v>
      </c>
      <c r="R220" s="3"/>
      <c r="S220" s="3" t="s">
        <v>696</v>
      </c>
      <c r="T220" s="3" t="s">
        <v>697</v>
      </c>
      <c r="U220" s="3" t="s">
        <v>22</v>
      </c>
      <c r="V220" s="5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>
      <c r="A221" s="3" t="s">
        <v>14</v>
      </c>
      <c r="B221" s="3" t="s">
        <v>698</v>
      </c>
      <c r="C221" s="3" t="s">
        <v>699</v>
      </c>
      <c r="D221" s="3" t="s">
        <v>700</v>
      </c>
      <c r="E221" s="3" t="s">
        <v>701</v>
      </c>
      <c r="F221" s="3" t="s">
        <v>702</v>
      </c>
      <c r="G221" s="3" t="s">
        <v>703</v>
      </c>
      <c r="H221" s="43">
        <f t="shared" ref="H221:I221" si="443">LEN(D221)-LEN(B221)+1</f>
        <v>2</v>
      </c>
      <c r="I221" s="43">
        <f t="shared" si="443"/>
        <v>2</v>
      </c>
      <c r="J221" s="4">
        <v>1.0</v>
      </c>
      <c r="K221" s="4">
        <v>1.0</v>
      </c>
      <c r="L221" s="5" t="str">
        <f t="shared" ref="L221:M221" si="444">IFS(J221="-", "-", J221=H221, "Final", J221=1, "Initial", J221&gt;1, "Medial")</f>
        <v>Initial</v>
      </c>
      <c r="M221" s="44" t="str">
        <f t="shared" si="444"/>
        <v>Initial</v>
      </c>
      <c r="N221" s="5" t="str">
        <f t="shared" si="5"/>
        <v>0</v>
      </c>
      <c r="O221" s="5" t="str">
        <f t="shared" si="6"/>
        <v>ˈdɐ̃</v>
      </c>
      <c r="P221" s="5" t="str">
        <f t="shared" si="7"/>
        <v>0</v>
      </c>
      <c r="Q221" s="5" t="str">
        <f t="shared" si="8"/>
        <v>ˈdɐ̃w̃</v>
      </c>
      <c r="R221" s="3"/>
      <c r="S221" s="3" t="s">
        <v>704</v>
      </c>
      <c r="T221" s="3" t="s">
        <v>705</v>
      </c>
      <c r="U221" s="3" t="s">
        <v>22</v>
      </c>
      <c r="V221" s="5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>
      <c r="A222" s="3" t="s">
        <v>14</v>
      </c>
      <c r="B222" s="3" t="s">
        <v>698</v>
      </c>
      <c r="C222" s="3" t="s">
        <v>699</v>
      </c>
      <c r="D222" s="3" t="s">
        <v>700</v>
      </c>
      <c r="E222" s="3" t="s">
        <v>701</v>
      </c>
      <c r="F222" s="3" t="s">
        <v>706</v>
      </c>
      <c r="G222" s="3" t="s">
        <v>707</v>
      </c>
      <c r="H222" s="43">
        <f t="shared" ref="H222:I222" si="445">LEN(D222)-LEN(B222)+1</f>
        <v>2</v>
      </c>
      <c r="I222" s="43">
        <f t="shared" si="445"/>
        <v>2</v>
      </c>
      <c r="J222" s="4">
        <v>2.0</v>
      </c>
      <c r="K222" s="4">
        <v>2.0</v>
      </c>
      <c r="L222" s="5" t="str">
        <f t="shared" ref="L222:M222" si="446">IFS(J222="-", "-", J222=H222, "Final", J222=1, "Initial", J222&gt;1, "Medial")</f>
        <v>Final</v>
      </c>
      <c r="M222" s="44" t="str">
        <f t="shared" si="446"/>
        <v>Final</v>
      </c>
      <c r="N222" s="5" t="str">
        <f t="shared" si="5"/>
        <v>pɛ</v>
      </c>
      <c r="O222" s="5">
        <f t="shared" si="6"/>
        <v>2</v>
      </c>
      <c r="P222" s="5" t="str">
        <f t="shared" si="7"/>
        <v>pɨɾ</v>
      </c>
      <c r="Q222" s="5">
        <f t="shared" si="8"/>
        <v>2</v>
      </c>
      <c r="R222" s="3"/>
      <c r="S222" s="3" t="s">
        <v>704</v>
      </c>
      <c r="T222" s="3" t="s">
        <v>705</v>
      </c>
      <c r="U222" s="3" t="s">
        <v>22</v>
      </c>
      <c r="V222" s="5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>
      <c r="A223" s="3" t="s">
        <v>14</v>
      </c>
      <c r="B223" s="3" t="s">
        <v>708</v>
      </c>
      <c r="C223" s="3" t="s">
        <v>709</v>
      </c>
      <c r="D223" s="3" t="s">
        <v>710</v>
      </c>
      <c r="E223" s="3" t="s">
        <v>711</v>
      </c>
      <c r="F223" s="3" t="s">
        <v>233</v>
      </c>
      <c r="G223" s="3" t="s">
        <v>712</v>
      </c>
      <c r="H223" s="43">
        <f t="shared" ref="H223:I223" si="447">LEN(D223)-LEN(B223)+1</f>
        <v>3</v>
      </c>
      <c r="I223" s="43">
        <f t="shared" si="447"/>
        <v>3</v>
      </c>
      <c r="J223" s="4">
        <v>1.0</v>
      </c>
      <c r="K223" s="4">
        <v>1.0</v>
      </c>
      <c r="L223" s="5" t="str">
        <f t="shared" ref="L223:M223" si="448">IFS(J223="-", "-", J223=H223, "Final", J223=1, "Initial", J223&gt;1, "Medial")</f>
        <v>Initial</v>
      </c>
      <c r="M223" s="44" t="str">
        <f t="shared" si="448"/>
        <v>Initial</v>
      </c>
      <c r="N223" s="5" t="str">
        <f t="shared" si="5"/>
        <v>0</v>
      </c>
      <c r="O223" s="5" t="str">
        <f t="shared" si="6"/>
        <v>ˈgi</v>
      </c>
      <c r="P223" s="5" t="str">
        <f t="shared" si="7"/>
        <v>0</v>
      </c>
      <c r="Q223" s="5" t="str">
        <f t="shared" si="8"/>
        <v>ˈgi</v>
      </c>
      <c r="R223" s="5"/>
      <c r="S223" s="3" t="s">
        <v>713</v>
      </c>
      <c r="T223" s="3" t="s">
        <v>714</v>
      </c>
      <c r="U223" s="3" t="s">
        <v>22</v>
      </c>
      <c r="V223" s="5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>
      <c r="A224" s="3" t="s">
        <v>14</v>
      </c>
      <c r="B224" s="3" t="s">
        <v>708</v>
      </c>
      <c r="C224" s="3" t="s">
        <v>709</v>
      </c>
      <c r="D224" s="3" t="s">
        <v>710</v>
      </c>
      <c r="E224" s="3" t="s">
        <v>711</v>
      </c>
      <c r="F224" s="3" t="s">
        <v>715</v>
      </c>
      <c r="G224" s="3" t="s">
        <v>715</v>
      </c>
      <c r="H224" s="43">
        <f t="shared" ref="H224:I224" si="449">LEN(D224)-LEN(B224)+1</f>
        <v>3</v>
      </c>
      <c r="I224" s="43">
        <f t="shared" si="449"/>
        <v>3</v>
      </c>
      <c r="J224" s="4">
        <v>2.0</v>
      </c>
      <c r="K224" s="4">
        <v>2.0</v>
      </c>
      <c r="L224" s="5" t="str">
        <f t="shared" ref="L224:M224" si="450">IFS(J224="-", "-", J224=H224, "Final", J224=1, "Initial", J224&gt;1, "Medial")</f>
        <v>Medial</v>
      </c>
      <c r="M224" s="44" t="str">
        <f t="shared" si="450"/>
        <v>Medial</v>
      </c>
      <c r="N224" s="5" t="str">
        <f t="shared" si="5"/>
        <v>pi</v>
      </c>
      <c r="O224" s="5" t="str">
        <f t="shared" si="6"/>
        <v>sɐ</v>
      </c>
      <c r="P224" s="5" t="str">
        <f t="shared" si="7"/>
        <v>pɾɨ</v>
      </c>
      <c r="Q224" s="5" t="str">
        <f t="shared" si="8"/>
        <v>sɐ</v>
      </c>
      <c r="R224" s="5"/>
      <c r="S224" s="3" t="s">
        <v>713</v>
      </c>
      <c r="T224" s="3" t="s">
        <v>714</v>
      </c>
      <c r="U224" s="3" t="s">
        <v>22</v>
      </c>
      <c r="V224" s="5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>
      <c r="A225" s="3" t="s">
        <v>14</v>
      </c>
      <c r="B225" s="3" t="s">
        <v>708</v>
      </c>
      <c r="C225" s="3" t="s">
        <v>709</v>
      </c>
      <c r="D225" s="3" t="s">
        <v>710</v>
      </c>
      <c r="E225" s="3" t="s">
        <v>711</v>
      </c>
      <c r="F225" s="3" t="s">
        <v>402</v>
      </c>
      <c r="G225" s="3" t="s">
        <v>402</v>
      </c>
      <c r="H225" s="43">
        <f t="shared" ref="H225:I225" si="451">LEN(D225)-LEN(B225)+1</f>
        <v>3</v>
      </c>
      <c r="I225" s="43">
        <f t="shared" si="451"/>
        <v>3</v>
      </c>
      <c r="J225" s="4">
        <v>3.0</v>
      </c>
      <c r="K225" s="4">
        <v>3.0</v>
      </c>
      <c r="L225" s="5" t="str">
        <f t="shared" ref="L225:M225" si="452">IFS(J225="-", "-", J225=H225, "Final", J225=1, "Initial", J225&gt;1, "Medial")</f>
        <v>Final</v>
      </c>
      <c r="M225" s="44" t="str">
        <f t="shared" si="452"/>
        <v>Final</v>
      </c>
      <c r="N225" s="5" t="str">
        <f t="shared" si="5"/>
        <v>ˈgi</v>
      </c>
      <c r="O225" s="5">
        <f t="shared" si="6"/>
        <v>3</v>
      </c>
      <c r="P225" s="5" t="str">
        <f t="shared" si="7"/>
        <v>ˈgi</v>
      </c>
      <c r="Q225" s="5">
        <f t="shared" si="8"/>
        <v>3</v>
      </c>
      <c r="R225" s="5"/>
      <c r="S225" s="3" t="s">
        <v>713</v>
      </c>
      <c r="T225" s="3" t="s">
        <v>714</v>
      </c>
      <c r="U225" s="3" t="s">
        <v>22</v>
      </c>
      <c r="V225" s="5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>
      <c r="A226" s="3" t="s">
        <v>14</v>
      </c>
      <c r="B226" s="3" t="s">
        <v>716</v>
      </c>
      <c r="C226" s="3" t="s">
        <v>717</v>
      </c>
      <c r="D226" s="3" t="s">
        <v>718</v>
      </c>
      <c r="E226" s="3" t="s">
        <v>719</v>
      </c>
      <c r="F226" s="3" t="s">
        <v>720</v>
      </c>
      <c r="G226" s="3" t="s">
        <v>721</v>
      </c>
      <c r="H226" s="43">
        <f t="shared" ref="H226:I226" si="453">LEN(D226)-LEN(B226)+1</f>
        <v>2</v>
      </c>
      <c r="I226" s="43">
        <f t="shared" si="453"/>
        <v>2</v>
      </c>
      <c r="J226" s="4">
        <v>1.0</v>
      </c>
      <c r="K226" s="4">
        <v>1.0</v>
      </c>
      <c r="L226" s="5" t="str">
        <f t="shared" ref="L226:M226" si="454">IFS(J226="-", "-", J226=H226, "Final", J226=1, "Initial", J226&gt;1, "Medial")</f>
        <v>Initial</v>
      </c>
      <c r="M226" s="44" t="str">
        <f t="shared" si="454"/>
        <v>Initial</v>
      </c>
      <c r="N226" s="5" t="str">
        <f t="shared" si="5"/>
        <v>0</v>
      </c>
      <c r="O226" s="5" t="str">
        <f t="shared" si="6"/>
        <v>vɐ</v>
      </c>
      <c r="P226" s="5" t="str">
        <f t="shared" si="7"/>
        <v>0</v>
      </c>
      <c r="Q226" s="5" t="str">
        <f t="shared" si="8"/>
        <v>vɐ</v>
      </c>
      <c r="R226" s="5"/>
      <c r="S226" s="3" t="s">
        <v>722</v>
      </c>
      <c r="T226" s="3" t="s">
        <v>723</v>
      </c>
      <c r="U226" s="3" t="s">
        <v>22</v>
      </c>
      <c r="V226" s="5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>
      <c r="A227" s="3" t="s">
        <v>14</v>
      </c>
      <c r="B227" s="3" t="s">
        <v>716</v>
      </c>
      <c r="C227" s="3" t="s">
        <v>717</v>
      </c>
      <c r="D227" s="3" t="s">
        <v>718</v>
      </c>
      <c r="E227" s="3" t="s">
        <v>719</v>
      </c>
      <c r="F227" s="3" t="s">
        <v>724</v>
      </c>
      <c r="G227" s="3" t="s">
        <v>724</v>
      </c>
      <c r="H227" s="43">
        <f t="shared" ref="H227:I227" si="455">LEN(D227)-LEN(B227)+1</f>
        <v>2</v>
      </c>
      <c r="I227" s="43">
        <f t="shared" si="455"/>
        <v>2</v>
      </c>
      <c r="J227" s="4">
        <v>2.0</v>
      </c>
      <c r="K227" s="4">
        <v>2.0</v>
      </c>
      <c r="L227" s="5" t="str">
        <f t="shared" ref="L227:M227" si="456">IFS(J227="-", "-", J227=H227, "Final", J227=1, "Initial", J227&gt;1, "Medial")</f>
        <v>Final</v>
      </c>
      <c r="M227" s="44" t="str">
        <f t="shared" si="456"/>
        <v>Final</v>
      </c>
      <c r="N227" s="5" t="str">
        <f t="shared" si="5"/>
        <v>ˈrɛ</v>
      </c>
      <c r="O227" s="5">
        <f t="shared" si="6"/>
        <v>2</v>
      </c>
      <c r="P227" s="5" t="str">
        <f t="shared" si="7"/>
        <v>ˈʀaj</v>
      </c>
      <c r="Q227" s="5">
        <f t="shared" si="8"/>
        <v>2</v>
      </c>
      <c r="R227" s="5"/>
      <c r="S227" s="3" t="s">
        <v>722</v>
      </c>
      <c r="T227" s="3" t="s">
        <v>723</v>
      </c>
      <c r="U227" s="3" t="s">
        <v>22</v>
      </c>
      <c r="V227" s="5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>
      <c r="A228" s="3" t="s">
        <v>14</v>
      </c>
      <c r="B228" s="3" t="s">
        <v>725</v>
      </c>
      <c r="C228" s="3" t="s">
        <v>726</v>
      </c>
      <c r="D228" s="3" t="s">
        <v>727</v>
      </c>
      <c r="E228" s="3" t="s">
        <v>728</v>
      </c>
      <c r="F228" s="3" t="s">
        <v>615</v>
      </c>
      <c r="G228" s="3" t="s">
        <v>615</v>
      </c>
      <c r="H228" s="43">
        <f t="shared" ref="H228:I228" si="457">LEN(D228)-LEN(B228)+1</f>
        <v>2</v>
      </c>
      <c r="I228" s="43">
        <f t="shared" si="457"/>
        <v>2</v>
      </c>
      <c r="J228" s="4">
        <v>1.0</v>
      </c>
      <c r="K228" s="4">
        <v>1.0</v>
      </c>
      <c r="L228" s="5" t="str">
        <f t="shared" ref="L228:M228" si="458">IFS(J228="-", "-", J228=H228, "Final", J228=1, "Initial", J228&gt;1, "Medial")</f>
        <v>Initial</v>
      </c>
      <c r="M228" s="44" t="str">
        <f t="shared" si="458"/>
        <v>Initial</v>
      </c>
      <c r="N228" s="5" t="str">
        <f t="shared" si="5"/>
        <v>0</v>
      </c>
      <c r="O228" s="5" t="str">
        <f t="shared" si="6"/>
        <v>dɪ</v>
      </c>
      <c r="P228" s="5" t="str">
        <f t="shared" si="7"/>
        <v>0</v>
      </c>
      <c r="Q228" s="5" t="str">
        <f t="shared" si="8"/>
        <v>dɨ</v>
      </c>
      <c r="R228" s="5"/>
      <c r="S228" s="3" t="s">
        <v>729</v>
      </c>
      <c r="T228" s="3" t="s">
        <v>730</v>
      </c>
      <c r="U228" s="3" t="s">
        <v>22</v>
      </c>
      <c r="V228" s="5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>
      <c r="A229" s="3" t="s">
        <v>14</v>
      </c>
      <c r="B229" s="3" t="s">
        <v>725</v>
      </c>
      <c r="C229" s="3" t="s">
        <v>726</v>
      </c>
      <c r="D229" s="3" t="s">
        <v>727</v>
      </c>
      <c r="E229" s="3" t="s">
        <v>728</v>
      </c>
      <c r="F229" s="3" t="s">
        <v>731</v>
      </c>
      <c r="G229" s="3" t="s">
        <v>334</v>
      </c>
      <c r="H229" s="43">
        <f t="shared" ref="H229:I229" si="459">LEN(D229)-LEN(B229)+1</f>
        <v>2</v>
      </c>
      <c r="I229" s="43">
        <f t="shared" si="459"/>
        <v>2</v>
      </c>
      <c r="J229" s="4">
        <v>2.0</v>
      </c>
      <c r="K229" s="4">
        <v>2.0</v>
      </c>
      <c r="L229" s="5" t="str">
        <f t="shared" ref="L229:M229" si="460">IFS(J229="-", "-", J229=H229, "Final", J229=1, "Initial", J229&gt;1, "Medial")</f>
        <v>Final</v>
      </c>
      <c r="M229" s="44" t="str">
        <f t="shared" si="460"/>
        <v>Final</v>
      </c>
      <c r="N229" s="5" t="str">
        <f t="shared" si="5"/>
        <v>ˈse</v>
      </c>
      <c r="O229" s="5">
        <f t="shared" si="6"/>
        <v>2</v>
      </c>
      <c r="P229" s="5" t="str">
        <f t="shared" si="7"/>
        <v>ˈse</v>
      </c>
      <c r="Q229" s="5">
        <f t="shared" si="8"/>
        <v>2</v>
      </c>
      <c r="R229" s="5"/>
      <c r="S229" s="3" t="s">
        <v>729</v>
      </c>
      <c r="T229" s="3" t="s">
        <v>730</v>
      </c>
      <c r="U229" s="3" t="s">
        <v>22</v>
      </c>
      <c r="V229" s="5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>
      <c r="A230" s="3" t="s">
        <v>14</v>
      </c>
      <c r="B230" s="3" t="s">
        <v>732</v>
      </c>
      <c r="C230" s="3" t="s">
        <v>733</v>
      </c>
      <c r="D230" s="3" t="s">
        <v>734</v>
      </c>
      <c r="E230" s="3" t="s">
        <v>735</v>
      </c>
      <c r="F230" s="3" t="s">
        <v>261</v>
      </c>
      <c r="G230" s="3" t="s">
        <v>736</v>
      </c>
      <c r="H230" s="43">
        <f t="shared" ref="H230:I230" si="461">LEN(D230)-LEN(B230)+1</f>
        <v>2</v>
      </c>
      <c r="I230" s="43">
        <f t="shared" si="461"/>
        <v>3</v>
      </c>
      <c r="J230" s="4">
        <v>1.0</v>
      </c>
      <c r="K230" s="4">
        <v>1.0</v>
      </c>
      <c r="L230" s="5" t="str">
        <f t="shared" ref="L230:M230" si="462">IFS(J230="-", "-", J230=H230, "Final", J230=1, "Initial", J230&gt;1, "Medial")</f>
        <v>Initial</v>
      </c>
      <c r="M230" s="44" t="str">
        <f t="shared" si="462"/>
        <v>Initial</v>
      </c>
      <c r="N230" s="5" t="str">
        <f t="shared" si="5"/>
        <v>0</v>
      </c>
      <c r="O230" s="5" t="str">
        <f t="shared" si="6"/>
        <v>-</v>
      </c>
      <c r="P230" s="5" t="str">
        <f t="shared" si="7"/>
        <v>0</v>
      </c>
      <c r="Q230" s="5" t="str">
        <f t="shared" si="8"/>
        <v>ˈu</v>
      </c>
      <c r="R230" s="3" t="s">
        <v>80</v>
      </c>
      <c r="S230" s="3" t="s">
        <v>737</v>
      </c>
      <c r="T230" s="3" t="s">
        <v>738</v>
      </c>
      <c r="U230" s="3" t="s">
        <v>22</v>
      </c>
      <c r="V230" s="5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>
      <c r="A231" s="3" t="s">
        <v>14</v>
      </c>
      <c r="B231" s="3" t="s">
        <v>732</v>
      </c>
      <c r="C231" s="3" t="s">
        <v>733</v>
      </c>
      <c r="D231" s="3" t="s">
        <v>734</v>
      </c>
      <c r="E231" s="3" t="s">
        <v>735</v>
      </c>
      <c r="F231" s="3" t="s">
        <v>36</v>
      </c>
      <c r="G231" s="3" t="s">
        <v>546</v>
      </c>
      <c r="H231" s="43">
        <f t="shared" ref="H231:I231" si="463">LEN(D231)-LEN(B231)+1</f>
        <v>2</v>
      </c>
      <c r="I231" s="43">
        <f t="shared" si="463"/>
        <v>3</v>
      </c>
      <c r="J231" s="4" t="s">
        <v>36</v>
      </c>
      <c r="K231" s="4">
        <v>2.0</v>
      </c>
      <c r="L231" s="5" t="str">
        <f t="shared" ref="L231:M231" si="464">IFS(J231="-", "-", J231=H231, "Final", J231=1, "Initial", J231&gt;1, "Medial")</f>
        <v>-</v>
      </c>
      <c r="M231" s="44" t="str">
        <f t="shared" si="464"/>
        <v>Medial</v>
      </c>
      <c r="N231" s="5" t="str">
        <f t="shared" si="5"/>
        <v>ˈsu</v>
      </c>
      <c r="O231" s="5" t="str">
        <f t="shared" si="6"/>
        <v>mi</v>
      </c>
      <c r="P231" s="5" t="str">
        <f t="shared" si="7"/>
        <v>si</v>
      </c>
      <c r="Q231" s="5" t="str">
        <f t="shared" si="8"/>
        <v>mɨ</v>
      </c>
      <c r="R231" s="3"/>
      <c r="S231" s="3" t="s">
        <v>737</v>
      </c>
      <c r="T231" s="3" t="s">
        <v>738</v>
      </c>
      <c r="U231" s="3" t="s">
        <v>22</v>
      </c>
      <c r="V231" s="5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>
      <c r="A232" s="3" t="s">
        <v>14</v>
      </c>
      <c r="B232" s="3" t="s">
        <v>732</v>
      </c>
      <c r="C232" s="3" t="s">
        <v>733</v>
      </c>
      <c r="D232" s="3" t="s">
        <v>734</v>
      </c>
      <c r="E232" s="3" t="s">
        <v>735</v>
      </c>
      <c r="F232" s="3" t="s">
        <v>575</v>
      </c>
      <c r="G232" s="3" t="s">
        <v>739</v>
      </c>
      <c r="H232" s="43">
        <f t="shared" ref="H232:I232" si="465">LEN(D232)-LEN(B232)+1</f>
        <v>2</v>
      </c>
      <c r="I232" s="43">
        <f t="shared" si="465"/>
        <v>3</v>
      </c>
      <c r="J232" s="4">
        <v>2.0</v>
      </c>
      <c r="K232" s="4">
        <v>3.0</v>
      </c>
      <c r="L232" s="5" t="str">
        <f t="shared" ref="L232:M232" si="466">IFS(J232="-", "-", J232=H232, "Final", J232=1, "Initial", J232&gt;1, "Medial")</f>
        <v>Final</v>
      </c>
      <c r="M232" s="44" t="str">
        <f t="shared" si="466"/>
        <v>Final</v>
      </c>
      <c r="N232" s="5" t="str">
        <f t="shared" si="5"/>
        <v>-</v>
      </c>
      <c r="O232" s="5">
        <f t="shared" si="6"/>
        <v>2</v>
      </c>
      <c r="P232" s="5" t="str">
        <f t="shared" si="7"/>
        <v>ˈu</v>
      </c>
      <c r="Q232" s="5">
        <f t="shared" si="8"/>
        <v>3</v>
      </c>
      <c r="R232" s="5"/>
      <c r="S232" s="3" t="s">
        <v>737</v>
      </c>
      <c r="T232" s="3" t="s">
        <v>738</v>
      </c>
      <c r="U232" s="3" t="s">
        <v>22</v>
      </c>
      <c r="V232" s="5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>
      <c r="A233" s="3" t="s">
        <v>14</v>
      </c>
      <c r="B233" s="3" t="s">
        <v>740</v>
      </c>
      <c r="C233" s="3" t="s">
        <v>741</v>
      </c>
      <c r="D233" s="6" t="s">
        <v>742</v>
      </c>
      <c r="E233" s="3" t="s">
        <v>743</v>
      </c>
      <c r="F233" s="6" t="s">
        <v>744</v>
      </c>
      <c r="G233" s="3" t="s">
        <v>745</v>
      </c>
      <c r="H233" s="43">
        <f t="shared" ref="H233:I233" si="467">LEN(D233)-LEN(B233)+1</f>
        <v>2</v>
      </c>
      <c r="I233" s="43">
        <f t="shared" si="467"/>
        <v>3</v>
      </c>
      <c r="J233" s="4">
        <v>1.0</v>
      </c>
      <c r="K233" s="4">
        <v>1.0</v>
      </c>
      <c r="L233" s="5" t="str">
        <f t="shared" ref="L233:M233" si="468">IFS(J233="-", "-", J233=H233, "Final", J233=1, "Initial", J233&gt;1, "Medial")</f>
        <v>Initial</v>
      </c>
      <c r="M233" s="44" t="str">
        <f t="shared" si="468"/>
        <v>Initial</v>
      </c>
      <c r="N233" s="5" t="str">
        <f t="shared" si="5"/>
        <v>0</v>
      </c>
      <c r="O233" s="5" t="str">
        <f t="shared" si="6"/>
        <v>-</v>
      </c>
      <c r="P233" s="5" t="str">
        <f t="shared" si="7"/>
        <v>0</v>
      </c>
      <c r="Q233" s="5" t="str">
        <f t="shared" si="8"/>
        <v>ˈgo</v>
      </c>
      <c r="R233" s="3" t="s">
        <v>80</v>
      </c>
      <c r="S233" s="3" t="s">
        <v>746</v>
      </c>
      <c r="T233" s="3" t="s">
        <v>747</v>
      </c>
      <c r="U233" s="3" t="s">
        <v>22</v>
      </c>
      <c r="V233" s="5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>
      <c r="A234" s="3" t="s">
        <v>14</v>
      </c>
      <c r="B234" s="3" t="s">
        <v>740</v>
      </c>
      <c r="C234" s="3" t="s">
        <v>741</v>
      </c>
      <c r="D234" s="6" t="s">
        <v>742</v>
      </c>
      <c r="E234" s="3" t="s">
        <v>743</v>
      </c>
      <c r="F234" s="6" t="s">
        <v>36</v>
      </c>
      <c r="G234" s="3" t="s">
        <v>353</v>
      </c>
      <c r="H234" s="43">
        <f t="shared" ref="H234:I234" si="469">LEN(D234)-LEN(B234)+1</f>
        <v>2</v>
      </c>
      <c r="I234" s="43">
        <f t="shared" si="469"/>
        <v>3</v>
      </c>
      <c r="J234" s="4" t="s">
        <v>36</v>
      </c>
      <c r="K234" s="4">
        <v>2.0</v>
      </c>
      <c r="L234" s="5" t="str">
        <f t="shared" ref="L234:M234" si="470">IFS(J234="-", "-", J234=H234, "Final", J234=1, "Initial", J234&gt;1, "Medial")</f>
        <v>-</v>
      </c>
      <c r="M234" s="44" t="str">
        <f t="shared" si="470"/>
        <v>Medial</v>
      </c>
      <c r="N234" s="5" t="str">
        <f t="shared" si="5"/>
        <v>vɔ</v>
      </c>
      <c r="O234" s="5" t="str">
        <f t="shared" si="6"/>
        <v>ˈgjɐ̃</v>
      </c>
      <c r="P234" s="5" t="str">
        <f t="shared" si="7"/>
        <v>vɨɾ</v>
      </c>
      <c r="Q234" s="5" t="str">
        <f t="shared" si="8"/>
        <v>ɲɐ</v>
      </c>
      <c r="R234" s="3"/>
      <c r="S234" s="3" t="s">
        <v>746</v>
      </c>
      <c r="T234" s="3" t="s">
        <v>747</v>
      </c>
      <c r="U234" s="3" t="s">
        <v>22</v>
      </c>
      <c r="V234" s="5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>
      <c r="A235" s="3" t="s">
        <v>14</v>
      </c>
      <c r="B235" s="3" t="s">
        <v>740</v>
      </c>
      <c r="C235" s="3" t="s">
        <v>741</v>
      </c>
      <c r="D235" s="6" t="s">
        <v>742</v>
      </c>
      <c r="E235" s="3" t="s">
        <v>743</v>
      </c>
      <c r="F235" s="6" t="s">
        <v>748</v>
      </c>
      <c r="G235" s="3" t="s">
        <v>75</v>
      </c>
      <c r="H235" s="43">
        <f t="shared" ref="H235:I235" si="471">LEN(D235)-LEN(B235)+1</f>
        <v>2</v>
      </c>
      <c r="I235" s="43">
        <f t="shared" si="471"/>
        <v>3</v>
      </c>
      <c r="J235" s="4">
        <v>2.0</v>
      </c>
      <c r="K235" s="4">
        <v>3.0</v>
      </c>
      <c r="L235" s="5" t="str">
        <f t="shared" ref="L235:M235" si="472">IFS(J235="-", "-", J235=H235, "Final", J235=1, "Initial", J235&gt;1, "Medial")</f>
        <v>Final</v>
      </c>
      <c r="M235" s="44" t="str">
        <f t="shared" si="472"/>
        <v>Final</v>
      </c>
      <c r="N235" s="5" t="str">
        <f t="shared" si="5"/>
        <v>-</v>
      </c>
      <c r="O235" s="5">
        <f t="shared" si="6"/>
        <v>2</v>
      </c>
      <c r="P235" s="5" t="str">
        <f t="shared" si="7"/>
        <v>ˈgo</v>
      </c>
      <c r="Q235" s="5">
        <f t="shared" si="8"/>
        <v>3</v>
      </c>
      <c r="R235" s="5"/>
      <c r="S235" s="3" t="s">
        <v>746</v>
      </c>
      <c r="T235" s="3" t="s">
        <v>747</v>
      </c>
      <c r="U235" s="3" t="s">
        <v>22</v>
      </c>
      <c r="V235" s="5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>
      <c r="A236" s="3" t="s">
        <v>14</v>
      </c>
      <c r="B236" s="3" t="s">
        <v>749</v>
      </c>
      <c r="C236" s="3" t="s">
        <v>750</v>
      </c>
      <c r="D236" s="3" t="s">
        <v>751</v>
      </c>
      <c r="E236" s="3" t="s">
        <v>752</v>
      </c>
      <c r="F236" s="3" t="s">
        <v>335</v>
      </c>
      <c r="G236" s="3" t="s">
        <v>753</v>
      </c>
      <c r="H236" s="43">
        <f t="shared" ref="H236:I236" si="473">LEN(D236)-LEN(B236)+1</f>
        <v>2</v>
      </c>
      <c r="I236" s="43">
        <f t="shared" si="473"/>
        <v>3</v>
      </c>
      <c r="J236" s="4">
        <v>1.0</v>
      </c>
      <c r="K236" s="4">
        <v>1.0</v>
      </c>
      <c r="L236" s="5" t="str">
        <f t="shared" ref="L236:M236" si="474">IFS(J236="-", "-", J236=H236, "Final", J236=1, "Initial", J236&gt;1, "Medial")</f>
        <v>Initial</v>
      </c>
      <c r="M236" s="44" t="str">
        <f t="shared" si="474"/>
        <v>Initial</v>
      </c>
      <c r="N236" s="5" t="str">
        <f t="shared" si="5"/>
        <v>0</v>
      </c>
      <c r="O236" s="5" t="str">
        <f t="shared" si="6"/>
        <v>-</v>
      </c>
      <c r="P236" s="5" t="str">
        <f t="shared" si="7"/>
        <v>0</v>
      </c>
      <c r="Q236" s="5" t="str">
        <f t="shared" si="8"/>
        <v>ˈvɐj</v>
      </c>
      <c r="R236" s="3" t="s">
        <v>80</v>
      </c>
      <c r="S236" s="3" t="s">
        <v>754</v>
      </c>
      <c r="T236" s="3" t="s">
        <v>755</v>
      </c>
      <c r="U236" s="3" t="s">
        <v>22</v>
      </c>
      <c r="V236" s="5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>
      <c r="A237" s="3" t="s">
        <v>14</v>
      </c>
      <c r="B237" s="3" t="s">
        <v>749</v>
      </c>
      <c r="C237" s="3" t="s">
        <v>750</v>
      </c>
      <c r="D237" s="3" t="s">
        <v>751</v>
      </c>
      <c r="E237" s="3" t="s">
        <v>752</v>
      </c>
      <c r="F237" s="3" t="s">
        <v>36</v>
      </c>
      <c r="G237" s="3" t="s">
        <v>756</v>
      </c>
      <c r="H237" s="43">
        <f t="shared" ref="H237:I237" si="475">LEN(D237)-LEN(B237)+1</f>
        <v>2</v>
      </c>
      <c r="I237" s="43">
        <f t="shared" si="475"/>
        <v>3</v>
      </c>
      <c r="J237" s="4" t="s">
        <v>36</v>
      </c>
      <c r="K237" s="4">
        <v>2.0</v>
      </c>
      <c r="L237" s="5" t="str">
        <f t="shared" ref="L237:M237" si="476">IFS(J237="-", "-", J237=H237, "Final", J237=1, "Initial", J237&gt;1, "Medial")</f>
        <v>-</v>
      </c>
      <c r="M237" s="44" t="str">
        <f t="shared" si="476"/>
        <v>Medial</v>
      </c>
      <c r="N237" s="5" t="str">
        <f t="shared" si="5"/>
        <v>ˈwe</v>
      </c>
      <c r="O237" s="5" t="str">
        <f t="shared" si="6"/>
        <v>ˈʃja</v>
      </c>
      <c r="P237" s="5" t="str">
        <f t="shared" si="7"/>
        <v>ĩ</v>
      </c>
      <c r="Q237" s="5" t="str">
        <f t="shared" si="8"/>
        <v>ʒɐ</v>
      </c>
      <c r="R237" s="3"/>
      <c r="S237" s="3" t="s">
        <v>754</v>
      </c>
      <c r="T237" s="3" t="s">
        <v>755</v>
      </c>
      <c r="U237" s="3" t="s">
        <v>22</v>
      </c>
      <c r="V237" s="5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>
      <c r="A238" s="3" t="s">
        <v>14</v>
      </c>
      <c r="B238" s="3" t="s">
        <v>749</v>
      </c>
      <c r="C238" s="3" t="s">
        <v>750</v>
      </c>
      <c r="D238" s="3" t="s">
        <v>751</v>
      </c>
      <c r="E238" s="3" t="s">
        <v>752</v>
      </c>
      <c r="F238" s="3" t="s">
        <v>757</v>
      </c>
      <c r="G238" s="3" t="s">
        <v>758</v>
      </c>
      <c r="H238" s="43">
        <f t="shared" ref="H238:I238" si="477">LEN(D238)-LEN(B238)+1</f>
        <v>2</v>
      </c>
      <c r="I238" s="43">
        <f t="shared" si="477"/>
        <v>3</v>
      </c>
      <c r="J238" s="4">
        <v>2.0</v>
      </c>
      <c r="K238" s="4">
        <v>3.0</v>
      </c>
      <c r="L238" s="5" t="str">
        <f t="shared" ref="L238:M238" si="478">IFS(J238="-", "-", J238=H238, "Final", J238=1, "Initial", J238&gt;1, "Medial")</f>
        <v>Final</v>
      </c>
      <c r="M238" s="44" t="str">
        <f t="shared" si="478"/>
        <v>Final</v>
      </c>
      <c r="N238" s="5" t="str">
        <f t="shared" si="5"/>
        <v>-</v>
      </c>
      <c r="O238" s="5">
        <f t="shared" si="6"/>
        <v>2</v>
      </c>
      <c r="P238" s="5" t="str">
        <f t="shared" si="7"/>
        <v>ˈvɐj</v>
      </c>
      <c r="Q238" s="5">
        <f t="shared" si="8"/>
        <v>3</v>
      </c>
      <c r="R238" s="5"/>
      <c r="S238" s="3" t="s">
        <v>754</v>
      </c>
      <c r="T238" s="3" t="s">
        <v>755</v>
      </c>
      <c r="U238" s="3" t="s">
        <v>22</v>
      </c>
      <c r="V238" s="5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>
      <c r="A239" s="3" t="s">
        <v>14</v>
      </c>
      <c r="B239" s="3" t="s">
        <v>759</v>
      </c>
      <c r="C239" s="3" t="s">
        <v>760</v>
      </c>
      <c r="D239" s="6" t="s">
        <v>761</v>
      </c>
      <c r="E239" s="3" t="s">
        <v>762</v>
      </c>
      <c r="F239" s="6" t="s">
        <v>763</v>
      </c>
      <c r="G239" s="3" t="s">
        <v>764</v>
      </c>
      <c r="H239" s="43">
        <f t="shared" ref="H239:I239" si="479">LEN(D239)-LEN(B239)+1</f>
        <v>2</v>
      </c>
      <c r="I239" s="43">
        <f t="shared" si="479"/>
        <v>2</v>
      </c>
      <c r="J239" s="4">
        <v>1.0</v>
      </c>
      <c r="K239" s="4">
        <v>1.0</v>
      </c>
      <c r="L239" s="5" t="str">
        <f t="shared" ref="L239:M239" si="480">IFS(J239="-", "-", J239=H239, "Final", J239=1, "Initial", J239&gt;1, "Medial")</f>
        <v>Initial</v>
      </c>
      <c r="M239" s="44" t="str">
        <f t="shared" si="480"/>
        <v>Initial</v>
      </c>
      <c r="N239" s="5" t="str">
        <f t="shared" si="5"/>
        <v>0</v>
      </c>
      <c r="O239" s="5" t="str">
        <f t="shared" si="6"/>
        <v>ku</v>
      </c>
      <c r="P239" s="5" t="str">
        <f t="shared" si="7"/>
        <v>0</v>
      </c>
      <c r="Q239" s="5" t="str">
        <f t="shared" si="8"/>
        <v>ku</v>
      </c>
      <c r="R239" s="5"/>
      <c r="S239" s="3" t="s">
        <v>765</v>
      </c>
      <c r="T239" s="3" t="s">
        <v>766</v>
      </c>
      <c r="U239" s="3" t="s">
        <v>22</v>
      </c>
      <c r="V239" s="5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>
      <c r="A240" s="3" t="s">
        <v>14</v>
      </c>
      <c r="B240" s="3" t="s">
        <v>759</v>
      </c>
      <c r="C240" s="3" t="s">
        <v>760</v>
      </c>
      <c r="D240" s="6" t="s">
        <v>761</v>
      </c>
      <c r="E240" s="3" t="s">
        <v>762</v>
      </c>
      <c r="F240" s="6" t="s">
        <v>425</v>
      </c>
      <c r="G240" s="3" t="s">
        <v>425</v>
      </c>
      <c r="H240" s="43">
        <f t="shared" ref="H240:I240" si="481">LEN(D240)-LEN(B240)+1</f>
        <v>2</v>
      </c>
      <c r="I240" s="43">
        <f t="shared" si="481"/>
        <v>2</v>
      </c>
      <c r="J240" s="4">
        <v>2.0</v>
      </c>
      <c r="K240" s="4">
        <v>2.0</v>
      </c>
      <c r="L240" s="5" t="str">
        <f t="shared" ref="L240:M240" si="482">IFS(J240="-", "-", J240=H240, "Final", J240=1, "Initial", J240&gt;1, "Medial")</f>
        <v>Final</v>
      </c>
      <c r="M240" s="44" t="str">
        <f t="shared" si="482"/>
        <v>Final</v>
      </c>
      <c r="N240" s="5" t="str">
        <f t="shared" si="5"/>
        <v>ˈbɐ̃:</v>
      </c>
      <c r="O240" s="5">
        <f t="shared" si="6"/>
        <v>2</v>
      </c>
      <c r="P240" s="5" t="str">
        <f t="shared" si="7"/>
        <v>ˈbɾɐ̃</v>
      </c>
      <c r="Q240" s="5">
        <f t="shared" si="8"/>
        <v>2</v>
      </c>
      <c r="R240" s="5"/>
      <c r="S240" s="3" t="s">
        <v>765</v>
      </c>
      <c r="T240" s="3" t="s">
        <v>766</v>
      </c>
      <c r="U240" s="3" t="s">
        <v>22</v>
      </c>
      <c r="V240" s="5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>
      <c r="A241" s="3" t="s">
        <v>14</v>
      </c>
      <c r="B241" s="3" t="s">
        <v>420</v>
      </c>
      <c r="C241" s="3" t="s">
        <v>309</v>
      </c>
      <c r="D241" s="3" t="s">
        <v>420</v>
      </c>
      <c r="E241" s="3" t="s">
        <v>309</v>
      </c>
      <c r="F241" s="3" t="s">
        <v>420</v>
      </c>
      <c r="G241" s="3" t="s">
        <v>309</v>
      </c>
      <c r="H241" s="43">
        <f t="shared" ref="H241:I241" si="483">LEN(D241)-LEN(B241)+1</f>
        <v>1</v>
      </c>
      <c r="I241" s="43">
        <f t="shared" si="483"/>
        <v>1</v>
      </c>
      <c r="J241" s="4">
        <v>1.0</v>
      </c>
      <c r="K241" s="4">
        <v>1.0</v>
      </c>
      <c r="L241" s="5" t="str">
        <f t="shared" ref="L241:M241" si="484">IFS(J241="-", "-", J241=H241, "Final", J241=1, "Initial", J241&gt;1, "Medial")</f>
        <v>Final</v>
      </c>
      <c r="M241" s="44" t="str">
        <f t="shared" si="484"/>
        <v>Final</v>
      </c>
      <c r="N241" s="5" t="str">
        <f t="shared" si="5"/>
        <v>0</v>
      </c>
      <c r="O241" s="5">
        <f t="shared" si="6"/>
        <v>1</v>
      </c>
      <c r="P241" s="5" t="str">
        <f t="shared" si="7"/>
        <v>0</v>
      </c>
      <c r="Q241" s="5">
        <f t="shared" si="8"/>
        <v>1</v>
      </c>
      <c r="R241" s="5"/>
      <c r="S241" s="3" t="s">
        <v>767</v>
      </c>
      <c r="T241" s="3" t="s">
        <v>768</v>
      </c>
      <c r="U241" s="3" t="s">
        <v>22</v>
      </c>
      <c r="V241" s="5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>
      <c r="A242" s="3" t="s">
        <v>14</v>
      </c>
      <c r="B242" s="3" t="s">
        <v>769</v>
      </c>
      <c r="C242" s="3" t="s">
        <v>770</v>
      </c>
      <c r="D242" s="3" t="s">
        <v>771</v>
      </c>
      <c r="E242" s="3" t="s">
        <v>772</v>
      </c>
      <c r="F242" s="17" t="s">
        <v>36</v>
      </c>
      <c r="G242" s="3" t="s">
        <v>49</v>
      </c>
      <c r="H242" s="43">
        <f t="shared" ref="H242:I242" si="485">LEN(D242)-LEN(B242)+1</f>
        <v>3</v>
      </c>
      <c r="I242" s="43">
        <f t="shared" si="485"/>
        <v>4</v>
      </c>
      <c r="J242" s="17" t="s">
        <v>36</v>
      </c>
      <c r="K242" s="4">
        <v>1.0</v>
      </c>
      <c r="L242" s="5" t="str">
        <f t="shared" ref="L242:M242" si="486">IFS(J242="-", "-", J242=H242, "Final", J242=1, "Initial", J242&gt;1, "Medial")</f>
        <v>-</v>
      </c>
      <c r="M242" s="44" t="str">
        <f t="shared" si="486"/>
        <v>Initial</v>
      </c>
      <c r="N242" s="5" t="str">
        <f t="shared" si="5"/>
        <v>0</v>
      </c>
      <c r="O242" s="5" t="str">
        <f t="shared" si="6"/>
        <v>ma</v>
      </c>
      <c r="P242" s="5" t="str">
        <f t="shared" si="7"/>
        <v>0</v>
      </c>
      <c r="Q242" s="5" t="str">
        <f t="shared" si="8"/>
        <v>mɐ</v>
      </c>
      <c r="R242" s="3"/>
      <c r="S242" s="3" t="s">
        <v>773</v>
      </c>
      <c r="T242" s="3" t="s">
        <v>774</v>
      </c>
      <c r="U242" s="3" t="s">
        <v>22</v>
      </c>
      <c r="V242" s="5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>
      <c r="A243" s="3" t="s">
        <v>14</v>
      </c>
      <c r="B243" s="3" t="s">
        <v>769</v>
      </c>
      <c r="C243" s="3" t="s">
        <v>770</v>
      </c>
      <c r="D243" s="3" t="s">
        <v>771</v>
      </c>
      <c r="E243" s="3" t="s">
        <v>772</v>
      </c>
      <c r="F243" s="3" t="s">
        <v>157</v>
      </c>
      <c r="G243" s="3" t="s">
        <v>158</v>
      </c>
      <c r="H243" s="43">
        <f t="shared" ref="H243:I243" si="487">LEN(D243)-LEN(B243)+1</f>
        <v>3</v>
      </c>
      <c r="I243" s="43">
        <f t="shared" si="487"/>
        <v>4</v>
      </c>
      <c r="J243" s="4">
        <v>1.0</v>
      </c>
      <c r="K243" s="4">
        <v>2.0</v>
      </c>
      <c r="L243" s="5" t="str">
        <f t="shared" ref="L243:M243" si="488">IFS(J243="-", "-", J243=H243, "Final", J243=1, "Initial", J243&gt;1, "Medial")</f>
        <v>Initial</v>
      </c>
      <c r="M243" s="44" t="str">
        <f t="shared" si="488"/>
        <v>Medial</v>
      </c>
      <c r="N243" s="5" t="str">
        <f t="shared" si="5"/>
        <v>-</v>
      </c>
      <c r="O243" s="5" t="str">
        <f t="shared" si="6"/>
        <v>ˈrɛ</v>
      </c>
      <c r="P243" s="5" t="str">
        <f t="shared" si="7"/>
        <v>ɐ</v>
      </c>
      <c r="Q243" s="5" t="str">
        <f t="shared" si="8"/>
        <v>ˈɾe</v>
      </c>
      <c r="R243" s="5"/>
      <c r="S243" s="3" t="s">
        <v>773</v>
      </c>
      <c r="T243" s="3" t="s">
        <v>774</v>
      </c>
      <c r="U243" s="3" t="s">
        <v>22</v>
      </c>
      <c r="V243" s="5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>
      <c r="A244" s="3" t="s">
        <v>14</v>
      </c>
      <c r="B244" s="3" t="s">
        <v>769</v>
      </c>
      <c r="C244" s="3" t="s">
        <v>770</v>
      </c>
      <c r="D244" s="3" t="s">
        <v>771</v>
      </c>
      <c r="E244" s="3" t="s">
        <v>772</v>
      </c>
      <c r="F244" s="3" t="s">
        <v>720</v>
      </c>
      <c r="G244" s="3" t="s">
        <v>775</v>
      </c>
      <c r="H244" s="43">
        <f t="shared" ref="H244:I244" si="489">LEN(D244)-LEN(B244)+1</f>
        <v>3</v>
      </c>
      <c r="I244" s="43">
        <f t="shared" si="489"/>
        <v>4</v>
      </c>
      <c r="J244" s="4">
        <v>2.0</v>
      </c>
      <c r="K244" s="4">
        <v>3.0</v>
      </c>
      <c r="L244" s="5" t="str">
        <f t="shared" ref="L244:M244" si="490">IFS(J244="-", "-", J244=H244, "Final", J244=1, "Initial", J244&gt;1, "Medial")</f>
        <v>Medial</v>
      </c>
      <c r="M244" s="44" t="str">
        <f t="shared" si="490"/>
        <v>Medial</v>
      </c>
      <c r="N244" s="5" t="str">
        <f t="shared" si="5"/>
        <v>ma</v>
      </c>
      <c r="O244" s="5" t="str">
        <f t="shared" si="6"/>
        <v>lu</v>
      </c>
      <c r="P244" s="5" t="str">
        <f t="shared" si="7"/>
        <v>mɐ</v>
      </c>
      <c r="Q244" s="5" t="str">
        <f t="shared" si="8"/>
        <v>lu</v>
      </c>
      <c r="R244" s="3"/>
      <c r="S244" s="3" t="s">
        <v>773</v>
      </c>
      <c r="T244" s="3" t="s">
        <v>774</v>
      </c>
      <c r="U244" s="3" t="s">
        <v>22</v>
      </c>
      <c r="V244" s="5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>
      <c r="A245" s="3" t="s">
        <v>14</v>
      </c>
      <c r="B245" s="3" t="s">
        <v>769</v>
      </c>
      <c r="C245" s="3" t="s">
        <v>770</v>
      </c>
      <c r="D245" s="3" t="s">
        <v>771</v>
      </c>
      <c r="E245" s="3" t="s">
        <v>772</v>
      </c>
      <c r="F245" s="3" t="s">
        <v>245</v>
      </c>
      <c r="G245" s="3" t="s">
        <v>245</v>
      </c>
      <c r="H245" s="43">
        <f t="shared" ref="H245:I245" si="491">LEN(D245)-LEN(B245)+1</f>
        <v>3</v>
      </c>
      <c r="I245" s="43">
        <f t="shared" si="491"/>
        <v>4</v>
      </c>
      <c r="J245" s="4">
        <v>3.0</v>
      </c>
      <c r="K245" s="4">
        <v>4.0</v>
      </c>
      <c r="L245" s="5" t="str">
        <f t="shared" ref="L245:M245" si="492">IFS(J245="-", "-", J245=H245, "Final", J245=1, "Initial", J245&gt;1, "Medial")</f>
        <v>Final</v>
      </c>
      <c r="M245" s="44" t="str">
        <f t="shared" si="492"/>
        <v>Final</v>
      </c>
      <c r="N245" s="5" t="str">
        <f t="shared" si="5"/>
        <v>ˈrɛ</v>
      </c>
      <c r="O245" s="5">
        <f t="shared" si="6"/>
        <v>3</v>
      </c>
      <c r="P245" s="5" t="str">
        <f t="shared" si="7"/>
        <v>ˈɾe</v>
      </c>
      <c r="Q245" s="5">
        <f t="shared" si="8"/>
        <v>4</v>
      </c>
      <c r="R245" s="5"/>
      <c r="S245" s="3" t="s">
        <v>773</v>
      </c>
      <c r="T245" s="3" t="s">
        <v>774</v>
      </c>
      <c r="U245" s="3" t="s">
        <v>22</v>
      </c>
      <c r="V245" s="5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>
      <c r="A246" s="3" t="s">
        <v>14</v>
      </c>
      <c r="B246" s="3" t="s">
        <v>776</v>
      </c>
      <c r="C246" s="3" t="s">
        <v>777</v>
      </c>
      <c r="D246" s="6" t="s">
        <v>778</v>
      </c>
      <c r="E246" s="3" t="s">
        <v>779</v>
      </c>
      <c r="F246" s="6" t="s">
        <v>780</v>
      </c>
      <c r="G246" s="3" t="s">
        <v>781</v>
      </c>
      <c r="H246" s="43">
        <f t="shared" ref="H246:I246" si="493">LEN(D246)-LEN(B246)+1</f>
        <v>2</v>
      </c>
      <c r="I246" s="43">
        <f t="shared" si="493"/>
        <v>2</v>
      </c>
      <c r="J246" s="4">
        <v>1.0</v>
      </c>
      <c r="K246" s="4">
        <v>1.0</v>
      </c>
      <c r="L246" s="5" t="str">
        <f t="shared" ref="L246:M246" si="494">IFS(J246="-", "-", J246=H246, "Final", J246=1, "Initial", J246&gt;1, "Medial")</f>
        <v>Initial</v>
      </c>
      <c r="M246" s="44" t="str">
        <f t="shared" si="494"/>
        <v>Initial</v>
      </c>
      <c r="N246" s="5" t="str">
        <f t="shared" si="5"/>
        <v>0</v>
      </c>
      <c r="O246" s="5" t="str">
        <f t="shared" si="6"/>
        <v>tu</v>
      </c>
      <c r="P246" s="5" t="str">
        <f t="shared" si="7"/>
        <v>0</v>
      </c>
      <c r="Q246" s="5" t="str">
        <f t="shared" si="8"/>
        <v>tu</v>
      </c>
      <c r="R246" s="5"/>
      <c r="S246" s="3" t="s">
        <v>782</v>
      </c>
      <c r="T246" s="3" t="s">
        <v>783</v>
      </c>
      <c r="U246" s="3" t="s">
        <v>22</v>
      </c>
      <c r="V246" s="5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>
      <c r="A247" s="3" t="s">
        <v>14</v>
      </c>
      <c r="B247" s="3" t="s">
        <v>776</v>
      </c>
      <c r="C247" s="3" t="s">
        <v>777</v>
      </c>
      <c r="D247" s="6" t="s">
        <v>778</v>
      </c>
      <c r="E247" s="3" t="s">
        <v>779</v>
      </c>
      <c r="F247" s="6" t="s">
        <v>784</v>
      </c>
      <c r="G247" s="3" t="s">
        <v>784</v>
      </c>
      <c r="H247" s="43">
        <f t="shared" ref="H247:I247" si="495">LEN(D247)-LEN(B247)+1</f>
        <v>2</v>
      </c>
      <c r="I247" s="43">
        <f t="shared" si="495"/>
        <v>2</v>
      </c>
      <c r="J247" s="4">
        <v>2.0</v>
      </c>
      <c r="K247" s="4">
        <v>2.0</v>
      </c>
      <c r="L247" s="5" t="str">
        <f t="shared" ref="L247:M247" si="496">IFS(J247="-", "-", J247=H247, "Final", J247=1, "Initial", J247&gt;1, "Medial")</f>
        <v>Final</v>
      </c>
      <c r="M247" s="44" t="str">
        <f t="shared" si="496"/>
        <v>Final</v>
      </c>
      <c r="N247" s="5" t="str">
        <f t="shared" si="5"/>
        <v>ˈpɛ:</v>
      </c>
      <c r="O247" s="5">
        <f t="shared" si="6"/>
        <v>2</v>
      </c>
      <c r="P247" s="5" t="str">
        <f t="shared" si="7"/>
        <v>ˈpɾe</v>
      </c>
      <c r="Q247" s="5">
        <f t="shared" si="8"/>
        <v>2</v>
      </c>
      <c r="R247" s="5"/>
      <c r="S247" s="3" t="s">
        <v>782</v>
      </c>
      <c r="T247" s="3" t="s">
        <v>783</v>
      </c>
      <c r="U247" s="3" t="s">
        <v>22</v>
      </c>
      <c r="V247" s="5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>
      <c r="A248" s="3" t="s">
        <v>14</v>
      </c>
      <c r="B248" s="3" t="s">
        <v>785</v>
      </c>
      <c r="C248" s="3" t="s">
        <v>786</v>
      </c>
      <c r="D248" s="3" t="s">
        <v>787</v>
      </c>
      <c r="E248" s="3" t="s">
        <v>788</v>
      </c>
      <c r="F248" s="3" t="s">
        <v>789</v>
      </c>
      <c r="G248" s="3" t="s">
        <v>790</v>
      </c>
      <c r="H248" s="43">
        <f t="shared" ref="H248:I248" si="497">LEN(D248)-LEN(B248)+1</f>
        <v>2</v>
      </c>
      <c r="I248" s="43">
        <f t="shared" si="497"/>
        <v>2</v>
      </c>
      <c r="J248" s="4">
        <v>1.0</v>
      </c>
      <c r="K248" s="4">
        <v>1.0</v>
      </c>
      <c r="L248" s="5" t="str">
        <f t="shared" ref="L248:M248" si="498">IFS(J248="-", "-", J248=H248, "Final", J248=1, "Initial", J248&gt;1, "Medial")</f>
        <v>Initial</v>
      </c>
      <c r="M248" s="44" t="str">
        <f t="shared" si="498"/>
        <v>Initial</v>
      </c>
      <c r="N248" s="5" t="str">
        <f t="shared" si="5"/>
        <v>0</v>
      </c>
      <c r="O248" s="5" t="str">
        <f t="shared" si="6"/>
        <v>zɐ</v>
      </c>
      <c r="P248" s="5" t="str">
        <f t="shared" si="7"/>
        <v>0</v>
      </c>
      <c r="Q248" s="5" t="str">
        <f t="shared" si="8"/>
        <v>zɐ</v>
      </c>
      <c r="R248" s="5"/>
      <c r="S248" s="3" t="s">
        <v>791</v>
      </c>
      <c r="T248" s="3" t="s">
        <v>792</v>
      </c>
      <c r="U248" s="3" t="s">
        <v>22</v>
      </c>
      <c r="V248" s="5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>
      <c r="A249" s="3" t="s">
        <v>14</v>
      </c>
      <c r="B249" s="3" t="s">
        <v>785</v>
      </c>
      <c r="C249" s="3" t="s">
        <v>786</v>
      </c>
      <c r="D249" s="3" t="s">
        <v>787</v>
      </c>
      <c r="E249" s="3" t="s">
        <v>788</v>
      </c>
      <c r="F249" s="3" t="s">
        <v>296</v>
      </c>
      <c r="G249" s="3" t="s">
        <v>296</v>
      </c>
      <c r="H249" s="43">
        <f t="shared" ref="H249:I249" si="499">LEN(D249)-LEN(B249)+1</f>
        <v>2</v>
      </c>
      <c r="I249" s="43">
        <f t="shared" si="499"/>
        <v>2</v>
      </c>
      <c r="J249" s="4">
        <v>2.0</v>
      </c>
      <c r="K249" s="4">
        <v>2.0</v>
      </c>
      <c r="L249" s="5" t="str">
        <f t="shared" ref="L249:M249" si="500">IFS(J249="-", "-", J249=H249, "Final", J249=1, "Initial", J249&gt;1, "Medial")</f>
        <v>Final</v>
      </c>
      <c r="M249" s="44" t="str">
        <f t="shared" si="500"/>
        <v>Final</v>
      </c>
      <c r="N249" s="5" t="str">
        <f t="shared" si="5"/>
        <v>ˈrɔ</v>
      </c>
      <c r="O249" s="5">
        <f t="shared" si="6"/>
        <v>2</v>
      </c>
      <c r="P249" s="5" t="str">
        <f t="shared" si="7"/>
        <v>ˈʀo</v>
      </c>
      <c r="Q249" s="5">
        <f t="shared" si="8"/>
        <v>2</v>
      </c>
      <c r="R249" s="5"/>
      <c r="S249" s="3" t="s">
        <v>791</v>
      </c>
      <c r="T249" s="3" t="s">
        <v>792</v>
      </c>
      <c r="U249" s="3" t="s">
        <v>22</v>
      </c>
      <c r="V249" s="5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>
      <c r="A250" s="3" t="s">
        <v>14</v>
      </c>
      <c r="B250" s="3" t="s">
        <v>793</v>
      </c>
      <c r="C250" s="3" t="s">
        <v>794</v>
      </c>
      <c r="D250" s="3" t="s">
        <v>795</v>
      </c>
      <c r="E250" s="3" t="s">
        <v>796</v>
      </c>
      <c r="F250" s="3" t="s">
        <v>797</v>
      </c>
      <c r="G250" s="3" t="s">
        <v>798</v>
      </c>
      <c r="H250" s="43">
        <f t="shared" ref="H250:I250" si="501">LEN(D250)-LEN(B250)+1</f>
        <v>2</v>
      </c>
      <c r="I250" s="43">
        <f t="shared" si="501"/>
        <v>2</v>
      </c>
      <c r="J250" s="4">
        <v>1.0</v>
      </c>
      <c r="K250" s="4">
        <v>1.0</v>
      </c>
      <c r="L250" s="5" t="str">
        <f t="shared" ref="L250:M250" si="502">IFS(J250="-", "-", J250=H250, "Final", J250=1, "Initial", J250&gt;1, "Medial")</f>
        <v>Initial</v>
      </c>
      <c r="M250" s="44" t="str">
        <f t="shared" si="502"/>
        <v>Initial</v>
      </c>
      <c r="N250" s="5" t="str">
        <f t="shared" si="5"/>
        <v>0</v>
      </c>
      <c r="O250" s="5" t="str">
        <f t="shared" si="6"/>
        <v>de</v>
      </c>
      <c r="P250" s="5" t="str">
        <f t="shared" si="7"/>
        <v>0</v>
      </c>
      <c r="Q250" s="5" t="str">
        <f t="shared" si="8"/>
        <v>dɨ</v>
      </c>
      <c r="R250" s="5"/>
      <c r="S250" s="3" t="s">
        <v>799</v>
      </c>
      <c r="T250" s="3" t="s">
        <v>800</v>
      </c>
      <c r="U250" s="3" t="s">
        <v>22</v>
      </c>
      <c r="V250" s="5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>
      <c r="A251" s="3" t="s">
        <v>14</v>
      </c>
      <c r="B251" s="3" t="s">
        <v>793</v>
      </c>
      <c r="C251" s="3" t="s">
        <v>794</v>
      </c>
      <c r="D251" s="3" t="s">
        <v>795</v>
      </c>
      <c r="E251" s="3" t="s">
        <v>796</v>
      </c>
      <c r="F251" s="3" t="s">
        <v>801</v>
      </c>
      <c r="G251" s="3" t="s">
        <v>334</v>
      </c>
      <c r="H251" s="43">
        <f t="shared" ref="H251:I251" si="503">LEN(D251)-LEN(B251)+1</f>
        <v>2</v>
      </c>
      <c r="I251" s="43">
        <f t="shared" si="503"/>
        <v>2</v>
      </c>
      <c r="J251" s="4">
        <v>2.0</v>
      </c>
      <c r="K251" s="4">
        <v>2.0</v>
      </c>
      <c r="L251" s="5" t="str">
        <f t="shared" ref="L251:M251" si="504">IFS(J251="-", "-", J251=H251, "Final", J251=1, "Initial", J251&gt;1, "Medial")</f>
        <v>Final</v>
      </c>
      <c r="M251" s="44" t="str">
        <f t="shared" si="504"/>
        <v>Final</v>
      </c>
      <c r="N251" s="5" t="str">
        <f t="shared" si="5"/>
        <v>ˈve</v>
      </c>
      <c r="O251" s="5">
        <f t="shared" si="6"/>
        <v>2</v>
      </c>
      <c r="P251" s="5" t="str">
        <f t="shared" si="7"/>
        <v>ˈveɾ</v>
      </c>
      <c r="Q251" s="5">
        <f t="shared" si="8"/>
        <v>2</v>
      </c>
      <c r="R251" s="5"/>
      <c r="S251" s="3" t="s">
        <v>799</v>
      </c>
      <c r="T251" s="3" t="s">
        <v>800</v>
      </c>
      <c r="U251" s="3" t="s">
        <v>22</v>
      </c>
      <c r="V251" s="5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>
      <c r="A252" s="15" t="s">
        <v>14</v>
      </c>
      <c r="B252" s="15" t="s">
        <v>802</v>
      </c>
      <c r="C252" s="15" t="s">
        <v>803</v>
      </c>
      <c r="D252" s="15" t="s">
        <v>804</v>
      </c>
      <c r="E252" s="15" t="s">
        <v>805</v>
      </c>
      <c r="F252" s="15" t="s">
        <v>806</v>
      </c>
      <c r="G252" s="15" t="s">
        <v>745</v>
      </c>
      <c r="H252" s="43">
        <f t="shared" ref="H252:I252" si="505">LEN(D252)-LEN(B252)+1</f>
        <v>2</v>
      </c>
      <c r="I252" s="43">
        <f t="shared" si="505"/>
        <v>3</v>
      </c>
      <c r="J252" s="18">
        <v>1.0</v>
      </c>
      <c r="K252" s="18">
        <v>1.0</v>
      </c>
      <c r="L252" s="5" t="str">
        <f t="shared" ref="L252:M252" si="506">IFS(J252="-", "-", J252=H252, "Final", J252=1, "Initial", J252&gt;1, "Medial")</f>
        <v>Initial</v>
      </c>
      <c r="M252" s="44" t="str">
        <f t="shared" si="506"/>
        <v>Initial</v>
      </c>
      <c r="N252" s="5" t="str">
        <f t="shared" si="5"/>
        <v>0</v>
      </c>
      <c r="O252" s="5" t="str">
        <f t="shared" si="6"/>
        <v>ˈme</v>
      </c>
      <c r="P252" s="5" t="str">
        <f t="shared" si="7"/>
        <v>0</v>
      </c>
      <c r="Q252" s="5" t="str">
        <f t="shared" si="8"/>
        <v>ˈmɐj</v>
      </c>
      <c r="R252" s="15" t="s">
        <v>80</v>
      </c>
      <c r="S252" s="15" t="s">
        <v>807</v>
      </c>
      <c r="T252" s="15" t="s">
        <v>808</v>
      </c>
      <c r="U252" s="15" t="s">
        <v>22</v>
      </c>
      <c r="V252" s="20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</row>
    <row r="253">
      <c r="A253" s="15" t="s">
        <v>14</v>
      </c>
      <c r="B253" s="15" t="s">
        <v>802</v>
      </c>
      <c r="C253" s="15" t="s">
        <v>803</v>
      </c>
      <c r="D253" s="15" t="s">
        <v>804</v>
      </c>
      <c r="E253" s="15" t="s">
        <v>805</v>
      </c>
      <c r="F253" s="15" t="s">
        <v>809</v>
      </c>
      <c r="G253" s="15" t="s">
        <v>810</v>
      </c>
      <c r="H253" s="43">
        <f t="shared" ref="H253:I253" si="507">LEN(D253)-LEN(B253)+1</f>
        <v>2</v>
      </c>
      <c r="I253" s="43">
        <f t="shared" si="507"/>
        <v>3</v>
      </c>
      <c r="J253" s="18">
        <v>2.0</v>
      </c>
      <c r="K253" s="18">
        <v>2.0</v>
      </c>
      <c r="L253" s="5" t="str">
        <f t="shared" ref="L253:M253" si="508">IFS(J253="-", "-", J253=H253, "Final", J253=1, "Initial", J253&gt;1, "Medial")</f>
        <v>Final</v>
      </c>
      <c r="M253" s="44" t="str">
        <f t="shared" si="508"/>
        <v>Medial</v>
      </c>
      <c r="N253" s="5" t="str">
        <f t="shared" si="5"/>
        <v>ve</v>
      </c>
      <c r="O253" s="5" t="str">
        <f t="shared" si="6"/>
        <v>-</v>
      </c>
      <c r="P253" s="5" t="str">
        <f t="shared" si="7"/>
        <v>vɨɾ</v>
      </c>
      <c r="Q253" s="5" t="str">
        <f t="shared" si="8"/>
        <v>ʎu</v>
      </c>
      <c r="R253" s="15"/>
      <c r="S253" s="15" t="s">
        <v>807</v>
      </c>
      <c r="T253" s="15" t="s">
        <v>808</v>
      </c>
      <c r="U253" s="15" t="s">
        <v>22</v>
      </c>
      <c r="V253" s="20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</row>
    <row r="254">
      <c r="A254" s="15" t="s">
        <v>14</v>
      </c>
      <c r="B254" s="15" t="s">
        <v>802</v>
      </c>
      <c r="C254" s="15" t="s">
        <v>803</v>
      </c>
      <c r="D254" s="15" t="s">
        <v>804</v>
      </c>
      <c r="E254" s="15" t="s">
        <v>805</v>
      </c>
      <c r="F254" s="15" t="s">
        <v>36</v>
      </c>
      <c r="G254" s="15" t="s">
        <v>24</v>
      </c>
      <c r="H254" s="43">
        <f t="shared" ref="H254:I254" si="509">LEN(D254)-LEN(B254)+1</f>
        <v>2</v>
      </c>
      <c r="I254" s="43">
        <f t="shared" si="509"/>
        <v>3</v>
      </c>
      <c r="J254" s="18" t="s">
        <v>36</v>
      </c>
      <c r="K254" s="18">
        <v>3.0</v>
      </c>
      <c r="L254" s="5" t="str">
        <f t="shared" ref="L254:M254" si="510">IFS(J254="-", "-", J254=H254, "Final", J254=1, "Initial", J254&gt;1, "Medial")</f>
        <v>-</v>
      </c>
      <c r="M254" s="44" t="str">
        <f t="shared" si="510"/>
        <v>Final</v>
      </c>
      <c r="N254" s="5" t="str">
        <f t="shared" si="5"/>
        <v>ˈme</v>
      </c>
      <c r="O254" s="5" t="str">
        <f t="shared" si="6"/>
        <v>-</v>
      </c>
      <c r="P254" s="5" t="str">
        <f t="shared" si="7"/>
        <v>ˈmɐj</v>
      </c>
      <c r="Q254" s="5">
        <f t="shared" si="8"/>
        <v>3</v>
      </c>
      <c r="R254" s="20"/>
      <c r="S254" s="15" t="s">
        <v>807</v>
      </c>
      <c r="T254" s="15" t="s">
        <v>808</v>
      </c>
      <c r="U254" s="15" t="s">
        <v>22</v>
      </c>
      <c r="V254" s="20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</row>
    <row r="255">
      <c r="A255" s="3" t="s">
        <v>14</v>
      </c>
      <c r="B255" s="3" t="s">
        <v>811</v>
      </c>
      <c r="C255" s="3" t="s">
        <v>812</v>
      </c>
      <c r="D255" s="3" t="s">
        <v>813</v>
      </c>
      <c r="E255" s="3" t="s">
        <v>814</v>
      </c>
      <c r="F255" s="3" t="s">
        <v>815</v>
      </c>
      <c r="G255" s="3" t="s">
        <v>49</v>
      </c>
      <c r="H255" s="43">
        <f t="shared" ref="H255:I255" si="511">LEN(D255)-LEN(B255)+1</f>
        <v>2</v>
      </c>
      <c r="I255" s="43">
        <f t="shared" si="511"/>
        <v>2</v>
      </c>
      <c r="J255" s="4">
        <v>1.0</v>
      </c>
      <c r="K255" s="4">
        <v>1.0</v>
      </c>
      <c r="L255" s="5" t="str">
        <f t="shared" ref="L255:M255" si="512">IFS(J255="-", "-", J255=H255, "Final", J255=1, "Initial", J255&gt;1, "Medial")</f>
        <v>Initial</v>
      </c>
      <c r="M255" s="44" t="str">
        <f t="shared" si="512"/>
        <v>Initial</v>
      </c>
      <c r="N255" s="5" t="str">
        <f t="shared" si="5"/>
        <v>0</v>
      </c>
      <c r="O255" s="5" t="str">
        <f t="shared" si="6"/>
        <v>lu</v>
      </c>
      <c r="P255" s="5" t="str">
        <f t="shared" si="7"/>
        <v>0</v>
      </c>
      <c r="Q255" s="5" t="str">
        <f t="shared" si="8"/>
        <v>ˈzuɫ</v>
      </c>
      <c r="R255" s="5"/>
      <c r="S255" s="3" t="s">
        <v>816</v>
      </c>
      <c r="T255" s="3" t="s">
        <v>817</v>
      </c>
      <c r="U255" s="3" t="s">
        <v>22</v>
      </c>
      <c r="V255" s="5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>
      <c r="A256" s="3" t="s">
        <v>14</v>
      </c>
      <c r="B256" s="3" t="s">
        <v>811</v>
      </c>
      <c r="C256" s="3" t="s">
        <v>812</v>
      </c>
      <c r="D256" s="3" t="s">
        <v>813</v>
      </c>
      <c r="E256" s="3" t="s">
        <v>814</v>
      </c>
      <c r="F256" s="3" t="s">
        <v>245</v>
      </c>
      <c r="G256" s="3" t="s">
        <v>818</v>
      </c>
      <c r="H256" s="43">
        <f t="shared" ref="H256:I256" si="513">LEN(D256)-LEN(B256)+1</f>
        <v>2</v>
      </c>
      <c r="I256" s="43">
        <f t="shared" si="513"/>
        <v>2</v>
      </c>
      <c r="J256" s="4">
        <v>2.0</v>
      </c>
      <c r="K256" s="4">
        <v>2.0</v>
      </c>
      <c r="L256" s="5" t="str">
        <f t="shared" ref="L256:M256" si="514">IFS(J256="-", "-", J256=H256, "Final", J256=1, "Initial", J256&gt;1, "Medial")</f>
        <v>Final</v>
      </c>
      <c r="M256" s="44" t="str">
        <f t="shared" si="514"/>
        <v>Final</v>
      </c>
      <c r="N256" s="5" t="str">
        <f t="shared" si="5"/>
        <v>ˈzu</v>
      </c>
      <c r="O256" s="5">
        <f t="shared" si="6"/>
        <v>2</v>
      </c>
      <c r="P256" s="5" t="str">
        <f t="shared" si="7"/>
        <v>ɐ</v>
      </c>
      <c r="Q256" s="5">
        <f t="shared" si="8"/>
        <v>2</v>
      </c>
      <c r="R256" s="5"/>
      <c r="S256" s="3" t="s">
        <v>816</v>
      </c>
      <c r="T256" s="3" t="s">
        <v>817</v>
      </c>
      <c r="U256" s="3" t="s">
        <v>22</v>
      </c>
      <c r="V256" s="5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>
      <c r="A257" s="15" t="s">
        <v>14</v>
      </c>
      <c r="B257" s="15" t="s">
        <v>819</v>
      </c>
      <c r="C257" s="15" t="s">
        <v>820</v>
      </c>
      <c r="D257" s="15" t="s">
        <v>821</v>
      </c>
      <c r="E257" s="15" t="s">
        <v>822</v>
      </c>
      <c r="F257" s="15" t="s">
        <v>108</v>
      </c>
      <c r="G257" s="15" t="s">
        <v>175</v>
      </c>
      <c r="H257" s="43">
        <f t="shared" ref="H257:I257" si="515">LEN(D257)-LEN(B257)+1</f>
        <v>2</v>
      </c>
      <c r="I257" s="43">
        <f t="shared" si="515"/>
        <v>4</v>
      </c>
      <c r="J257" s="18">
        <v>1.0</v>
      </c>
      <c r="K257" s="18">
        <v>1.0</v>
      </c>
      <c r="L257" s="5" t="str">
        <f t="shared" ref="L257:M257" si="516">IFS(J257="-", "-", J257=H257, "Final", J257=1, "Initial", J257&gt;1, "Medial")</f>
        <v>Initial</v>
      </c>
      <c r="M257" s="44" t="str">
        <f t="shared" si="516"/>
        <v>Initial</v>
      </c>
      <c r="N257" s="5" t="str">
        <f t="shared" si="5"/>
        <v>0</v>
      </c>
      <c r="O257" s="5" t="str">
        <f t="shared" si="6"/>
        <v>ˈra</v>
      </c>
      <c r="P257" s="5" t="str">
        <f t="shared" si="7"/>
        <v>0</v>
      </c>
      <c r="Q257" s="5" t="str">
        <f t="shared" si="8"/>
        <v>ɾɐ̃</v>
      </c>
      <c r="R257" s="15" t="s">
        <v>80</v>
      </c>
      <c r="S257" s="15" t="s">
        <v>823</v>
      </c>
      <c r="T257" s="15" t="s">
        <v>824</v>
      </c>
      <c r="U257" s="15" t="s">
        <v>22</v>
      </c>
      <c r="V257" s="20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</row>
    <row r="258">
      <c r="A258" s="15" t="s">
        <v>14</v>
      </c>
      <c r="B258" s="15" t="s">
        <v>819</v>
      </c>
      <c r="C258" s="15" t="s">
        <v>820</v>
      </c>
      <c r="D258" s="15" t="s">
        <v>821</v>
      </c>
      <c r="E258" s="15" t="s">
        <v>822</v>
      </c>
      <c r="F258" s="15" t="s">
        <v>326</v>
      </c>
      <c r="G258" s="15" t="s">
        <v>825</v>
      </c>
      <c r="H258" s="43">
        <f t="shared" ref="H258:I258" si="517">LEN(D258)-LEN(B258)+1</f>
        <v>2</v>
      </c>
      <c r="I258" s="43">
        <f t="shared" si="517"/>
        <v>4</v>
      </c>
      <c r="J258" s="18">
        <v>2.0</v>
      </c>
      <c r="K258" s="18">
        <v>2.0</v>
      </c>
      <c r="L258" s="5" t="str">
        <f t="shared" ref="L258:M258" si="518">IFS(J258="-", "-", J258=H258, "Final", J258=1, "Initial", J258&gt;1, "Medial")</f>
        <v>Final</v>
      </c>
      <c r="M258" s="44" t="str">
        <f t="shared" si="518"/>
        <v>Medial</v>
      </c>
      <c r="N258" s="5" t="str">
        <f t="shared" si="5"/>
        <v>ka</v>
      </c>
      <c r="O258" s="5" t="str">
        <f t="shared" si="6"/>
        <v>-</v>
      </c>
      <c r="P258" s="5" t="str">
        <f t="shared" si="7"/>
        <v>kɐ</v>
      </c>
      <c r="Q258" s="5" t="str">
        <f t="shared" si="8"/>
        <v>ˈgej</v>
      </c>
      <c r="R258" s="15"/>
      <c r="S258" s="15" t="s">
        <v>823</v>
      </c>
      <c r="T258" s="15" t="s">
        <v>824</v>
      </c>
      <c r="U258" s="15" t="s">
        <v>22</v>
      </c>
      <c r="V258" s="20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</row>
    <row r="259">
      <c r="A259" s="15" t="s">
        <v>14</v>
      </c>
      <c r="B259" s="15" t="s">
        <v>819</v>
      </c>
      <c r="C259" s="15" t="s">
        <v>820</v>
      </c>
      <c r="D259" s="15" t="s">
        <v>821</v>
      </c>
      <c r="E259" s="15" t="s">
        <v>822</v>
      </c>
      <c r="F259" s="15" t="s">
        <v>36</v>
      </c>
      <c r="G259" s="15" t="s">
        <v>826</v>
      </c>
      <c r="H259" s="43">
        <f t="shared" ref="H259:I259" si="519">LEN(D259)-LEN(B259)+1</f>
        <v>2</v>
      </c>
      <c r="I259" s="43">
        <f t="shared" si="519"/>
        <v>4</v>
      </c>
      <c r="J259" s="18" t="s">
        <v>36</v>
      </c>
      <c r="K259" s="18">
        <v>3.0</v>
      </c>
      <c r="L259" s="5" t="str">
        <f t="shared" ref="L259:M259" si="520">IFS(J259="-", "-", J259=H259, "Final", J259=1, "Initial", J259&gt;1, "Medial")</f>
        <v>-</v>
      </c>
      <c r="M259" s="44" t="str">
        <f t="shared" si="520"/>
        <v>Medial</v>
      </c>
      <c r="N259" s="5" t="str">
        <f t="shared" si="5"/>
        <v>ˈra</v>
      </c>
      <c r="O259" s="5" t="str">
        <f t="shared" si="6"/>
        <v>-</v>
      </c>
      <c r="P259" s="5" t="str">
        <f t="shared" si="7"/>
        <v>ɾɐ̃</v>
      </c>
      <c r="Q259" s="5" t="str">
        <f t="shared" si="8"/>
        <v>ʒu</v>
      </c>
      <c r="R259" s="15"/>
      <c r="S259" s="15" t="s">
        <v>823</v>
      </c>
      <c r="T259" s="15" t="s">
        <v>824</v>
      </c>
      <c r="U259" s="15" t="s">
        <v>22</v>
      </c>
      <c r="V259" s="20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</row>
    <row r="260">
      <c r="A260" s="15" t="s">
        <v>14</v>
      </c>
      <c r="B260" s="15" t="s">
        <v>819</v>
      </c>
      <c r="C260" s="15" t="s">
        <v>820</v>
      </c>
      <c r="D260" s="15" t="s">
        <v>821</v>
      </c>
      <c r="E260" s="15" t="s">
        <v>822</v>
      </c>
      <c r="F260" s="15" t="s">
        <v>36</v>
      </c>
      <c r="G260" s="15" t="s">
        <v>495</v>
      </c>
      <c r="H260" s="43">
        <f t="shared" ref="H260:I260" si="521">LEN(D260)-LEN(B260)+1</f>
        <v>2</v>
      </c>
      <c r="I260" s="43">
        <f t="shared" si="521"/>
        <v>4</v>
      </c>
      <c r="J260" s="18" t="s">
        <v>36</v>
      </c>
      <c r="K260" s="18">
        <v>4.0</v>
      </c>
      <c r="L260" s="5" t="str">
        <f t="shared" ref="L260:M260" si="522">IFS(J260="-", "-", J260=H260, "Final", J260=1, "Initial", J260&gt;1, "Medial")</f>
        <v>-</v>
      </c>
      <c r="M260" s="44" t="str">
        <f t="shared" si="522"/>
        <v>Final</v>
      </c>
      <c r="N260" s="5" t="str">
        <f t="shared" si="5"/>
        <v>-</v>
      </c>
      <c r="O260" s="5" t="str">
        <f t="shared" si="6"/>
        <v>-</v>
      </c>
      <c r="P260" s="5" t="str">
        <f t="shared" si="7"/>
        <v>ˈgej</v>
      </c>
      <c r="Q260" s="5">
        <f t="shared" si="8"/>
        <v>4</v>
      </c>
      <c r="R260" s="20"/>
      <c r="S260" s="15" t="s">
        <v>823</v>
      </c>
      <c r="T260" s="15" t="s">
        <v>824</v>
      </c>
      <c r="U260" s="15" t="s">
        <v>22</v>
      </c>
      <c r="V260" s="20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</row>
    <row r="261">
      <c r="A261" s="15" t="s">
        <v>14</v>
      </c>
      <c r="B261" s="15" t="s">
        <v>827</v>
      </c>
      <c r="C261" s="15" t="s">
        <v>828</v>
      </c>
      <c r="D261" s="15" t="s">
        <v>829</v>
      </c>
      <c r="E261" s="15" t="s">
        <v>830</v>
      </c>
      <c r="F261" s="15"/>
      <c r="G261" s="15"/>
      <c r="H261" s="43">
        <f t="shared" ref="H261:I261" si="523">LEN(D261)-LEN(B261)+1</f>
        <v>3</v>
      </c>
      <c r="I261" s="43">
        <f t="shared" si="523"/>
        <v>4</v>
      </c>
      <c r="J261" s="18"/>
      <c r="K261" s="18"/>
      <c r="L261" s="5" t="str">
        <f t="shared" ref="L261:M261" si="524">IFS(J261="-", "-", J261=H261, "Final", J261=1, "Initial", J261&gt;1, "Medial")</f>
        <v>#N/A</v>
      </c>
      <c r="M261" s="44" t="str">
        <f t="shared" si="524"/>
        <v>#N/A</v>
      </c>
      <c r="N261" s="5" t="str">
        <f t="shared" si="5"/>
        <v>0</v>
      </c>
      <c r="O261" s="5" t="str">
        <f t="shared" si="6"/>
        <v/>
      </c>
      <c r="P261" s="5" t="str">
        <f t="shared" si="7"/>
        <v>0</v>
      </c>
      <c r="Q261" s="5" t="str">
        <f t="shared" si="8"/>
        <v/>
      </c>
      <c r="R261" s="15"/>
      <c r="S261" s="15" t="s">
        <v>831</v>
      </c>
      <c r="T261" s="15" t="s">
        <v>832</v>
      </c>
      <c r="U261" s="15" t="s">
        <v>22</v>
      </c>
      <c r="V261" s="15" t="s">
        <v>560</v>
      </c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</row>
    <row r="262">
      <c r="A262" s="3" t="s">
        <v>14</v>
      </c>
      <c r="B262" s="3" t="s">
        <v>833</v>
      </c>
      <c r="C262" s="3" t="s">
        <v>834</v>
      </c>
      <c r="D262" s="3" t="s">
        <v>835</v>
      </c>
      <c r="E262" s="3" t="s">
        <v>836</v>
      </c>
      <c r="F262" s="3" t="s">
        <v>128</v>
      </c>
      <c r="G262" s="3" t="s">
        <v>49</v>
      </c>
      <c r="H262" s="43">
        <f t="shared" ref="H262:I262" si="525">LEN(D262)-LEN(B262)+1</f>
        <v>3</v>
      </c>
      <c r="I262" s="43">
        <f t="shared" si="525"/>
        <v>3</v>
      </c>
      <c r="J262" s="4">
        <v>1.0</v>
      </c>
      <c r="K262" s="4">
        <v>1.0</v>
      </c>
      <c r="L262" s="5" t="str">
        <f t="shared" ref="L262:M262" si="526">IFS(J262="-", "-", J262=H262, "Final", J262=1, "Initial", J262&gt;1, "Medial")</f>
        <v>Initial</v>
      </c>
      <c r="M262" s="44" t="str">
        <f t="shared" si="526"/>
        <v>Initial</v>
      </c>
      <c r="N262" s="5" t="str">
        <f t="shared" si="5"/>
        <v>0</v>
      </c>
      <c r="O262" s="5" t="str">
        <f t="shared" si="6"/>
        <v>ˈgu</v>
      </c>
      <c r="P262" s="5" t="str">
        <f t="shared" si="7"/>
        <v>0</v>
      </c>
      <c r="Q262" s="5" t="str">
        <f t="shared" si="8"/>
        <v>ˈgu</v>
      </c>
      <c r="R262" s="5"/>
      <c r="S262" s="3" t="s">
        <v>837</v>
      </c>
      <c r="T262" s="3" t="s">
        <v>838</v>
      </c>
      <c r="U262" s="3" t="s">
        <v>22</v>
      </c>
      <c r="V262" s="5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>
      <c r="A263" s="3" t="s">
        <v>14</v>
      </c>
      <c r="B263" s="3" t="s">
        <v>833</v>
      </c>
      <c r="C263" s="3" t="s">
        <v>834</v>
      </c>
      <c r="D263" s="3" t="s">
        <v>835</v>
      </c>
      <c r="E263" s="3" t="s">
        <v>836</v>
      </c>
      <c r="F263" s="3" t="s">
        <v>839</v>
      </c>
      <c r="G263" s="3" t="s">
        <v>839</v>
      </c>
      <c r="H263" s="43">
        <f t="shared" ref="H263:I263" si="527">LEN(D263)-LEN(B263)+1</f>
        <v>3</v>
      </c>
      <c r="I263" s="43">
        <f t="shared" si="527"/>
        <v>3</v>
      </c>
      <c r="J263" s="4">
        <v>2.0</v>
      </c>
      <c r="K263" s="4">
        <v>2.0</v>
      </c>
      <c r="L263" s="5" t="str">
        <f t="shared" ref="L263:M263" si="528">IFS(J263="-", "-", J263=H263, "Final", J263=1, "Initial", J263&gt;1, "Medial")</f>
        <v>Medial</v>
      </c>
      <c r="M263" s="44" t="str">
        <f t="shared" si="528"/>
        <v>Medial</v>
      </c>
      <c r="N263" s="5" t="str">
        <f t="shared" si="5"/>
        <v>u</v>
      </c>
      <c r="O263" s="5" t="str">
        <f t="shared" si="6"/>
        <v>jɐ</v>
      </c>
      <c r="P263" s="5" t="str">
        <f t="shared" si="7"/>
        <v>ɐ</v>
      </c>
      <c r="Q263" s="5" t="str">
        <f t="shared" si="8"/>
        <v>ʎɐ</v>
      </c>
      <c r="R263" s="5"/>
      <c r="S263" s="3" t="s">
        <v>837</v>
      </c>
      <c r="T263" s="3" t="s">
        <v>838</v>
      </c>
      <c r="U263" s="3" t="s">
        <v>22</v>
      </c>
      <c r="V263" s="5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>
      <c r="A264" s="3" t="s">
        <v>14</v>
      </c>
      <c r="B264" s="3" t="s">
        <v>833</v>
      </c>
      <c r="C264" s="3" t="s">
        <v>834</v>
      </c>
      <c r="D264" s="3" t="s">
        <v>835</v>
      </c>
      <c r="E264" s="3" t="s">
        <v>836</v>
      </c>
      <c r="F264" s="3" t="s">
        <v>840</v>
      </c>
      <c r="G264" s="3" t="s">
        <v>482</v>
      </c>
      <c r="H264" s="43">
        <f t="shared" ref="H264:I264" si="529">LEN(D264)-LEN(B264)+1</f>
        <v>3</v>
      </c>
      <c r="I264" s="43">
        <f t="shared" si="529"/>
        <v>3</v>
      </c>
      <c r="J264" s="4">
        <v>3.0</v>
      </c>
      <c r="K264" s="4">
        <v>3.0</v>
      </c>
      <c r="L264" s="5" t="str">
        <f t="shared" ref="L264:M264" si="530">IFS(J264="-", "-", J264=H264, "Final", J264=1, "Initial", J264&gt;1, "Medial")</f>
        <v>Final</v>
      </c>
      <c r="M264" s="44" t="str">
        <f t="shared" si="530"/>
        <v>Final</v>
      </c>
      <c r="N264" s="5" t="str">
        <f t="shared" si="5"/>
        <v>ˈgu</v>
      </c>
      <c r="O264" s="5">
        <f t="shared" si="6"/>
        <v>3</v>
      </c>
      <c r="P264" s="5" t="str">
        <f t="shared" si="7"/>
        <v>ˈgu</v>
      </c>
      <c r="Q264" s="5">
        <f t="shared" si="8"/>
        <v>3</v>
      </c>
      <c r="R264" s="5"/>
      <c r="S264" s="3" t="s">
        <v>837</v>
      </c>
      <c r="T264" s="3" t="s">
        <v>838</v>
      </c>
      <c r="U264" s="3" t="s">
        <v>22</v>
      </c>
      <c r="V264" s="5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>
      <c r="A265" s="15" t="s">
        <v>14</v>
      </c>
      <c r="B265" s="15" t="s">
        <v>841</v>
      </c>
      <c r="C265" s="15" t="s">
        <v>842</v>
      </c>
      <c r="D265" s="15" t="s">
        <v>843</v>
      </c>
      <c r="E265" s="15" t="s">
        <v>844</v>
      </c>
      <c r="F265" s="15" t="s">
        <v>845</v>
      </c>
      <c r="G265" s="15" t="s">
        <v>36</v>
      </c>
      <c r="H265" s="43">
        <f t="shared" ref="H265:I265" si="531">LEN(D265)-LEN(B265)+1</f>
        <v>3</v>
      </c>
      <c r="I265" s="43">
        <f t="shared" si="531"/>
        <v>2</v>
      </c>
      <c r="J265" s="18">
        <v>1.0</v>
      </c>
      <c r="K265" s="18" t="s">
        <v>36</v>
      </c>
      <c r="L265" s="5" t="str">
        <f t="shared" ref="L265:M265" si="532">IFS(J265="-", "-", J265=H265, "Final", J265=1, "Initial", J265&gt;1, "Medial")</f>
        <v>Initial</v>
      </c>
      <c r="M265" s="44" t="str">
        <f t="shared" si="532"/>
        <v>-</v>
      </c>
      <c r="N265" s="5" t="str">
        <f t="shared" si="5"/>
        <v>0</v>
      </c>
      <c r="O265" s="5" t="str">
        <f t="shared" si="6"/>
        <v>ʃi</v>
      </c>
      <c r="P265" s="5" t="str">
        <f t="shared" si="7"/>
        <v>0</v>
      </c>
      <c r="Q265" s="5" t="str">
        <f t="shared" si="8"/>
        <v>ˈiʃ</v>
      </c>
      <c r="R265" s="20"/>
      <c r="S265" s="15" t="s">
        <v>846</v>
      </c>
      <c r="T265" s="15" t="s">
        <v>847</v>
      </c>
      <c r="U265" s="15" t="s">
        <v>22</v>
      </c>
      <c r="V265" s="20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</row>
    <row r="266">
      <c r="A266" s="15" t="s">
        <v>14</v>
      </c>
      <c r="B266" s="15" t="s">
        <v>841</v>
      </c>
      <c r="C266" s="15" t="s">
        <v>842</v>
      </c>
      <c r="D266" s="15" t="s">
        <v>843</v>
      </c>
      <c r="E266" s="15" t="s">
        <v>844</v>
      </c>
      <c r="F266" s="15" t="s">
        <v>848</v>
      </c>
      <c r="G266" s="15" t="s">
        <v>849</v>
      </c>
      <c r="H266" s="43">
        <f t="shared" ref="H266:I266" si="533">LEN(D266)-LEN(B266)+1</f>
        <v>3</v>
      </c>
      <c r="I266" s="43">
        <f t="shared" si="533"/>
        <v>2</v>
      </c>
      <c r="J266" s="18">
        <v>2.0</v>
      </c>
      <c r="K266" s="18">
        <v>1.0</v>
      </c>
      <c r="L266" s="5" t="str">
        <f t="shared" ref="L266:M266" si="534">IFS(J266="-", "-", J266=H266, "Final", J266=1, "Initial", J266&gt;1, "Medial")</f>
        <v>Medial</v>
      </c>
      <c r="M266" s="44" t="str">
        <f t="shared" si="534"/>
        <v>Initial</v>
      </c>
      <c r="N266" s="5" t="str">
        <f t="shared" si="5"/>
        <v>ˈi</v>
      </c>
      <c r="O266" s="5" t="str">
        <f t="shared" si="6"/>
        <v>kɐ</v>
      </c>
      <c r="P266" s="5" t="str">
        <f t="shared" si="7"/>
        <v>-</v>
      </c>
      <c r="Q266" s="5" t="str">
        <f t="shared" si="8"/>
        <v>kɐ</v>
      </c>
      <c r="R266" s="20"/>
      <c r="S266" s="15" t="s">
        <v>846</v>
      </c>
      <c r="T266" s="15" t="s">
        <v>847</v>
      </c>
      <c r="U266" s="15" t="s">
        <v>22</v>
      </c>
      <c r="V266" s="20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</row>
    <row r="267">
      <c r="A267" s="15" t="s">
        <v>14</v>
      </c>
      <c r="B267" s="15" t="s">
        <v>841</v>
      </c>
      <c r="C267" s="15" t="s">
        <v>842</v>
      </c>
      <c r="D267" s="15" t="s">
        <v>843</v>
      </c>
      <c r="E267" s="15" t="s">
        <v>844</v>
      </c>
      <c r="F267" s="15" t="s">
        <v>175</v>
      </c>
      <c r="G267" s="15" t="s">
        <v>175</v>
      </c>
      <c r="H267" s="43">
        <f t="shared" ref="H267:I267" si="535">LEN(D267)-LEN(B267)+1</f>
        <v>3</v>
      </c>
      <c r="I267" s="43">
        <f t="shared" si="535"/>
        <v>2</v>
      </c>
      <c r="J267" s="18">
        <v>3.0</v>
      </c>
      <c r="K267" s="18">
        <v>2.0</v>
      </c>
      <c r="L267" s="5" t="str">
        <f t="shared" ref="L267:M267" si="536">IFS(J267="-", "-", J267=H267, "Final", J267=1, "Initial", J267&gt;1, "Medial")</f>
        <v>Final</v>
      </c>
      <c r="M267" s="44" t="str">
        <f t="shared" si="536"/>
        <v>Final</v>
      </c>
      <c r="N267" s="5" t="str">
        <f t="shared" si="5"/>
        <v>ʃi</v>
      </c>
      <c r="O267" s="5">
        <f t="shared" si="6"/>
        <v>3</v>
      </c>
      <c r="P267" s="5" t="str">
        <f t="shared" si="7"/>
        <v>ˈiʃ</v>
      </c>
      <c r="Q267" s="5">
        <f t="shared" si="8"/>
        <v>2</v>
      </c>
      <c r="R267" s="20"/>
      <c r="S267" s="15" t="s">
        <v>846</v>
      </c>
      <c r="T267" s="15" t="s">
        <v>847</v>
      </c>
      <c r="U267" s="15" t="s">
        <v>22</v>
      </c>
      <c r="V267" s="20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</row>
    <row r="268">
      <c r="A268" s="15" t="s">
        <v>14</v>
      </c>
      <c r="B268" s="15" t="s">
        <v>850</v>
      </c>
      <c r="C268" s="15" t="s">
        <v>851</v>
      </c>
      <c r="D268" s="15" t="s">
        <v>852</v>
      </c>
      <c r="E268" s="15" t="s">
        <v>853</v>
      </c>
      <c r="F268" s="15"/>
      <c r="G268" s="15"/>
      <c r="H268" s="43">
        <f t="shared" ref="H268:I268" si="537">LEN(D268)-LEN(B268)+1</f>
        <v>2</v>
      </c>
      <c r="I268" s="43">
        <f t="shared" si="537"/>
        <v>3</v>
      </c>
      <c r="J268" s="18"/>
      <c r="K268" s="18"/>
      <c r="L268" s="5" t="str">
        <f t="shared" ref="L268:M268" si="538">IFS(J268="-", "-", J268=H268, "Final", J268=1, "Initial", J268&gt;1, "Medial")</f>
        <v>#N/A</v>
      </c>
      <c r="M268" s="44" t="str">
        <f t="shared" si="538"/>
        <v>#N/A</v>
      </c>
      <c r="N268" s="5" t="str">
        <f t="shared" si="5"/>
        <v>0</v>
      </c>
      <c r="O268" s="5" t="str">
        <f t="shared" si="6"/>
        <v/>
      </c>
      <c r="P268" s="5" t="str">
        <f t="shared" si="7"/>
        <v>0</v>
      </c>
      <c r="Q268" s="5" t="str">
        <f t="shared" si="8"/>
        <v/>
      </c>
      <c r="R268" s="15"/>
      <c r="S268" s="15" t="s">
        <v>854</v>
      </c>
      <c r="T268" s="15" t="s">
        <v>855</v>
      </c>
      <c r="U268" s="15" t="s">
        <v>22</v>
      </c>
      <c r="V268" s="15" t="s">
        <v>560</v>
      </c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</row>
    <row r="269">
      <c r="A269" s="15" t="s">
        <v>14</v>
      </c>
      <c r="B269" s="15" t="s">
        <v>856</v>
      </c>
      <c r="C269" s="15" t="s">
        <v>857</v>
      </c>
      <c r="D269" s="15" t="s">
        <v>858</v>
      </c>
      <c r="E269" s="15" t="s">
        <v>859</v>
      </c>
      <c r="F269" s="15" t="s">
        <v>784</v>
      </c>
      <c r="G269" s="15" t="s">
        <v>784</v>
      </c>
      <c r="H269" s="43">
        <f t="shared" ref="H269:I269" si="539">LEN(D269)-LEN(B269)+1</f>
        <v>2</v>
      </c>
      <c r="I269" s="43">
        <f t="shared" si="539"/>
        <v>3</v>
      </c>
      <c r="J269" s="18">
        <v>1.0</v>
      </c>
      <c r="K269" s="18">
        <v>1.0</v>
      </c>
      <c r="L269" s="5" t="str">
        <f t="shared" ref="L269:M269" si="540">IFS(J269="-", "-", J269=H269, "Final", J269=1, "Initial", J269&gt;1, "Medial")</f>
        <v>Initial</v>
      </c>
      <c r="M269" s="44" t="str">
        <f t="shared" si="540"/>
        <v>Initial</v>
      </c>
      <c r="N269" s="5" t="str">
        <f t="shared" si="5"/>
        <v>0</v>
      </c>
      <c r="O269" s="5" t="str">
        <f t="shared" si="6"/>
        <v>ˈbɐ̃</v>
      </c>
      <c r="P269" s="5" t="str">
        <f t="shared" si="7"/>
        <v>0</v>
      </c>
      <c r="Q269" s="5" t="str">
        <f t="shared" si="8"/>
        <v>bɐ</v>
      </c>
      <c r="R269" s="15"/>
      <c r="S269" s="15" t="s">
        <v>860</v>
      </c>
      <c r="T269" s="15" t="s">
        <v>861</v>
      </c>
      <c r="U269" s="15" t="s">
        <v>22</v>
      </c>
      <c r="V269" s="20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</row>
    <row r="270">
      <c r="A270" s="15" t="s">
        <v>14</v>
      </c>
      <c r="B270" s="15" t="s">
        <v>856</v>
      </c>
      <c r="C270" s="15" t="s">
        <v>857</v>
      </c>
      <c r="D270" s="15" t="s">
        <v>858</v>
      </c>
      <c r="E270" s="15" t="s">
        <v>859</v>
      </c>
      <c r="F270" s="15" t="s">
        <v>70</v>
      </c>
      <c r="G270" s="15" t="s">
        <v>62</v>
      </c>
      <c r="H270" s="43">
        <f t="shared" ref="H270:I270" si="541">LEN(D270)-LEN(B270)+1</f>
        <v>2</v>
      </c>
      <c r="I270" s="43">
        <f t="shared" si="541"/>
        <v>3</v>
      </c>
      <c r="J270" s="18">
        <v>2.0</v>
      </c>
      <c r="K270" s="18">
        <v>2.0</v>
      </c>
      <c r="L270" s="5" t="str">
        <f t="shared" ref="L270:M270" si="542">IFS(J270="-", "-", J270=H270, "Final", J270=1, "Initial", J270&gt;1, "Medial")</f>
        <v>Final</v>
      </c>
      <c r="M270" s="44" t="str">
        <f t="shared" si="542"/>
        <v>Medial</v>
      </c>
      <c r="N270" s="5" t="str">
        <f t="shared" si="5"/>
        <v>tu</v>
      </c>
      <c r="O270" s="5" t="str">
        <f t="shared" si="6"/>
        <v>-</v>
      </c>
      <c r="P270" s="5" t="str">
        <f t="shared" si="7"/>
        <v>tu</v>
      </c>
      <c r="Q270" s="5" t="str">
        <f t="shared" si="8"/>
        <v>ˈɾɐ̃w̃</v>
      </c>
      <c r="R270" s="15"/>
      <c r="S270" s="15" t="s">
        <v>860</v>
      </c>
      <c r="T270" s="15" t="s">
        <v>861</v>
      </c>
      <c r="U270" s="15" t="s">
        <v>22</v>
      </c>
      <c r="V270" s="20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</row>
    <row r="271">
      <c r="A271" s="15" t="s">
        <v>14</v>
      </c>
      <c r="B271" s="15" t="s">
        <v>856</v>
      </c>
      <c r="C271" s="15" t="s">
        <v>857</v>
      </c>
      <c r="D271" s="15" t="s">
        <v>858</v>
      </c>
      <c r="E271" s="15" t="s">
        <v>859</v>
      </c>
      <c r="F271" s="15" t="s">
        <v>36</v>
      </c>
      <c r="G271" s="15" t="s">
        <v>862</v>
      </c>
      <c r="H271" s="43">
        <f t="shared" ref="H271:I271" si="543">LEN(D271)-LEN(B271)+1</f>
        <v>2</v>
      </c>
      <c r="I271" s="43">
        <f t="shared" si="543"/>
        <v>3</v>
      </c>
      <c r="J271" s="18" t="s">
        <v>36</v>
      </c>
      <c r="K271" s="18">
        <v>3.0</v>
      </c>
      <c r="L271" s="5" t="str">
        <f t="shared" ref="L271:M271" si="544">IFS(J271="-", "-", J271=H271, "Final", J271=1, "Initial", J271&gt;1, "Medial")</f>
        <v>-</v>
      </c>
      <c r="M271" s="44" t="str">
        <f t="shared" si="544"/>
        <v>Final</v>
      </c>
      <c r="N271" s="5" t="str">
        <f t="shared" si="5"/>
        <v>ˈbɐ̃</v>
      </c>
      <c r="O271" s="5" t="str">
        <f t="shared" si="6"/>
        <v>-</v>
      </c>
      <c r="P271" s="5" t="str">
        <f t="shared" si="7"/>
        <v>bɐ</v>
      </c>
      <c r="Q271" s="5">
        <f t="shared" si="8"/>
        <v>3</v>
      </c>
      <c r="R271" s="15"/>
      <c r="S271" s="15" t="s">
        <v>860</v>
      </c>
      <c r="T271" s="15" t="s">
        <v>861</v>
      </c>
      <c r="U271" s="15" t="s">
        <v>22</v>
      </c>
      <c r="V271" s="20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</row>
    <row r="272">
      <c r="A272" s="3" t="s">
        <v>14</v>
      </c>
      <c r="B272" s="3" t="s">
        <v>863</v>
      </c>
      <c r="C272" s="3" t="s">
        <v>864</v>
      </c>
      <c r="D272" s="3" t="s">
        <v>865</v>
      </c>
      <c r="E272" s="3" t="s">
        <v>866</v>
      </c>
      <c r="F272" s="3" t="s">
        <v>317</v>
      </c>
      <c r="G272" s="3" t="s">
        <v>867</v>
      </c>
      <c r="H272" s="43">
        <f t="shared" ref="H272:I272" si="545">LEN(D272)-LEN(B272)+1</f>
        <v>2</v>
      </c>
      <c r="I272" s="43">
        <f t="shared" si="545"/>
        <v>2</v>
      </c>
      <c r="J272" s="4">
        <v>1.0</v>
      </c>
      <c r="K272" s="4">
        <v>1.0</v>
      </c>
      <c r="L272" s="5" t="str">
        <f t="shared" ref="L272:M272" si="546">IFS(J272="-", "-", J272=H272, "Final", J272=1, "Initial", J272&gt;1, "Medial")</f>
        <v>Initial</v>
      </c>
      <c r="M272" s="44" t="str">
        <f t="shared" si="546"/>
        <v>Initial</v>
      </c>
      <c r="N272" s="5" t="str">
        <f t="shared" si="5"/>
        <v>0</v>
      </c>
      <c r="O272" s="5" t="str">
        <f t="shared" si="6"/>
        <v>ʃi</v>
      </c>
      <c r="P272" s="5" t="str">
        <f t="shared" si="7"/>
        <v>0</v>
      </c>
      <c r="Q272" s="5" t="str">
        <f t="shared" si="8"/>
        <v>ʃɨ</v>
      </c>
      <c r="R272" s="3"/>
      <c r="S272" s="3" t="s">
        <v>868</v>
      </c>
      <c r="T272" s="3" t="s">
        <v>869</v>
      </c>
      <c r="U272" s="3" t="s">
        <v>22</v>
      </c>
      <c r="V272" s="5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>
      <c r="A273" s="3" t="s">
        <v>14</v>
      </c>
      <c r="B273" s="3" t="s">
        <v>863</v>
      </c>
      <c r="C273" s="3" t="s">
        <v>864</v>
      </c>
      <c r="D273" s="3" t="s">
        <v>865</v>
      </c>
      <c r="E273" s="3" t="s">
        <v>866</v>
      </c>
      <c r="F273" s="3" t="s">
        <v>848</v>
      </c>
      <c r="G273" s="3" t="s">
        <v>870</v>
      </c>
      <c r="H273" s="43">
        <f t="shared" ref="H273:I273" si="547">LEN(D273)-LEN(B273)+1</f>
        <v>2</v>
      </c>
      <c r="I273" s="43">
        <f t="shared" si="547"/>
        <v>2</v>
      </c>
      <c r="J273" s="4">
        <v>2.0</v>
      </c>
      <c r="K273" s="4">
        <v>2.0</v>
      </c>
      <c r="L273" s="5" t="str">
        <f t="shared" ref="L273:M273" si="548">IFS(J273="-", "-", J273=H273, "Final", J273=1, "Initial", J273&gt;1, "Medial")</f>
        <v>Final</v>
      </c>
      <c r="M273" s="44" t="str">
        <f t="shared" si="548"/>
        <v>Final</v>
      </c>
      <c r="N273" s="5" t="str">
        <f t="shared" si="5"/>
        <v>ˈpe</v>
      </c>
      <c r="O273" s="5">
        <f t="shared" si="6"/>
        <v>2</v>
      </c>
      <c r="P273" s="5" t="str">
        <f t="shared" si="7"/>
        <v>ˈpej</v>
      </c>
      <c r="Q273" s="5">
        <f t="shared" si="8"/>
        <v>2</v>
      </c>
      <c r="R273" s="3"/>
      <c r="S273" s="3" t="s">
        <v>868</v>
      </c>
      <c r="T273" s="3" t="s">
        <v>869</v>
      </c>
      <c r="U273" s="3" t="s">
        <v>22</v>
      </c>
      <c r="V273" s="5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>
      <c r="A274" s="3" t="s">
        <v>14</v>
      </c>
      <c r="B274" s="3" t="s">
        <v>871</v>
      </c>
      <c r="C274" s="3" t="s">
        <v>872</v>
      </c>
      <c r="D274" s="3" t="s">
        <v>873</v>
      </c>
      <c r="E274" s="3" t="s">
        <v>874</v>
      </c>
      <c r="F274" s="3" t="s">
        <v>875</v>
      </c>
      <c r="G274" s="3" t="s">
        <v>222</v>
      </c>
      <c r="H274" s="43">
        <f t="shared" ref="H274:I274" si="549">LEN(D274)-LEN(B274)+1</f>
        <v>3</v>
      </c>
      <c r="I274" s="43">
        <f t="shared" si="549"/>
        <v>3</v>
      </c>
      <c r="J274" s="4">
        <v>1.0</v>
      </c>
      <c r="K274" s="4">
        <v>1.0</v>
      </c>
      <c r="L274" s="5" t="str">
        <f t="shared" ref="L274:M274" si="550">IFS(J274="-", "-", J274=H274, "Final", J274=1, "Initial", J274&gt;1, "Medial")</f>
        <v>Initial</v>
      </c>
      <c r="M274" s="44" t="str">
        <f t="shared" si="550"/>
        <v>Initial</v>
      </c>
      <c r="N274" s="5" t="str">
        <f t="shared" si="5"/>
        <v>0</v>
      </c>
      <c r="O274" s="5" t="str">
        <f t="shared" si="6"/>
        <v>a</v>
      </c>
      <c r="P274" s="5" t="str">
        <f t="shared" si="7"/>
        <v>0</v>
      </c>
      <c r="Q274" s="5" t="str">
        <f t="shared" si="8"/>
        <v>ɐ</v>
      </c>
      <c r="R274" s="3"/>
      <c r="S274" s="3" t="s">
        <v>876</v>
      </c>
      <c r="T274" s="3" t="s">
        <v>877</v>
      </c>
      <c r="U274" s="3" t="s">
        <v>22</v>
      </c>
      <c r="V274" s="5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>
      <c r="A275" s="3" t="s">
        <v>14</v>
      </c>
      <c r="B275" s="3" t="s">
        <v>871</v>
      </c>
      <c r="C275" s="3" t="s">
        <v>872</v>
      </c>
      <c r="D275" s="3" t="s">
        <v>873</v>
      </c>
      <c r="E275" s="3" t="s">
        <v>874</v>
      </c>
      <c r="F275" s="3" t="s">
        <v>30</v>
      </c>
      <c r="G275" s="3" t="s">
        <v>49</v>
      </c>
      <c r="H275" s="43">
        <f t="shared" ref="H275:I275" si="551">LEN(D275)-LEN(B275)+1</f>
        <v>3</v>
      </c>
      <c r="I275" s="43">
        <f t="shared" si="551"/>
        <v>3</v>
      </c>
      <c r="J275" s="4">
        <v>2.0</v>
      </c>
      <c r="K275" s="4">
        <v>2.0</v>
      </c>
      <c r="L275" s="5" t="str">
        <f t="shared" ref="L275:M275" si="552">IFS(J275="-", "-", J275=H275, "Final", J275=1, "Initial", J275&gt;1, "Medial")</f>
        <v>Medial</v>
      </c>
      <c r="M275" s="44" t="str">
        <f t="shared" si="552"/>
        <v>Medial</v>
      </c>
      <c r="N275" s="5" t="str">
        <f t="shared" si="5"/>
        <v>vo</v>
      </c>
      <c r="O275" s="5" t="str">
        <f t="shared" si="6"/>
        <v>ˈdo</v>
      </c>
      <c r="P275" s="5" t="str">
        <f t="shared" si="7"/>
        <v>vu</v>
      </c>
      <c r="Q275" s="5" t="str">
        <f t="shared" si="8"/>
        <v>ˈdoɾ</v>
      </c>
      <c r="R275" s="3"/>
      <c r="S275" s="3" t="s">
        <v>876</v>
      </c>
      <c r="T275" s="3" t="s">
        <v>877</v>
      </c>
      <c r="U275" s="3" t="s">
        <v>22</v>
      </c>
      <c r="V275" s="5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>
      <c r="A276" s="3" t="s">
        <v>14</v>
      </c>
      <c r="B276" s="3" t="s">
        <v>871</v>
      </c>
      <c r="C276" s="3" t="s">
        <v>872</v>
      </c>
      <c r="D276" s="3" t="s">
        <v>873</v>
      </c>
      <c r="E276" s="3" t="s">
        <v>874</v>
      </c>
      <c r="F276" s="3" t="s">
        <v>878</v>
      </c>
      <c r="G276" s="3" t="s">
        <v>879</v>
      </c>
      <c r="H276" s="43">
        <f t="shared" ref="H276:I276" si="553">LEN(D276)-LEN(B276)+1</f>
        <v>3</v>
      </c>
      <c r="I276" s="43">
        <f t="shared" si="553"/>
        <v>3</v>
      </c>
      <c r="J276" s="4">
        <v>3.0</v>
      </c>
      <c r="K276" s="4">
        <v>3.0</v>
      </c>
      <c r="L276" s="5" t="str">
        <f t="shared" ref="L276:M276" si="554">IFS(J276="-", "-", J276=H276, "Final", J276=1, "Initial", J276&gt;1, "Medial")</f>
        <v>Final</v>
      </c>
      <c r="M276" s="44" t="str">
        <f t="shared" si="554"/>
        <v>Final</v>
      </c>
      <c r="N276" s="5" t="str">
        <f t="shared" si="5"/>
        <v>a</v>
      </c>
      <c r="O276" s="5">
        <f t="shared" si="6"/>
        <v>3</v>
      </c>
      <c r="P276" s="5" t="str">
        <f t="shared" si="7"/>
        <v>ɐ</v>
      </c>
      <c r="Q276" s="5">
        <f t="shared" si="8"/>
        <v>3</v>
      </c>
      <c r="R276" s="3"/>
      <c r="S276" s="3" t="s">
        <v>876</v>
      </c>
      <c r="T276" s="3" t="s">
        <v>877</v>
      </c>
      <c r="U276" s="3" t="s">
        <v>22</v>
      </c>
      <c r="V276" s="5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>
      <c r="A277" s="15" t="s">
        <v>14</v>
      </c>
      <c r="B277" s="15" t="s">
        <v>880</v>
      </c>
      <c r="C277" s="15" t="s">
        <v>881</v>
      </c>
      <c r="D277" s="15" t="s">
        <v>882</v>
      </c>
      <c r="E277" s="15" t="s">
        <v>883</v>
      </c>
      <c r="F277" s="15"/>
      <c r="G277" s="15"/>
      <c r="H277" s="43">
        <f t="shared" ref="H277:I277" si="555">LEN(D277)-LEN(B277)+1</f>
        <v>2</v>
      </c>
      <c r="I277" s="43">
        <f t="shared" si="555"/>
        <v>4</v>
      </c>
      <c r="J277" s="18"/>
      <c r="K277" s="18"/>
      <c r="L277" s="5" t="str">
        <f t="shared" ref="L277:M277" si="556">IFS(J277="-", "-", J277=H277, "Final", J277=1, "Initial", J277&gt;1, "Medial")</f>
        <v>#N/A</v>
      </c>
      <c r="M277" s="44" t="str">
        <f t="shared" si="556"/>
        <v>#N/A</v>
      </c>
      <c r="N277" s="5" t="str">
        <f t="shared" si="5"/>
        <v>0</v>
      </c>
      <c r="O277" s="5" t="str">
        <f t="shared" si="6"/>
        <v/>
      </c>
      <c r="P277" s="5" t="str">
        <f t="shared" si="7"/>
        <v>0</v>
      </c>
      <c r="Q277" s="5" t="str">
        <f t="shared" si="8"/>
        <v/>
      </c>
      <c r="R277" s="15"/>
      <c r="S277" s="15" t="s">
        <v>884</v>
      </c>
      <c r="T277" s="15" t="s">
        <v>885</v>
      </c>
      <c r="U277" s="15" t="s">
        <v>22</v>
      </c>
      <c r="V277" s="15" t="s">
        <v>560</v>
      </c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</row>
    <row r="278">
      <c r="A278" s="15" t="s">
        <v>14</v>
      </c>
      <c r="B278" s="15" t="s">
        <v>886</v>
      </c>
      <c r="C278" s="15" t="s">
        <v>887</v>
      </c>
      <c r="D278" s="15" t="s">
        <v>888</v>
      </c>
      <c r="E278" s="15" t="s">
        <v>889</v>
      </c>
      <c r="F278" s="15" t="s">
        <v>349</v>
      </c>
      <c r="G278" s="15" t="s">
        <v>890</v>
      </c>
      <c r="H278" s="43">
        <f t="shared" ref="H278:I278" si="557">LEN(D278)-LEN(B278)+1</f>
        <v>3</v>
      </c>
      <c r="I278" s="43">
        <f t="shared" si="557"/>
        <v>3</v>
      </c>
      <c r="J278" s="18">
        <v>1.0</v>
      </c>
      <c r="K278" s="18">
        <v>1.0</v>
      </c>
      <c r="L278" s="5" t="str">
        <f t="shared" ref="L278:M278" si="558">IFS(J278="-", "-", J278=H278, "Final", J278=1, "Initial", J278&gt;1, "Medial")</f>
        <v>Initial</v>
      </c>
      <c r="M278" s="44" t="str">
        <f t="shared" si="558"/>
        <v>Initial</v>
      </c>
      <c r="N278" s="5" t="str">
        <f t="shared" si="5"/>
        <v>0</v>
      </c>
      <c r="O278" s="5" t="str">
        <f t="shared" si="6"/>
        <v>ˈʃi</v>
      </c>
      <c r="P278" s="5" t="str">
        <f t="shared" si="7"/>
        <v>0</v>
      </c>
      <c r="Q278" s="5" t="str">
        <f t="shared" si="8"/>
        <v>ˈʃi</v>
      </c>
      <c r="R278" s="15" t="s">
        <v>80</v>
      </c>
      <c r="S278" s="15" t="s">
        <v>891</v>
      </c>
      <c r="T278" s="15" t="s">
        <v>892</v>
      </c>
      <c r="U278" s="15" t="s">
        <v>22</v>
      </c>
      <c r="V278" s="20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</row>
    <row r="279">
      <c r="A279" s="15" t="s">
        <v>14</v>
      </c>
      <c r="B279" s="15" t="s">
        <v>886</v>
      </c>
      <c r="C279" s="15" t="s">
        <v>887</v>
      </c>
      <c r="D279" s="15" t="s">
        <v>888</v>
      </c>
      <c r="E279" s="15" t="s">
        <v>889</v>
      </c>
      <c r="F279" s="15" t="s">
        <v>214</v>
      </c>
      <c r="G279" s="15" t="s">
        <v>214</v>
      </c>
      <c r="H279" s="43">
        <f t="shared" ref="H279:I279" si="559">LEN(D279)-LEN(B279)+1</f>
        <v>3</v>
      </c>
      <c r="I279" s="43">
        <f t="shared" si="559"/>
        <v>3</v>
      </c>
      <c r="J279" s="18">
        <v>2.0</v>
      </c>
      <c r="K279" s="18">
        <v>2.0</v>
      </c>
      <c r="L279" s="5" t="str">
        <f t="shared" ref="L279:M279" si="560">IFS(J279="-", "-", J279=H279, "Final", J279=1, "Initial", J279&gt;1, "Medial")</f>
        <v>Medial</v>
      </c>
      <c r="M279" s="44" t="str">
        <f t="shared" si="560"/>
        <v>Medial</v>
      </c>
      <c r="N279" s="5" t="str">
        <f t="shared" si="5"/>
        <v>bi</v>
      </c>
      <c r="O279" s="5" t="str">
        <f t="shared" si="6"/>
        <v>gɐ</v>
      </c>
      <c r="P279" s="5" t="str">
        <f t="shared" si="7"/>
        <v>bɨ</v>
      </c>
      <c r="Q279" s="5" t="str">
        <f t="shared" si="8"/>
        <v>gɐ</v>
      </c>
      <c r="R279" s="15"/>
      <c r="S279" s="15" t="s">
        <v>891</v>
      </c>
      <c r="T279" s="15" t="s">
        <v>892</v>
      </c>
      <c r="U279" s="15" t="s">
        <v>22</v>
      </c>
      <c r="V279" s="20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</row>
    <row r="280">
      <c r="A280" s="15" t="s">
        <v>14</v>
      </c>
      <c r="B280" s="15" t="s">
        <v>886</v>
      </c>
      <c r="C280" s="15" t="s">
        <v>887</v>
      </c>
      <c r="D280" s="15" t="s">
        <v>888</v>
      </c>
      <c r="E280" s="15" t="s">
        <v>889</v>
      </c>
      <c r="F280" s="15" t="s">
        <v>190</v>
      </c>
      <c r="G280" s="15" t="s">
        <v>190</v>
      </c>
      <c r="H280" s="43">
        <f t="shared" ref="H280:I280" si="561">LEN(D280)-LEN(B280)+1</f>
        <v>3</v>
      </c>
      <c r="I280" s="43">
        <f t="shared" si="561"/>
        <v>3</v>
      </c>
      <c r="J280" s="18">
        <v>3.0</v>
      </c>
      <c r="K280" s="18">
        <v>4.0</v>
      </c>
      <c r="L280" s="5" t="str">
        <f t="shared" ref="L280:M280" si="562">IFS(J280="-", "-", J280=H280, "Final", J280=1, "Initial", J280&gt;1, "Medial")</f>
        <v>Final</v>
      </c>
      <c r="M280" s="44" t="str">
        <f t="shared" si="562"/>
        <v>Medial</v>
      </c>
      <c r="N280" s="5" t="str">
        <f t="shared" si="5"/>
        <v>ˈʃi</v>
      </c>
      <c r="O280" s="5">
        <f t="shared" si="6"/>
        <v>3</v>
      </c>
      <c r="P280" s="5" t="str">
        <f t="shared" si="7"/>
        <v>ˈʃi</v>
      </c>
      <c r="Q280" s="5">
        <f t="shared" si="8"/>
        <v>4</v>
      </c>
      <c r="R280" s="15"/>
      <c r="S280" s="15" t="s">
        <v>891</v>
      </c>
      <c r="T280" s="15" t="s">
        <v>892</v>
      </c>
      <c r="U280" s="15" t="s">
        <v>22</v>
      </c>
      <c r="V280" s="20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</row>
    <row r="281">
      <c r="A281" s="3" t="s">
        <v>14</v>
      </c>
      <c r="B281" s="3" t="s">
        <v>878</v>
      </c>
      <c r="C281" s="3" t="s">
        <v>879</v>
      </c>
      <c r="D281" s="3" t="s">
        <v>878</v>
      </c>
      <c r="E281" s="3" t="s">
        <v>879</v>
      </c>
      <c r="F281" s="3" t="s">
        <v>878</v>
      </c>
      <c r="G281" s="3" t="s">
        <v>879</v>
      </c>
      <c r="H281" s="43">
        <f t="shared" ref="H281:I281" si="563">LEN(D281)-LEN(B281)+1</f>
        <v>1</v>
      </c>
      <c r="I281" s="43">
        <f t="shared" si="563"/>
        <v>1</v>
      </c>
      <c r="J281" s="4">
        <v>1.0</v>
      </c>
      <c r="K281" s="4">
        <v>1.0</v>
      </c>
      <c r="L281" s="5" t="str">
        <f t="shared" ref="L281:M281" si="564">IFS(J281="-", "-", J281=H281, "Final", J281=1, "Initial", J281&gt;1, "Medial")</f>
        <v>Final</v>
      </c>
      <c r="M281" s="44" t="str">
        <f t="shared" si="564"/>
        <v>Final</v>
      </c>
      <c r="N281" s="5" t="str">
        <f t="shared" si="5"/>
        <v>0</v>
      </c>
      <c r="O281" s="5">
        <f t="shared" si="6"/>
        <v>1</v>
      </c>
      <c r="P281" s="5" t="str">
        <f t="shared" si="7"/>
        <v>0</v>
      </c>
      <c r="Q281" s="5">
        <f t="shared" si="8"/>
        <v>1</v>
      </c>
      <c r="R281" s="3"/>
      <c r="S281" s="3" t="s">
        <v>893</v>
      </c>
      <c r="T281" s="3" t="s">
        <v>894</v>
      </c>
      <c r="U281" s="3" t="s">
        <v>22</v>
      </c>
      <c r="V281" s="5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>
      <c r="A282" s="3" t="s">
        <v>14</v>
      </c>
      <c r="B282" s="3" t="s">
        <v>895</v>
      </c>
      <c r="C282" s="3" t="s">
        <v>896</v>
      </c>
      <c r="D282" s="3" t="s">
        <v>897</v>
      </c>
      <c r="E282" s="3" t="s">
        <v>898</v>
      </c>
      <c r="F282" s="3" t="s">
        <v>899</v>
      </c>
      <c r="G282" s="3" t="s">
        <v>899</v>
      </c>
      <c r="H282" s="43">
        <f t="shared" ref="H282:I282" si="565">LEN(D282)-LEN(B282)+1</f>
        <v>2</v>
      </c>
      <c r="I282" s="43">
        <f t="shared" si="565"/>
        <v>2</v>
      </c>
      <c r="J282" s="4">
        <v>1.0</v>
      </c>
      <c r="K282" s="4">
        <v>1.0</v>
      </c>
      <c r="L282" s="5" t="str">
        <f t="shared" ref="L282:M282" si="566">IFS(J282="-", "-", J282=H282, "Final", J282=1, "Initial", J282&gt;1, "Medial")</f>
        <v>Initial</v>
      </c>
      <c r="M282" s="44" t="str">
        <f t="shared" si="566"/>
        <v>Initial</v>
      </c>
      <c r="N282" s="5" t="str">
        <f t="shared" si="5"/>
        <v>0</v>
      </c>
      <c r="O282" s="5" t="str">
        <f t="shared" si="6"/>
        <v>bi</v>
      </c>
      <c r="P282" s="5" t="str">
        <f t="shared" si="7"/>
        <v>0</v>
      </c>
      <c r="Q282" s="5" t="str">
        <f t="shared" si="8"/>
        <v>bɾɨ</v>
      </c>
      <c r="R282" s="3"/>
      <c r="S282" s="3" t="s">
        <v>900</v>
      </c>
      <c r="T282" s="3" t="s">
        <v>901</v>
      </c>
      <c r="U282" s="3" t="s">
        <v>22</v>
      </c>
      <c r="V282" s="5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>
      <c r="A283" s="3" t="s">
        <v>14</v>
      </c>
      <c r="B283" s="3" t="s">
        <v>895</v>
      </c>
      <c r="C283" s="3" t="s">
        <v>896</v>
      </c>
      <c r="D283" s="3" t="s">
        <v>897</v>
      </c>
      <c r="E283" s="3" t="s">
        <v>898</v>
      </c>
      <c r="F283" s="3" t="s">
        <v>349</v>
      </c>
      <c r="G283" s="3" t="s">
        <v>902</v>
      </c>
      <c r="H283" s="43">
        <f t="shared" ref="H283:I283" si="567">LEN(D283)-LEN(B283)+1</f>
        <v>2</v>
      </c>
      <c r="I283" s="43">
        <f t="shared" si="567"/>
        <v>2</v>
      </c>
      <c r="J283" s="4">
        <v>2.0</v>
      </c>
      <c r="K283" s="4">
        <v>2.0</v>
      </c>
      <c r="L283" s="5" t="str">
        <f t="shared" ref="L283:M283" si="568">IFS(J283="-", "-", J283=H283, "Final", J283=1, "Initial", J283&gt;1, "Medial")</f>
        <v>Final</v>
      </c>
      <c r="M283" s="44" t="str">
        <f t="shared" si="568"/>
        <v>Final</v>
      </c>
      <c r="N283" s="5" t="str">
        <f t="shared" si="5"/>
        <v>ˈfɛ</v>
      </c>
      <c r="O283" s="5">
        <f t="shared" si="6"/>
        <v>2</v>
      </c>
      <c r="P283" s="5" t="str">
        <f t="shared" si="7"/>
        <v>ˈfɛ</v>
      </c>
      <c r="Q283" s="5">
        <f t="shared" si="8"/>
        <v>2</v>
      </c>
      <c r="R283" s="3"/>
      <c r="S283" s="3" t="s">
        <v>900</v>
      </c>
      <c r="T283" s="3" t="s">
        <v>901</v>
      </c>
      <c r="U283" s="3" t="s">
        <v>22</v>
      </c>
      <c r="V283" s="5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>
      <c r="A284" s="3" t="s">
        <v>14</v>
      </c>
      <c r="B284" s="3" t="s">
        <v>903</v>
      </c>
      <c r="C284" s="3" t="s">
        <v>904</v>
      </c>
      <c r="D284" s="3" t="s">
        <v>905</v>
      </c>
      <c r="E284" s="3" t="s">
        <v>906</v>
      </c>
      <c r="F284" s="3" t="s">
        <v>907</v>
      </c>
      <c r="G284" s="3" t="s">
        <v>908</v>
      </c>
      <c r="H284" s="43">
        <f t="shared" ref="H284:I284" si="569">LEN(D284)-LEN(B284)+1</f>
        <v>2</v>
      </c>
      <c r="I284" s="43">
        <f t="shared" si="569"/>
        <v>3</v>
      </c>
      <c r="J284" s="4">
        <v>1.0</v>
      </c>
      <c r="K284" s="4">
        <v>1.0</v>
      </c>
      <c r="L284" s="5" t="str">
        <f t="shared" ref="L284:M284" si="570">IFS(J284="-", "-", J284=H284, "Final", J284=1, "Initial", J284&gt;1, "Medial")</f>
        <v>Initial</v>
      </c>
      <c r="M284" s="44" t="str">
        <f t="shared" si="570"/>
        <v>Initial</v>
      </c>
      <c r="N284" s="5" t="str">
        <f t="shared" si="5"/>
        <v>0</v>
      </c>
      <c r="O284" s="5" t="str">
        <f t="shared" si="6"/>
        <v>-</v>
      </c>
      <c r="P284" s="5" t="str">
        <f t="shared" si="7"/>
        <v>0</v>
      </c>
      <c r="Q284" s="5" t="str">
        <f t="shared" si="8"/>
        <v>ˈɾi</v>
      </c>
      <c r="R284" s="3" t="s">
        <v>80</v>
      </c>
      <c r="S284" s="3" t="s">
        <v>909</v>
      </c>
      <c r="T284" s="3" t="s">
        <v>910</v>
      </c>
      <c r="U284" s="3" t="s">
        <v>22</v>
      </c>
      <c r="V284" s="5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>
      <c r="A285" s="3" t="s">
        <v>14</v>
      </c>
      <c r="B285" s="3" t="s">
        <v>903</v>
      </c>
      <c r="C285" s="3" t="s">
        <v>904</v>
      </c>
      <c r="D285" s="3" t="s">
        <v>905</v>
      </c>
      <c r="E285" s="3" t="s">
        <v>906</v>
      </c>
      <c r="F285" s="3" t="s">
        <v>36</v>
      </c>
      <c r="G285" s="3" t="s">
        <v>83</v>
      </c>
      <c r="H285" s="43">
        <f t="shared" ref="H285:I285" si="571">LEN(D285)-LEN(B285)+1</f>
        <v>2</v>
      </c>
      <c r="I285" s="43">
        <f t="shared" si="571"/>
        <v>3</v>
      </c>
      <c r="J285" s="4">
        <v>2.0</v>
      </c>
      <c r="K285" s="4">
        <v>2.0</v>
      </c>
      <c r="L285" s="5" t="str">
        <f t="shared" ref="L285:M285" si="572">IFS(J285="-", "-", J285=H285, "Final", J285=1, "Initial", J285&gt;1, "Medial")</f>
        <v>Final</v>
      </c>
      <c r="M285" s="44" t="str">
        <f t="shared" si="572"/>
        <v>Medial</v>
      </c>
      <c r="N285" s="5" t="str">
        <f t="shared" si="5"/>
        <v>ˈfi:</v>
      </c>
      <c r="O285" s="5" t="str">
        <f t="shared" si="6"/>
        <v>dɐ</v>
      </c>
      <c r="P285" s="5" t="str">
        <f t="shared" si="7"/>
        <v>fɨ</v>
      </c>
      <c r="Q285" s="5" t="str">
        <f t="shared" si="8"/>
        <v>dɐ</v>
      </c>
      <c r="R285" s="3"/>
      <c r="S285" s="3" t="s">
        <v>909</v>
      </c>
      <c r="T285" s="3" t="s">
        <v>910</v>
      </c>
      <c r="U285" s="3" t="s">
        <v>22</v>
      </c>
      <c r="V285" s="5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>
      <c r="A286" s="3" t="s">
        <v>14</v>
      </c>
      <c r="B286" s="3" t="s">
        <v>903</v>
      </c>
      <c r="C286" s="3" t="s">
        <v>904</v>
      </c>
      <c r="D286" s="3" t="s">
        <v>905</v>
      </c>
      <c r="E286" s="3" t="s">
        <v>906</v>
      </c>
      <c r="F286" s="3" t="s">
        <v>116</v>
      </c>
      <c r="G286" s="3" t="s">
        <v>116</v>
      </c>
      <c r="H286" s="43">
        <f t="shared" ref="H286:I286" si="573">LEN(D286)-LEN(B286)+1</f>
        <v>2</v>
      </c>
      <c r="I286" s="43">
        <f t="shared" si="573"/>
        <v>3</v>
      </c>
      <c r="J286" s="4">
        <v>3.0</v>
      </c>
      <c r="K286" s="4">
        <v>3.0</v>
      </c>
      <c r="L286" s="5" t="str">
        <f t="shared" ref="L286:M286" si="574">IFS(J286="-", "-", J286=H286, "Final", J286=1, "Initial", J286&gt;1, "Medial")</f>
        <v>Medial</v>
      </c>
      <c r="M286" s="44" t="str">
        <f t="shared" si="574"/>
        <v>Final</v>
      </c>
      <c r="N286" s="5" t="str">
        <f t="shared" si="5"/>
        <v>-</v>
      </c>
      <c r="O286" s="5">
        <f t="shared" si="6"/>
        <v>3</v>
      </c>
      <c r="P286" s="5" t="str">
        <f t="shared" si="7"/>
        <v>ˈɾi</v>
      </c>
      <c r="Q286" s="5">
        <f t="shared" si="8"/>
        <v>3</v>
      </c>
      <c r="R286" s="3"/>
      <c r="S286" s="3" t="s">
        <v>909</v>
      </c>
      <c r="T286" s="3" t="s">
        <v>910</v>
      </c>
      <c r="U286" s="3" t="s">
        <v>22</v>
      </c>
      <c r="V286" s="5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>
      <c r="A287" s="3" t="s">
        <v>14</v>
      </c>
      <c r="B287" s="3" t="s">
        <v>911</v>
      </c>
      <c r="C287" s="3" t="s">
        <v>912</v>
      </c>
      <c r="D287" s="3" t="s">
        <v>913</v>
      </c>
      <c r="E287" s="3" t="s">
        <v>914</v>
      </c>
      <c r="F287" s="3" t="s">
        <v>915</v>
      </c>
      <c r="G287" s="3" t="s">
        <v>222</v>
      </c>
      <c r="H287" s="43">
        <f t="shared" ref="H287:I287" si="575">LEN(D287)-LEN(B287)+1</f>
        <v>3</v>
      </c>
      <c r="I287" s="43">
        <f t="shared" si="575"/>
        <v>3</v>
      </c>
      <c r="J287" s="4">
        <v>1.0</v>
      </c>
      <c r="K287" s="4">
        <v>1.0</v>
      </c>
      <c r="L287" s="5" t="str">
        <f t="shared" ref="L287:M287" si="576">IFS(J287="-", "-", J287=H287, "Final", J287=1, "Initial", J287&gt;1, "Medial")</f>
        <v>Initial</v>
      </c>
      <c r="M287" s="44" t="str">
        <f t="shared" si="576"/>
        <v>Initial</v>
      </c>
      <c r="N287" s="5" t="str">
        <f t="shared" si="5"/>
        <v>0</v>
      </c>
      <c r="O287" s="5" t="str">
        <f t="shared" si="6"/>
        <v>mi</v>
      </c>
      <c r="P287" s="5" t="str">
        <f t="shared" si="7"/>
        <v>0</v>
      </c>
      <c r="Q287" s="5" t="str">
        <f t="shared" si="8"/>
        <v>ˈmi</v>
      </c>
      <c r="R287" s="3"/>
      <c r="S287" s="3" t="s">
        <v>916</v>
      </c>
      <c r="T287" s="3" t="s">
        <v>917</v>
      </c>
      <c r="U287" s="3" t="s">
        <v>22</v>
      </c>
      <c r="V287" s="5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>
      <c r="A288" s="3" t="s">
        <v>14</v>
      </c>
      <c r="B288" s="3" t="s">
        <v>911</v>
      </c>
      <c r="C288" s="3" t="s">
        <v>912</v>
      </c>
      <c r="D288" s="3" t="s">
        <v>913</v>
      </c>
      <c r="E288" s="3" t="s">
        <v>914</v>
      </c>
      <c r="F288" s="3" t="s">
        <v>575</v>
      </c>
      <c r="G288" s="3" t="s">
        <v>918</v>
      </c>
      <c r="H288" s="43">
        <f t="shared" ref="H288:I288" si="577">LEN(D288)-LEN(B288)+1</f>
        <v>3</v>
      </c>
      <c r="I288" s="43">
        <f t="shared" si="577"/>
        <v>3</v>
      </c>
      <c r="J288" s="4">
        <v>2.0</v>
      </c>
      <c r="K288" s="4">
        <v>2.0</v>
      </c>
      <c r="L288" s="5" t="str">
        <f t="shared" ref="L288:M288" si="578">IFS(J288="-", "-", J288=H288, "Final", J288=1, "Initial", J288&gt;1, "Medial")</f>
        <v>Medial</v>
      </c>
      <c r="M288" s="44" t="str">
        <f t="shared" si="578"/>
        <v>Medial</v>
      </c>
      <c r="N288" s="5" t="str">
        <f t="shared" si="5"/>
        <v>ˈgɔ</v>
      </c>
      <c r="O288" s="5" t="str">
        <f t="shared" si="6"/>
        <v>tu</v>
      </c>
      <c r="P288" s="5" t="str">
        <f t="shared" si="7"/>
        <v>vu</v>
      </c>
      <c r="Q288" s="5" t="str">
        <f t="shared" si="8"/>
        <v>tu</v>
      </c>
      <c r="R288" s="3"/>
      <c r="S288" s="3" t="s">
        <v>916</v>
      </c>
      <c r="T288" s="3" t="s">
        <v>917</v>
      </c>
      <c r="U288" s="3" t="s">
        <v>22</v>
      </c>
      <c r="V288" s="5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>
      <c r="A289" s="3" t="s">
        <v>14</v>
      </c>
      <c r="B289" s="3" t="s">
        <v>911</v>
      </c>
      <c r="C289" s="3" t="s">
        <v>912</v>
      </c>
      <c r="D289" s="3" t="s">
        <v>913</v>
      </c>
      <c r="E289" s="3" t="s">
        <v>914</v>
      </c>
      <c r="F289" s="3" t="s">
        <v>784</v>
      </c>
      <c r="G289" s="3" t="s">
        <v>784</v>
      </c>
      <c r="H289" s="43">
        <f t="shared" ref="H289:I289" si="579">LEN(D289)-LEN(B289)+1</f>
        <v>3</v>
      </c>
      <c r="I289" s="43">
        <f t="shared" si="579"/>
        <v>3</v>
      </c>
      <c r="J289" s="4">
        <v>3.0</v>
      </c>
      <c r="K289" s="4">
        <v>3.0</v>
      </c>
      <c r="L289" s="5" t="str">
        <f t="shared" ref="L289:M289" si="580">IFS(J289="-", "-", J289=H289, "Final", J289=1, "Initial", J289&gt;1, "Medial")</f>
        <v>Final</v>
      </c>
      <c r="M289" s="44" t="str">
        <f t="shared" si="580"/>
        <v>Final</v>
      </c>
      <c r="N289" s="5" t="str">
        <f t="shared" si="5"/>
        <v>mi</v>
      </c>
      <c r="O289" s="5">
        <f t="shared" si="6"/>
        <v>3</v>
      </c>
      <c r="P289" s="5" t="str">
        <f t="shared" si="7"/>
        <v>ˈmi</v>
      </c>
      <c r="Q289" s="5">
        <f t="shared" si="8"/>
        <v>3</v>
      </c>
      <c r="R289" s="3"/>
      <c r="S289" s="3" t="s">
        <v>916</v>
      </c>
      <c r="T289" s="3" t="s">
        <v>917</v>
      </c>
      <c r="U289" s="3" t="s">
        <v>22</v>
      </c>
      <c r="V289" s="5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>
      <c r="A290" s="15" t="s">
        <v>14</v>
      </c>
      <c r="B290" s="15" t="s">
        <v>919</v>
      </c>
      <c r="C290" s="15" t="s">
        <v>920</v>
      </c>
      <c r="D290" s="15" t="s">
        <v>921</v>
      </c>
      <c r="E290" s="15" t="s">
        <v>922</v>
      </c>
      <c r="F290" s="15"/>
      <c r="G290" s="15"/>
      <c r="H290" s="43">
        <f t="shared" ref="H290:I290" si="581">LEN(D290)-LEN(B290)+1</f>
        <v>4</v>
      </c>
      <c r="I290" s="43">
        <f t="shared" si="581"/>
        <v>3</v>
      </c>
      <c r="J290" s="18"/>
      <c r="K290" s="18"/>
      <c r="L290" s="5" t="str">
        <f t="shared" ref="L290:M290" si="582">IFS(J290="-", "-", J290=H290, "Final", J290=1, "Initial", J290&gt;1, "Medial")</f>
        <v>#N/A</v>
      </c>
      <c r="M290" s="44" t="str">
        <f t="shared" si="582"/>
        <v>#N/A</v>
      </c>
      <c r="N290" s="5" t="str">
        <f t="shared" si="5"/>
        <v>0</v>
      </c>
      <c r="O290" s="5" t="str">
        <f t="shared" si="6"/>
        <v/>
      </c>
      <c r="P290" s="5" t="str">
        <f t="shared" si="7"/>
        <v>0</v>
      </c>
      <c r="Q290" s="5" t="str">
        <f t="shared" si="8"/>
        <v/>
      </c>
      <c r="R290" s="15"/>
      <c r="S290" s="15" t="s">
        <v>923</v>
      </c>
      <c r="T290" s="15" t="s">
        <v>924</v>
      </c>
      <c r="U290" s="15" t="s">
        <v>22</v>
      </c>
      <c r="V290" s="15" t="s">
        <v>560</v>
      </c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</row>
    <row r="291">
      <c r="A291" s="15" t="s">
        <v>14</v>
      </c>
      <c r="B291" s="15" t="s">
        <v>925</v>
      </c>
      <c r="C291" s="15" t="s">
        <v>926</v>
      </c>
      <c r="D291" s="15" t="s">
        <v>927</v>
      </c>
      <c r="E291" s="15" t="s">
        <v>928</v>
      </c>
      <c r="F291" s="15"/>
      <c r="G291" s="15"/>
      <c r="H291" s="43">
        <f t="shared" ref="H291:I291" si="583">LEN(D291)-LEN(B291)+1</f>
        <v>3</v>
      </c>
      <c r="I291" s="43">
        <f t="shared" si="583"/>
        <v>4</v>
      </c>
      <c r="J291" s="18"/>
      <c r="K291" s="18"/>
      <c r="L291" s="5" t="str">
        <f t="shared" ref="L291:M291" si="584">IFS(J291="-", "-", J291=H291, "Final", J291=1, "Initial", J291&gt;1, "Medial")</f>
        <v>#N/A</v>
      </c>
      <c r="M291" s="44" t="str">
        <f t="shared" si="584"/>
        <v>#N/A</v>
      </c>
      <c r="N291" s="5" t="str">
        <f t="shared" si="5"/>
        <v>0</v>
      </c>
      <c r="O291" s="5" t="str">
        <f t="shared" si="6"/>
        <v/>
      </c>
      <c r="P291" s="5" t="str">
        <f t="shared" si="7"/>
        <v>0</v>
      </c>
      <c r="Q291" s="5" t="str">
        <f t="shared" si="8"/>
        <v/>
      </c>
      <c r="R291" s="15"/>
      <c r="S291" s="15" t="s">
        <v>929</v>
      </c>
      <c r="T291" s="15" t="s">
        <v>930</v>
      </c>
      <c r="U291" s="15" t="s">
        <v>22</v>
      </c>
      <c r="V291" s="15" t="s">
        <v>560</v>
      </c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</row>
    <row r="292">
      <c r="A292" s="3" t="s">
        <v>14</v>
      </c>
      <c r="B292" s="3" t="s">
        <v>931</v>
      </c>
      <c r="C292" s="3" t="s">
        <v>932</v>
      </c>
      <c r="D292" s="3" t="s">
        <v>933</v>
      </c>
      <c r="E292" s="3" t="s">
        <v>934</v>
      </c>
      <c r="F292" s="3" t="s">
        <v>935</v>
      </c>
      <c r="G292" s="3" t="s">
        <v>935</v>
      </c>
      <c r="H292" s="43">
        <f t="shared" ref="H292:I292" si="585">LEN(D292)-LEN(B292)+1</f>
        <v>2</v>
      </c>
      <c r="I292" s="43">
        <f t="shared" si="585"/>
        <v>2</v>
      </c>
      <c r="J292" s="4">
        <v>1.0</v>
      </c>
      <c r="K292" s="4">
        <v>1.0</v>
      </c>
      <c r="L292" s="5" t="str">
        <f t="shared" ref="L292:M292" si="586">IFS(J292="-", "-", J292=H292, "Final", J292=1, "Initial", J292&gt;1, "Medial")</f>
        <v>Initial</v>
      </c>
      <c r="M292" s="44" t="str">
        <f t="shared" si="586"/>
        <v>Initial</v>
      </c>
      <c r="N292" s="5" t="str">
        <f t="shared" si="5"/>
        <v>0</v>
      </c>
      <c r="O292" s="5" t="str">
        <f t="shared" si="6"/>
        <v>pɐ</v>
      </c>
      <c r="P292" s="5" t="str">
        <f t="shared" si="7"/>
        <v>0</v>
      </c>
      <c r="Q292" s="5" t="str">
        <f t="shared" si="8"/>
        <v>pɾɐ</v>
      </c>
      <c r="R292" s="3"/>
      <c r="S292" s="3" t="s">
        <v>936</v>
      </c>
      <c r="T292" s="3" t="s">
        <v>937</v>
      </c>
      <c r="U292" s="3" t="s">
        <v>22</v>
      </c>
      <c r="V292" s="5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>
      <c r="A293" s="3" t="s">
        <v>14</v>
      </c>
      <c r="B293" s="3" t="s">
        <v>931</v>
      </c>
      <c r="C293" s="3" t="s">
        <v>932</v>
      </c>
      <c r="D293" s="3" t="s">
        <v>933</v>
      </c>
      <c r="E293" s="3" t="s">
        <v>934</v>
      </c>
      <c r="F293" s="3" t="s">
        <v>254</v>
      </c>
      <c r="G293" s="3" t="s">
        <v>938</v>
      </c>
      <c r="H293" s="43">
        <f t="shared" ref="H293:I293" si="587">LEN(D293)-LEN(B293)+1</f>
        <v>2</v>
      </c>
      <c r="I293" s="43">
        <f t="shared" si="587"/>
        <v>2</v>
      </c>
      <c r="J293" s="4">
        <v>2.0</v>
      </c>
      <c r="K293" s="4">
        <v>2.0</v>
      </c>
      <c r="L293" s="5" t="str">
        <f t="shared" ref="L293:M293" si="588">IFS(J293="-", "-", J293=H293, "Final", J293=1, "Initial", J293&gt;1, "Medial")</f>
        <v>Final</v>
      </c>
      <c r="M293" s="44" t="str">
        <f t="shared" si="588"/>
        <v>Final</v>
      </c>
      <c r="N293" s="5" t="str">
        <f t="shared" si="5"/>
        <v>ˈlɛ</v>
      </c>
      <c r="O293" s="5">
        <f t="shared" si="6"/>
        <v>2</v>
      </c>
      <c r="P293" s="5" t="str">
        <f t="shared" si="7"/>
        <v>ˈlɛ</v>
      </c>
      <c r="Q293" s="5">
        <f t="shared" si="8"/>
        <v>2</v>
      </c>
      <c r="R293" s="3"/>
      <c r="S293" s="3" t="s">
        <v>936</v>
      </c>
      <c r="T293" s="3" t="s">
        <v>937</v>
      </c>
      <c r="U293" s="3" t="s">
        <v>22</v>
      </c>
      <c r="V293" s="5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>
      <c r="A294" s="3" t="s">
        <v>14</v>
      </c>
      <c r="B294" s="3" t="s">
        <v>939</v>
      </c>
      <c r="C294" s="3" t="s">
        <v>940</v>
      </c>
      <c r="D294" s="3" t="s">
        <v>941</v>
      </c>
      <c r="E294" s="3" t="s">
        <v>942</v>
      </c>
      <c r="F294" s="3" t="s">
        <v>943</v>
      </c>
      <c r="G294" s="3" t="s">
        <v>944</v>
      </c>
      <c r="H294" s="43">
        <f t="shared" ref="H294:I294" si="589">LEN(D294)-LEN(B294)+1</f>
        <v>3</v>
      </c>
      <c r="I294" s="43">
        <f t="shared" si="589"/>
        <v>3</v>
      </c>
      <c r="J294" s="4">
        <v>1.0</v>
      </c>
      <c r="K294" s="4">
        <v>1.0</v>
      </c>
      <c r="L294" s="5" t="str">
        <f t="shared" ref="L294:M294" si="590">IFS(J294="-", "-", J294=H294, "Final", J294=1, "Initial", J294&gt;1, "Medial")</f>
        <v>Initial</v>
      </c>
      <c r="M294" s="44" t="str">
        <f t="shared" si="590"/>
        <v>Initial</v>
      </c>
      <c r="N294" s="5" t="str">
        <f t="shared" si="5"/>
        <v>0</v>
      </c>
      <c r="O294" s="5" t="str">
        <f t="shared" si="6"/>
        <v>ˈbi:</v>
      </c>
      <c r="P294" s="5" t="str">
        <f t="shared" si="7"/>
        <v>0</v>
      </c>
      <c r="Q294" s="5" t="str">
        <f t="shared" si="8"/>
        <v>ˈbɾi</v>
      </c>
      <c r="R294" s="3" t="s">
        <v>80</v>
      </c>
      <c r="S294" s="3" t="s">
        <v>945</v>
      </c>
      <c r="T294" s="3" t="s">
        <v>946</v>
      </c>
      <c r="U294" s="3" t="s">
        <v>22</v>
      </c>
      <c r="V294" s="5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>
      <c r="A295" s="3" t="s">
        <v>14</v>
      </c>
      <c r="B295" s="3" t="s">
        <v>939</v>
      </c>
      <c r="C295" s="3" t="s">
        <v>940</v>
      </c>
      <c r="D295" s="3" t="s">
        <v>941</v>
      </c>
      <c r="E295" s="3" t="s">
        <v>942</v>
      </c>
      <c r="F295" s="3" t="s">
        <v>947</v>
      </c>
      <c r="G295" s="3" t="s">
        <v>948</v>
      </c>
      <c r="H295" s="43">
        <f t="shared" ref="H295:I295" si="591">LEN(D295)-LEN(B295)+1</f>
        <v>3</v>
      </c>
      <c r="I295" s="43">
        <f t="shared" si="591"/>
        <v>3</v>
      </c>
      <c r="J295" s="4">
        <v>2.0</v>
      </c>
      <c r="K295" s="4">
        <v>2.0</v>
      </c>
      <c r="L295" s="5" t="str">
        <f t="shared" ref="L295:M295" si="592">IFS(J295="-", "-", J295=H295, "Final", J295=1, "Initial", J295&gt;1, "Medial")</f>
        <v>Medial</v>
      </c>
      <c r="M295" s="44" t="str">
        <f t="shared" si="592"/>
        <v>Medial</v>
      </c>
      <c r="N295" s="5" t="str">
        <f t="shared" si="5"/>
        <v>lɔ̃</v>
      </c>
      <c r="O295" s="5" t="str">
        <f t="shared" si="6"/>
        <v>gɐ</v>
      </c>
      <c r="P295" s="5" t="str">
        <f t="shared" si="7"/>
        <v>lõ</v>
      </c>
      <c r="Q295" s="5" t="str">
        <f t="shared" si="8"/>
        <v>gɐ</v>
      </c>
      <c r="R295" s="3"/>
      <c r="S295" s="3" t="s">
        <v>945</v>
      </c>
      <c r="T295" s="3" t="s">
        <v>946</v>
      </c>
      <c r="U295" s="3" t="s">
        <v>22</v>
      </c>
      <c r="V295" s="5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>
      <c r="A296" s="3" t="s">
        <v>14</v>
      </c>
      <c r="B296" s="3" t="s">
        <v>939</v>
      </c>
      <c r="C296" s="3" t="s">
        <v>940</v>
      </c>
      <c r="D296" s="3" t="s">
        <v>941</v>
      </c>
      <c r="E296" s="3" t="s">
        <v>942</v>
      </c>
      <c r="F296" s="3" t="s">
        <v>190</v>
      </c>
      <c r="G296" s="3" t="s">
        <v>190</v>
      </c>
      <c r="H296" s="43">
        <f t="shared" ref="H296:I296" si="593">LEN(D296)-LEN(B296)+1</f>
        <v>3</v>
      </c>
      <c r="I296" s="43">
        <f t="shared" si="593"/>
        <v>3</v>
      </c>
      <c r="J296" s="4">
        <v>3.0</v>
      </c>
      <c r="K296" s="4">
        <v>3.0</v>
      </c>
      <c r="L296" s="5" t="str">
        <f t="shared" ref="L296:M296" si="594">IFS(J296="-", "-", J296=H296, "Final", J296=1, "Initial", J296&gt;1, "Medial")</f>
        <v>Final</v>
      </c>
      <c r="M296" s="44" t="str">
        <f t="shared" si="594"/>
        <v>Final</v>
      </c>
      <c r="N296" s="5" t="str">
        <f t="shared" si="5"/>
        <v>ˈbi:</v>
      </c>
      <c r="O296" s="5">
        <f t="shared" si="6"/>
        <v>3</v>
      </c>
      <c r="P296" s="5" t="str">
        <f t="shared" si="7"/>
        <v>ˈbɾi</v>
      </c>
      <c r="Q296" s="5">
        <f t="shared" si="8"/>
        <v>3</v>
      </c>
      <c r="R296" s="3"/>
      <c r="S296" s="3" t="s">
        <v>945</v>
      </c>
      <c r="T296" s="3" t="s">
        <v>946</v>
      </c>
      <c r="U296" s="3" t="s">
        <v>22</v>
      </c>
      <c r="V296" s="5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>
      <c r="A297" s="3" t="s">
        <v>14</v>
      </c>
      <c r="B297" s="3" t="s">
        <v>949</v>
      </c>
      <c r="C297" s="3" t="s">
        <v>950</v>
      </c>
      <c r="D297" s="6" t="s">
        <v>951</v>
      </c>
      <c r="E297" s="3" t="s">
        <v>952</v>
      </c>
      <c r="F297" s="6" t="s">
        <v>451</v>
      </c>
      <c r="G297" s="3" t="s">
        <v>953</v>
      </c>
      <c r="H297" s="43">
        <f t="shared" ref="H297:I297" si="595">LEN(D297)-LEN(B297)+1</f>
        <v>4</v>
      </c>
      <c r="I297" s="43">
        <f t="shared" si="595"/>
        <v>3</v>
      </c>
      <c r="J297" s="4">
        <v>1.0</v>
      </c>
      <c r="K297" s="4">
        <v>1.0</v>
      </c>
      <c r="L297" s="5" t="str">
        <f t="shared" ref="L297:M297" si="596">IFS(J297="-", "-", J297=H297, "Final", J297=1, "Initial", J297&gt;1, "Medial")</f>
        <v>Initial</v>
      </c>
      <c r="M297" s="44" t="str">
        <f t="shared" si="596"/>
        <v>Initial</v>
      </c>
      <c r="N297" s="5" t="str">
        <f t="shared" si="5"/>
        <v>0</v>
      </c>
      <c r="O297" s="5" t="str">
        <f t="shared" si="6"/>
        <v>li</v>
      </c>
      <c r="P297" s="5" t="str">
        <f t="shared" si="7"/>
        <v>0</v>
      </c>
      <c r="Q297" s="5" t="str">
        <f t="shared" si="8"/>
        <v>dɐ</v>
      </c>
      <c r="R297" s="3" t="s">
        <v>80</v>
      </c>
      <c r="S297" s="3" t="s">
        <v>954</v>
      </c>
      <c r="T297" s="3" t="s">
        <v>955</v>
      </c>
      <c r="U297" s="3" t="s">
        <v>22</v>
      </c>
      <c r="V297" s="5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>
      <c r="A298" s="3" t="s">
        <v>14</v>
      </c>
      <c r="B298" s="3" t="s">
        <v>949</v>
      </c>
      <c r="C298" s="3" t="s">
        <v>950</v>
      </c>
      <c r="D298" s="6" t="s">
        <v>951</v>
      </c>
      <c r="E298" s="3" t="s">
        <v>952</v>
      </c>
      <c r="F298" s="6" t="s">
        <v>197</v>
      </c>
      <c r="G298" s="3" t="s">
        <v>116</v>
      </c>
      <c r="H298" s="43">
        <f t="shared" ref="H298:I298" si="597">LEN(D298)-LEN(B298)+1</f>
        <v>4</v>
      </c>
      <c r="I298" s="43">
        <f t="shared" si="597"/>
        <v>3</v>
      </c>
      <c r="J298" s="4">
        <v>2.0</v>
      </c>
      <c r="K298" s="4">
        <v>2.0</v>
      </c>
      <c r="L298" s="5" t="str">
        <f t="shared" ref="L298:M298" si="598">IFS(J298="-", "-", J298=H298, "Final", J298=1, "Initial", J298&gt;1, "Medial")</f>
        <v>Medial</v>
      </c>
      <c r="M298" s="44" t="str">
        <f t="shared" si="598"/>
        <v>Medial</v>
      </c>
      <c r="N298" s="5" t="str">
        <f t="shared" si="5"/>
        <v>ˈma</v>
      </c>
      <c r="O298" s="5" t="str">
        <f t="shared" si="6"/>
        <v>ˈbwɛ</v>
      </c>
      <c r="P298" s="5" t="str">
        <f t="shared" si="7"/>
        <v>ˈmaɫ</v>
      </c>
      <c r="Q298" s="5" t="str">
        <f t="shared" si="8"/>
        <v>ba</v>
      </c>
      <c r="R298" s="3"/>
      <c r="S298" s="3" t="s">
        <v>954</v>
      </c>
      <c r="T298" s="3" t="s">
        <v>955</v>
      </c>
      <c r="U298" s="3" t="s">
        <v>22</v>
      </c>
      <c r="V298" s="5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>
      <c r="A299" s="3" t="s">
        <v>14</v>
      </c>
      <c r="B299" s="3" t="s">
        <v>949</v>
      </c>
      <c r="C299" s="3" t="s">
        <v>950</v>
      </c>
      <c r="D299" s="6" t="s">
        <v>951</v>
      </c>
      <c r="E299" s="3" t="s">
        <v>952</v>
      </c>
      <c r="F299" s="6" t="s">
        <v>956</v>
      </c>
      <c r="G299" s="3" t="s">
        <v>61</v>
      </c>
      <c r="H299" s="43">
        <f t="shared" ref="H299:I299" si="599">LEN(D299)-LEN(B299)+1</f>
        <v>4</v>
      </c>
      <c r="I299" s="43">
        <f t="shared" si="599"/>
        <v>3</v>
      </c>
      <c r="J299" s="4">
        <v>3.0</v>
      </c>
      <c r="K299" s="4">
        <v>3.0</v>
      </c>
      <c r="L299" s="5" t="str">
        <f t="shared" ref="L299:M299" si="600">IFS(J299="-", "-", J299=H299, "Final", J299=1, "Initial", J299&gt;1, "Medial")</f>
        <v>Medial</v>
      </c>
      <c r="M299" s="44" t="str">
        <f t="shared" si="600"/>
        <v>Final</v>
      </c>
      <c r="N299" s="5" t="str">
        <f t="shared" si="5"/>
        <v>li</v>
      </c>
      <c r="O299" s="5" t="str">
        <f t="shared" si="6"/>
        <v>-</v>
      </c>
      <c r="P299" s="5" t="str">
        <f t="shared" si="7"/>
        <v>dɐ</v>
      </c>
      <c r="Q299" s="5" t="str">
        <f t="shared" si="8"/>
        <v>ˈʀi</v>
      </c>
      <c r="R299" s="3"/>
      <c r="S299" s="3" t="s">
        <v>954</v>
      </c>
      <c r="T299" s="3" t="s">
        <v>955</v>
      </c>
      <c r="U299" s="3" t="s">
        <v>22</v>
      </c>
      <c r="V299" s="5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>
      <c r="A300" s="3" t="s">
        <v>14</v>
      </c>
      <c r="B300" s="3" t="s">
        <v>949</v>
      </c>
      <c r="C300" s="3" t="s">
        <v>950</v>
      </c>
      <c r="D300" s="6" t="s">
        <v>951</v>
      </c>
      <c r="E300" s="3" t="s">
        <v>952</v>
      </c>
      <c r="F300" s="6" t="s">
        <v>36</v>
      </c>
      <c r="G300" s="3" t="s">
        <v>344</v>
      </c>
      <c r="H300" s="43">
        <f t="shared" ref="H300:I300" si="601">LEN(D300)-LEN(B300)+1</f>
        <v>4</v>
      </c>
      <c r="I300" s="43">
        <f t="shared" si="601"/>
        <v>3</v>
      </c>
      <c r="J300" s="4" t="s">
        <v>36</v>
      </c>
      <c r="K300" s="4">
        <v>4.0</v>
      </c>
      <c r="L300" s="5" t="str">
        <f t="shared" ref="L300:M300" si="602">IFS(J300="-", "-", J300=H300, "Final", J300=1, "Initial", J300&gt;1, "Medial")</f>
        <v>-</v>
      </c>
      <c r="M300" s="44" t="str">
        <f t="shared" si="602"/>
        <v>Medial</v>
      </c>
      <c r="N300" s="5" t="str">
        <f t="shared" si="5"/>
        <v>ˈbwɛ</v>
      </c>
      <c r="O300" s="5" t="str">
        <f t="shared" si="6"/>
        <v>gɐ</v>
      </c>
      <c r="P300" s="5" t="str">
        <f t="shared" si="7"/>
        <v>ba</v>
      </c>
      <c r="Q300" s="5" t="str">
        <f t="shared" si="8"/>
        <v>gɐ</v>
      </c>
      <c r="R300" s="3"/>
      <c r="S300" s="3" t="s">
        <v>954</v>
      </c>
      <c r="T300" s="3" t="s">
        <v>955</v>
      </c>
      <c r="U300" s="3" t="s">
        <v>22</v>
      </c>
      <c r="V300" s="5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>
      <c r="A301" s="3" t="s">
        <v>14</v>
      </c>
      <c r="B301" s="3" t="s">
        <v>949</v>
      </c>
      <c r="C301" s="3" t="s">
        <v>950</v>
      </c>
      <c r="D301" s="6" t="s">
        <v>951</v>
      </c>
      <c r="E301" s="3" t="s">
        <v>952</v>
      </c>
      <c r="F301" s="6" t="s">
        <v>190</v>
      </c>
      <c r="G301" s="3" t="s">
        <v>190</v>
      </c>
      <c r="H301" s="43">
        <f t="shared" ref="H301:I301" si="603">LEN(D301)-LEN(B301)+1</f>
        <v>4</v>
      </c>
      <c r="I301" s="43">
        <f t="shared" si="603"/>
        <v>3</v>
      </c>
      <c r="J301" s="4">
        <v>4.0</v>
      </c>
      <c r="K301" s="4">
        <v>5.0</v>
      </c>
      <c r="L301" s="5" t="str">
        <f t="shared" ref="L301:M301" si="604">IFS(J301="-", "-", J301=H301, "Final", J301=1, "Initial", J301&gt;1, "Medial")</f>
        <v>Final</v>
      </c>
      <c r="M301" s="44" t="str">
        <f t="shared" si="604"/>
        <v>Medial</v>
      </c>
      <c r="N301" s="5" t="str">
        <f t="shared" si="5"/>
        <v>-</v>
      </c>
      <c r="O301" s="5">
        <f t="shared" si="6"/>
        <v>4</v>
      </c>
      <c r="P301" s="5" t="str">
        <f t="shared" si="7"/>
        <v>ˈʀi</v>
      </c>
      <c r="Q301" s="5">
        <f t="shared" si="8"/>
        <v>5</v>
      </c>
      <c r="R301" s="3"/>
      <c r="S301" s="3" t="s">
        <v>954</v>
      </c>
      <c r="T301" s="3" t="s">
        <v>955</v>
      </c>
      <c r="U301" s="3" t="s">
        <v>22</v>
      </c>
      <c r="V301" s="5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>
      <c r="A302" s="15" t="s">
        <v>14</v>
      </c>
      <c r="B302" s="15" t="s">
        <v>957</v>
      </c>
      <c r="C302" s="15" t="s">
        <v>958</v>
      </c>
      <c r="D302" s="15" t="s">
        <v>959</v>
      </c>
      <c r="E302" s="15" t="s">
        <v>960</v>
      </c>
      <c r="F302" s="15" t="s">
        <v>961</v>
      </c>
      <c r="G302" s="15" t="s">
        <v>961</v>
      </c>
      <c r="H302" s="43">
        <f t="shared" ref="H302:I302" si="605">LEN(D302)-LEN(B302)+1</f>
        <v>2</v>
      </c>
      <c r="I302" s="43">
        <f t="shared" si="605"/>
        <v>2</v>
      </c>
      <c r="J302" s="18">
        <v>1.0</v>
      </c>
      <c r="K302" s="18">
        <v>1.0</v>
      </c>
      <c r="L302" s="5" t="str">
        <f t="shared" ref="L302:M302" si="606">IFS(J302="-", "-", J302=H302, "Final", J302=1, "Initial", J302&gt;1, "Medial")</f>
        <v>Initial</v>
      </c>
      <c r="M302" s="44" t="str">
        <f t="shared" si="606"/>
        <v>Initial</v>
      </c>
      <c r="N302" s="5" t="str">
        <f t="shared" si="5"/>
        <v>0</v>
      </c>
      <c r="O302" s="5" t="str">
        <f t="shared" si="6"/>
        <v>ra</v>
      </c>
      <c r="P302" s="5" t="str">
        <f t="shared" si="7"/>
        <v>0</v>
      </c>
      <c r="Q302" s="5" t="str">
        <f t="shared" si="8"/>
        <v>ɾɐ</v>
      </c>
      <c r="R302" s="15"/>
      <c r="S302" s="15" t="s">
        <v>962</v>
      </c>
      <c r="T302" s="15" t="s">
        <v>963</v>
      </c>
      <c r="U302" s="15" t="s">
        <v>22</v>
      </c>
      <c r="V302" s="20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</row>
    <row r="303">
      <c r="A303" s="15" t="s">
        <v>14</v>
      </c>
      <c r="B303" s="15" t="s">
        <v>957</v>
      </c>
      <c r="C303" s="15" t="s">
        <v>958</v>
      </c>
      <c r="D303" s="15" t="s">
        <v>959</v>
      </c>
      <c r="E303" s="15" t="s">
        <v>960</v>
      </c>
      <c r="F303" s="15" t="s">
        <v>114</v>
      </c>
      <c r="G303" s="15" t="s">
        <v>103</v>
      </c>
      <c r="H303" s="43">
        <f t="shared" ref="H303:I303" si="607">LEN(D303)-LEN(B303)+1</f>
        <v>2</v>
      </c>
      <c r="I303" s="43">
        <f t="shared" si="607"/>
        <v>2</v>
      </c>
      <c r="J303" s="18">
        <v>2.0</v>
      </c>
      <c r="K303" s="18">
        <v>2.0</v>
      </c>
      <c r="L303" s="5" t="str">
        <f t="shared" ref="L303:M303" si="608">IFS(J303="-", "-", J303=H303, "Final", J303=1, "Initial", J303&gt;1, "Medial")</f>
        <v>Final</v>
      </c>
      <c r="M303" s="44" t="str">
        <f t="shared" si="608"/>
        <v>Final</v>
      </c>
      <c r="N303" s="5" t="str">
        <f t="shared" si="5"/>
        <v>ˈku</v>
      </c>
      <c r="O303" s="5">
        <f t="shared" si="6"/>
        <v>2</v>
      </c>
      <c r="P303" s="5" t="str">
        <f t="shared" si="7"/>
        <v>ˈku</v>
      </c>
      <c r="Q303" s="5">
        <f t="shared" si="8"/>
        <v>2</v>
      </c>
      <c r="R303" s="15"/>
      <c r="S303" s="15" t="s">
        <v>962</v>
      </c>
      <c r="T303" s="15" t="s">
        <v>963</v>
      </c>
      <c r="U303" s="15" t="s">
        <v>22</v>
      </c>
      <c r="V303" s="20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</row>
    <row r="304">
      <c r="A304" s="3" t="s">
        <v>14</v>
      </c>
      <c r="B304" s="3" t="s">
        <v>964</v>
      </c>
      <c r="C304" s="3" t="s">
        <v>965</v>
      </c>
      <c r="D304" s="3" t="s">
        <v>966</v>
      </c>
      <c r="E304" s="3" t="s">
        <v>967</v>
      </c>
      <c r="F304" s="3" t="s">
        <v>968</v>
      </c>
      <c r="G304" s="3" t="s">
        <v>969</v>
      </c>
      <c r="H304" s="43">
        <f t="shared" ref="H304:I304" si="609">LEN(D304)-LEN(B304)+1</f>
        <v>2</v>
      </c>
      <c r="I304" s="43">
        <f t="shared" si="609"/>
        <v>2</v>
      </c>
      <c r="J304" s="4">
        <v>1.0</v>
      </c>
      <c r="K304" s="4">
        <v>1.0</v>
      </c>
      <c r="L304" s="5" t="str">
        <f t="shared" ref="L304:M304" si="610">IFS(J304="-", "-", J304=H304, "Final", J304=1, "Initial", J304&gt;1, "Medial")</f>
        <v>Initial</v>
      </c>
      <c r="M304" s="44" t="str">
        <f t="shared" si="610"/>
        <v>Initial</v>
      </c>
      <c r="N304" s="5" t="str">
        <f t="shared" si="5"/>
        <v>0</v>
      </c>
      <c r="O304" s="5" t="str">
        <f t="shared" si="6"/>
        <v>t̠ʃi</v>
      </c>
      <c r="P304" s="5" t="str">
        <f t="shared" si="7"/>
        <v>0</v>
      </c>
      <c r="Q304" s="5" t="str">
        <f t="shared" si="8"/>
        <v>tɨ</v>
      </c>
      <c r="R304" s="3"/>
      <c r="S304" s="3" t="s">
        <v>970</v>
      </c>
      <c r="T304" s="3" t="s">
        <v>971</v>
      </c>
      <c r="U304" s="3" t="s">
        <v>22</v>
      </c>
      <c r="V304" s="5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>
      <c r="A305" s="3" t="s">
        <v>14</v>
      </c>
      <c r="B305" s="3" t="s">
        <v>964</v>
      </c>
      <c r="C305" s="3" t="s">
        <v>965</v>
      </c>
      <c r="D305" s="3" t="s">
        <v>966</v>
      </c>
      <c r="E305" s="3" t="s">
        <v>967</v>
      </c>
      <c r="F305" s="3" t="s">
        <v>55</v>
      </c>
      <c r="G305" s="3" t="s">
        <v>56</v>
      </c>
      <c r="H305" s="43">
        <f t="shared" ref="H305:I305" si="611">LEN(D305)-LEN(B305)+1</f>
        <v>2</v>
      </c>
      <c r="I305" s="43">
        <f t="shared" si="611"/>
        <v>2</v>
      </c>
      <c r="J305" s="4">
        <v>2.0</v>
      </c>
      <c r="K305" s="4">
        <v>2.0</v>
      </c>
      <c r="L305" s="5" t="str">
        <f t="shared" ref="L305:M305" si="612">IFS(J305="-", "-", J305=H305, "Final", J305=1, "Initial", J305&gt;1, "Medial")</f>
        <v>Final</v>
      </c>
      <c r="M305" s="44" t="str">
        <f t="shared" si="612"/>
        <v>Final</v>
      </c>
      <c r="N305" s="5" t="str">
        <f t="shared" si="5"/>
        <v>ˈpɛʃ</v>
      </c>
      <c r="O305" s="5">
        <f t="shared" si="6"/>
        <v>2</v>
      </c>
      <c r="P305" s="5" t="str">
        <f t="shared" si="7"/>
        <v>ˈpeʃ</v>
      </c>
      <c r="Q305" s="5">
        <f t="shared" si="8"/>
        <v>2</v>
      </c>
      <c r="R305" s="3"/>
      <c r="S305" s="3" t="s">
        <v>970</v>
      </c>
      <c r="T305" s="3" t="s">
        <v>971</v>
      </c>
      <c r="U305" s="3" t="s">
        <v>22</v>
      </c>
      <c r="V305" s="5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>
      <c r="A306" s="3" t="s">
        <v>14</v>
      </c>
      <c r="B306" s="3" t="s">
        <v>972</v>
      </c>
      <c r="C306" s="3" t="s">
        <v>973</v>
      </c>
      <c r="D306" s="3" t="s">
        <v>974</v>
      </c>
      <c r="E306" s="3" t="s">
        <v>975</v>
      </c>
      <c r="F306" s="3" t="s">
        <v>976</v>
      </c>
      <c r="G306" s="3" t="s">
        <v>977</v>
      </c>
      <c r="H306" s="43">
        <f t="shared" ref="H306:I306" si="613">LEN(D306)-LEN(B306)+1</f>
        <v>2</v>
      </c>
      <c r="I306" s="43">
        <f t="shared" si="613"/>
        <v>2</v>
      </c>
      <c r="J306" s="4">
        <v>1.0</v>
      </c>
      <c r="K306" s="4">
        <v>1.0</v>
      </c>
      <c r="L306" s="5" t="str">
        <f t="shared" ref="L306:M306" si="614">IFS(J306="-", "-", J306=H306, "Final", J306=1, "Initial", J306&gt;1, "Medial")</f>
        <v>Initial</v>
      </c>
      <c r="M306" s="44" t="str">
        <f t="shared" si="614"/>
        <v>Initial</v>
      </c>
      <c r="N306" s="5" t="str">
        <f t="shared" si="5"/>
        <v>0</v>
      </c>
      <c r="O306" s="5" t="str">
        <f t="shared" si="6"/>
        <v>gɐ</v>
      </c>
      <c r="P306" s="5" t="str">
        <f t="shared" si="7"/>
        <v>0</v>
      </c>
      <c r="Q306" s="5" t="str">
        <f t="shared" si="8"/>
        <v>gɐ</v>
      </c>
      <c r="R306" s="3"/>
      <c r="S306" s="3" t="s">
        <v>978</v>
      </c>
      <c r="T306" s="3" t="s">
        <v>971</v>
      </c>
      <c r="U306" s="3" t="s">
        <v>22</v>
      </c>
      <c r="V306" s="5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>
      <c r="A307" s="3" t="s">
        <v>14</v>
      </c>
      <c r="B307" s="3" t="s">
        <v>972</v>
      </c>
      <c r="C307" s="3" t="s">
        <v>973</v>
      </c>
      <c r="D307" s="3" t="s">
        <v>974</v>
      </c>
      <c r="E307" s="3" t="s">
        <v>975</v>
      </c>
      <c r="F307" s="3" t="s">
        <v>190</v>
      </c>
      <c r="G307" s="3" t="s">
        <v>190</v>
      </c>
      <c r="H307" s="43">
        <f t="shared" ref="H307:I307" si="615">LEN(D307)-LEN(B307)+1</f>
        <v>2</v>
      </c>
      <c r="I307" s="43">
        <f t="shared" si="615"/>
        <v>2</v>
      </c>
      <c r="J307" s="4">
        <v>2.0</v>
      </c>
      <c r="K307" s="4">
        <v>2.0</v>
      </c>
      <c r="L307" s="5" t="str">
        <f t="shared" ref="L307:M307" si="616">IFS(J307="-", "-", J307=H307, "Final", J307=1, "Initial", J307&gt;1, "Medial")</f>
        <v>Final</v>
      </c>
      <c r="M307" s="44" t="str">
        <f t="shared" si="616"/>
        <v>Final</v>
      </c>
      <c r="N307" s="5" t="str">
        <f t="shared" si="5"/>
        <v>ˈpa:</v>
      </c>
      <c r="O307" s="5">
        <f t="shared" si="6"/>
        <v>2</v>
      </c>
      <c r="P307" s="5" t="str">
        <f t="shared" si="7"/>
        <v>ˈpɾa</v>
      </c>
      <c r="Q307" s="5">
        <f t="shared" si="8"/>
        <v>2</v>
      </c>
      <c r="R307" s="3"/>
      <c r="S307" s="3" t="s">
        <v>978</v>
      </c>
      <c r="T307" s="3" t="s">
        <v>971</v>
      </c>
      <c r="U307" s="3" t="s">
        <v>22</v>
      </c>
      <c r="V307" s="5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>
      <c r="A308" s="3" t="s">
        <v>14</v>
      </c>
      <c r="B308" s="3" t="s">
        <v>979</v>
      </c>
      <c r="C308" s="3" t="s">
        <v>980</v>
      </c>
      <c r="D308" s="3" t="s">
        <v>981</v>
      </c>
      <c r="E308" s="3" t="s">
        <v>982</v>
      </c>
      <c r="F308" s="3" t="s">
        <v>983</v>
      </c>
      <c r="G308" s="3" t="s">
        <v>984</v>
      </c>
      <c r="H308" s="43">
        <f t="shared" ref="H308:I308" si="617">LEN(D308)-LEN(B308)+1</f>
        <v>2</v>
      </c>
      <c r="I308" s="43">
        <f t="shared" si="617"/>
        <v>2</v>
      </c>
      <c r="J308" s="4">
        <v>1.0</v>
      </c>
      <c r="K308" s="4">
        <v>1.0</v>
      </c>
      <c r="L308" s="5" t="str">
        <f t="shared" ref="L308:M308" si="618">IFS(J308="-", "-", J308=H308, "Final", J308=1, "Initial", J308&gt;1, "Medial")</f>
        <v>Initial</v>
      </c>
      <c r="M308" s="44" t="str">
        <f t="shared" si="618"/>
        <v>Initial</v>
      </c>
      <c r="N308" s="5" t="str">
        <f t="shared" si="5"/>
        <v>0</v>
      </c>
      <c r="O308" s="5" t="str">
        <f t="shared" si="6"/>
        <v>ʃi</v>
      </c>
      <c r="P308" s="5" t="str">
        <f t="shared" si="7"/>
        <v>0</v>
      </c>
      <c r="Q308" s="5" t="str">
        <f t="shared" si="8"/>
        <v>sɨ</v>
      </c>
      <c r="R308" s="3"/>
      <c r="S308" s="3" t="s">
        <v>985</v>
      </c>
      <c r="T308" s="3" t="s">
        <v>986</v>
      </c>
      <c r="U308" s="3" t="s">
        <v>22</v>
      </c>
      <c r="V308" s="5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>
      <c r="A309" s="3" t="s">
        <v>14</v>
      </c>
      <c r="B309" s="3" t="s">
        <v>979</v>
      </c>
      <c r="C309" s="3" t="s">
        <v>980</v>
      </c>
      <c r="D309" s="3" t="s">
        <v>981</v>
      </c>
      <c r="E309" s="3" t="s">
        <v>982</v>
      </c>
      <c r="F309" s="3" t="s">
        <v>848</v>
      </c>
      <c r="G309" s="3" t="s">
        <v>987</v>
      </c>
      <c r="H309" s="43">
        <f t="shared" ref="H309:I309" si="619">LEN(D309)-LEN(B309)+1</f>
        <v>2</v>
      </c>
      <c r="I309" s="43">
        <f t="shared" si="619"/>
        <v>2</v>
      </c>
      <c r="J309" s="4">
        <v>2.0</v>
      </c>
      <c r="K309" s="4">
        <v>2.0</v>
      </c>
      <c r="L309" s="5" t="str">
        <f t="shared" ref="L309:M309" si="620">IFS(J309="-", "-", J309=H309, "Final", J309=1, "Initial", J309&gt;1, "Medial")</f>
        <v>Final</v>
      </c>
      <c r="M309" s="44" t="str">
        <f t="shared" si="620"/>
        <v>Final</v>
      </c>
      <c r="N309" s="5" t="str">
        <f t="shared" si="5"/>
        <v>ˈtɔ</v>
      </c>
      <c r="O309" s="5">
        <f t="shared" si="6"/>
        <v>2</v>
      </c>
      <c r="P309" s="5" t="str">
        <f t="shared" si="7"/>
        <v>ˈto</v>
      </c>
      <c r="Q309" s="5">
        <f t="shared" si="8"/>
        <v>2</v>
      </c>
      <c r="R309" s="3"/>
      <c r="S309" s="3" t="s">
        <v>985</v>
      </c>
      <c r="T309" s="3" t="s">
        <v>986</v>
      </c>
      <c r="U309" s="3" t="s">
        <v>22</v>
      </c>
      <c r="V309" s="5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>
      <c r="A310" s="3" t="s">
        <v>14</v>
      </c>
      <c r="B310" s="3" t="s">
        <v>988</v>
      </c>
      <c r="C310" s="3" t="s">
        <v>989</v>
      </c>
      <c r="D310" s="3" t="s">
        <v>990</v>
      </c>
      <c r="E310" s="3" t="s">
        <v>991</v>
      </c>
      <c r="F310" s="3" t="s">
        <v>61</v>
      </c>
      <c r="G310" s="3" t="s">
        <v>992</v>
      </c>
      <c r="H310" s="43">
        <f t="shared" ref="H310:I310" si="621">LEN(D310)-LEN(B310)+1</f>
        <v>2</v>
      </c>
      <c r="I310" s="43">
        <f t="shared" si="621"/>
        <v>2</v>
      </c>
      <c r="J310" s="4">
        <v>1.0</v>
      </c>
      <c r="K310" s="4">
        <v>1.0</v>
      </c>
      <c r="L310" s="5" t="str">
        <f t="shared" ref="L310:M310" si="622">IFS(J310="-", "-", J310=H310, "Final", J310=1, "Initial", J310&gt;1, "Medial")</f>
        <v>Initial</v>
      </c>
      <c r="M310" s="44" t="str">
        <f t="shared" si="622"/>
        <v>Initial</v>
      </c>
      <c r="N310" s="5" t="str">
        <f t="shared" si="5"/>
        <v>0</v>
      </c>
      <c r="O310" s="5" t="str">
        <f t="shared" si="6"/>
        <v>ˈja</v>
      </c>
      <c r="P310" s="5" t="str">
        <f t="shared" si="7"/>
        <v>0</v>
      </c>
      <c r="Q310" s="5" t="str">
        <f t="shared" si="8"/>
        <v>ˈaɾ</v>
      </c>
      <c r="R310" s="3"/>
      <c r="S310" s="3" t="s">
        <v>993</v>
      </c>
      <c r="T310" s="3" t="s">
        <v>994</v>
      </c>
      <c r="U310" s="3" t="s">
        <v>22</v>
      </c>
      <c r="V310" s="5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>
      <c r="A311" s="3" t="s">
        <v>14</v>
      </c>
      <c r="B311" s="3" t="s">
        <v>988</v>
      </c>
      <c r="C311" s="3" t="s">
        <v>989</v>
      </c>
      <c r="D311" s="3" t="s">
        <v>990</v>
      </c>
      <c r="E311" s="3" t="s">
        <v>991</v>
      </c>
      <c r="F311" s="3" t="s">
        <v>995</v>
      </c>
      <c r="G311" s="3" t="s">
        <v>996</v>
      </c>
      <c r="H311" s="43">
        <f t="shared" ref="H311:I311" si="623">LEN(D311)-LEN(B311)+1</f>
        <v>2</v>
      </c>
      <c r="I311" s="43">
        <f t="shared" si="623"/>
        <v>2</v>
      </c>
      <c r="J311" s="4">
        <v>2.0</v>
      </c>
      <c r="K311" s="4">
        <v>2.0</v>
      </c>
      <c r="L311" s="5" t="str">
        <f t="shared" ref="L311:M311" si="624">IFS(J311="-", "-", J311=H311, "Final", J311=1, "Initial", J311&gt;1, "Medial")</f>
        <v>Final</v>
      </c>
      <c r="M311" s="44" t="str">
        <f t="shared" si="624"/>
        <v>Final</v>
      </c>
      <c r="N311" s="5" t="str">
        <f t="shared" si="5"/>
        <v>ba</v>
      </c>
      <c r="O311" s="5">
        <f t="shared" si="6"/>
        <v>2</v>
      </c>
      <c r="P311" s="5" t="str">
        <f t="shared" si="7"/>
        <v>vɐj</v>
      </c>
      <c r="Q311" s="5">
        <f t="shared" si="8"/>
        <v>2</v>
      </c>
      <c r="R311" s="3"/>
      <c r="S311" s="3" t="s">
        <v>993</v>
      </c>
      <c r="T311" s="3" t="s">
        <v>994</v>
      </c>
      <c r="U311" s="3" t="s">
        <v>22</v>
      </c>
      <c r="V311" s="5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>
      <c r="A312" s="3" t="s">
        <v>14</v>
      </c>
      <c r="B312" s="3" t="s">
        <v>997</v>
      </c>
      <c r="C312" s="3" t="s">
        <v>998</v>
      </c>
      <c r="D312" s="3" t="s">
        <v>997</v>
      </c>
      <c r="E312" s="3" t="s">
        <v>999</v>
      </c>
      <c r="F312" s="3" t="s">
        <v>997</v>
      </c>
      <c r="G312" s="3" t="s">
        <v>724</v>
      </c>
      <c r="H312" s="43">
        <f t="shared" ref="H312:I312" si="625">LEN(D312)-LEN(B312)+1</f>
        <v>1</v>
      </c>
      <c r="I312" s="43">
        <f t="shared" si="625"/>
        <v>2</v>
      </c>
      <c r="J312" s="4">
        <v>1.0</v>
      </c>
      <c r="K312" s="4">
        <v>1.0</v>
      </c>
      <c r="L312" s="5" t="str">
        <f t="shared" ref="L312:M312" si="626">IFS(J312="-", "-", J312=H312, "Final", J312=1, "Initial", J312&gt;1, "Medial")</f>
        <v>Final</v>
      </c>
      <c r="M312" s="44" t="str">
        <f t="shared" si="626"/>
        <v>Initial</v>
      </c>
      <c r="N312" s="5" t="str">
        <f t="shared" si="5"/>
        <v>0</v>
      </c>
      <c r="O312" s="5" t="str">
        <f t="shared" si="6"/>
        <v>-</v>
      </c>
      <c r="P312" s="5" t="str">
        <f t="shared" si="7"/>
        <v>0</v>
      </c>
      <c r="Q312" s="5" t="str">
        <f t="shared" si="8"/>
        <v>ˈʀeɾ</v>
      </c>
      <c r="R312" s="3" t="s">
        <v>80</v>
      </c>
      <c r="S312" s="3" t="s">
        <v>1000</v>
      </c>
      <c r="T312" s="3" t="s">
        <v>1001</v>
      </c>
      <c r="U312" s="3" t="s">
        <v>22</v>
      </c>
      <c r="V312" s="5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>
      <c r="A313" s="3" t="s">
        <v>14</v>
      </c>
      <c r="B313" s="3" t="s">
        <v>997</v>
      </c>
      <c r="C313" s="3" t="s">
        <v>998</v>
      </c>
      <c r="D313" s="3" t="s">
        <v>997</v>
      </c>
      <c r="E313" s="3" t="s">
        <v>999</v>
      </c>
      <c r="F313" s="3" t="s">
        <v>36</v>
      </c>
      <c r="G313" s="3" t="s">
        <v>1002</v>
      </c>
      <c r="H313" s="43">
        <f t="shared" ref="H313:I313" si="627">LEN(D313)-LEN(B313)+1</f>
        <v>1</v>
      </c>
      <c r="I313" s="43">
        <f t="shared" si="627"/>
        <v>2</v>
      </c>
      <c r="J313" s="4" t="s">
        <v>36</v>
      </c>
      <c r="K313" s="4">
        <v>2.0</v>
      </c>
      <c r="L313" s="5" t="str">
        <f t="shared" ref="L313:M313" si="628">IFS(J313="-", "-", J313=H313, "Final", J313=1, "Initial", J313&gt;1, "Medial")</f>
        <v>-</v>
      </c>
      <c r="M313" s="44" t="str">
        <f t="shared" si="628"/>
        <v>Final</v>
      </c>
      <c r="N313" s="5" t="str">
        <f t="shared" si="5"/>
        <v>ˈvwɛ</v>
      </c>
      <c r="O313" s="5" t="str">
        <f t="shared" si="6"/>
        <v>-</v>
      </c>
      <c r="P313" s="5" t="str">
        <f t="shared" si="7"/>
        <v>vɐ</v>
      </c>
      <c r="Q313" s="5">
        <f t="shared" si="8"/>
        <v>2</v>
      </c>
      <c r="R313" s="3"/>
      <c r="S313" s="3" t="s">
        <v>1000</v>
      </c>
      <c r="T313" s="3" t="s">
        <v>1001</v>
      </c>
      <c r="U313" s="3" t="s">
        <v>22</v>
      </c>
      <c r="V313" s="5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>
      <c r="A314" s="15" t="s">
        <v>14</v>
      </c>
      <c r="B314" s="15" t="s">
        <v>1003</v>
      </c>
      <c r="C314" s="15" t="s">
        <v>1004</v>
      </c>
      <c r="D314" s="15" t="s">
        <v>1005</v>
      </c>
      <c r="E314" s="15" t="s">
        <v>1006</v>
      </c>
      <c r="F314" s="15" t="s">
        <v>36</v>
      </c>
      <c r="G314" s="15" t="s">
        <v>49</v>
      </c>
      <c r="H314" s="43">
        <f t="shared" ref="H314:I314" si="629">LEN(D314)-LEN(B314)+1</f>
        <v>2</v>
      </c>
      <c r="I314" s="43">
        <f t="shared" si="629"/>
        <v>3</v>
      </c>
      <c r="J314" s="18" t="s">
        <v>36</v>
      </c>
      <c r="K314" s="18">
        <v>1.0</v>
      </c>
      <c r="L314" s="5" t="str">
        <f t="shared" ref="L314:M314" si="630">IFS(J314="-", "-", J314=H314, "Final", J314=1, "Initial", J314&gt;1, "Medial")</f>
        <v>-</v>
      </c>
      <c r="M314" s="44" t="str">
        <f t="shared" si="630"/>
        <v>Initial</v>
      </c>
      <c r="N314" s="5" t="str">
        <f t="shared" si="5"/>
        <v>0</v>
      </c>
      <c r="O314" s="5" t="str">
        <f t="shared" si="6"/>
        <v>ba</v>
      </c>
      <c r="P314" s="5" t="str">
        <f t="shared" si="7"/>
        <v>0</v>
      </c>
      <c r="Q314" s="5" t="str">
        <f t="shared" si="8"/>
        <v>bɐ</v>
      </c>
      <c r="R314" s="15" t="s">
        <v>80</v>
      </c>
      <c r="S314" s="15" t="s">
        <v>1007</v>
      </c>
      <c r="T314" s="15" t="s">
        <v>1008</v>
      </c>
      <c r="U314" s="15" t="s">
        <v>22</v>
      </c>
      <c r="V314" s="20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</row>
    <row r="315">
      <c r="A315" s="15" t="s">
        <v>14</v>
      </c>
      <c r="B315" s="15" t="s">
        <v>1003</v>
      </c>
      <c r="C315" s="15" t="s">
        <v>1004</v>
      </c>
      <c r="D315" s="15" t="s">
        <v>1005</v>
      </c>
      <c r="E315" s="15" t="s">
        <v>1006</v>
      </c>
      <c r="F315" s="15" t="s">
        <v>61</v>
      </c>
      <c r="G315" s="15" t="s">
        <v>62</v>
      </c>
      <c r="H315" s="43">
        <f t="shared" ref="H315:I315" si="631">LEN(D315)-LEN(B315)+1</f>
        <v>2</v>
      </c>
      <c r="I315" s="43">
        <f t="shared" si="631"/>
        <v>3</v>
      </c>
      <c r="J315" s="18">
        <v>1.0</v>
      </c>
      <c r="K315" s="18">
        <v>2.0</v>
      </c>
      <c r="L315" s="5" t="str">
        <f t="shared" ref="L315:M315" si="632">IFS(J315="-", "-", J315=H315, "Final", J315=1, "Initial", J315&gt;1, "Medial")</f>
        <v>Initial</v>
      </c>
      <c r="M315" s="44" t="str">
        <f t="shared" si="632"/>
        <v>Medial</v>
      </c>
      <c r="N315" s="5" t="str">
        <f t="shared" si="5"/>
        <v>-</v>
      </c>
      <c r="O315" s="5" t="str">
        <f t="shared" si="6"/>
        <v>ˈna</v>
      </c>
      <c r="P315" s="5" t="str">
        <f t="shared" si="7"/>
        <v>ɐ</v>
      </c>
      <c r="Q315" s="5" t="str">
        <f t="shared" si="8"/>
        <v>ˈnaɾ</v>
      </c>
      <c r="R315" s="15"/>
      <c r="S315" s="15" t="s">
        <v>1007</v>
      </c>
      <c r="T315" s="15" t="s">
        <v>1008</v>
      </c>
      <c r="U315" s="15" t="s">
        <v>22</v>
      </c>
      <c r="V315" s="20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</row>
    <row r="316">
      <c r="A316" s="15" t="s">
        <v>14</v>
      </c>
      <c r="B316" s="15" t="s">
        <v>1003</v>
      </c>
      <c r="C316" s="15" t="s">
        <v>1004</v>
      </c>
      <c r="D316" s="15" t="s">
        <v>1005</v>
      </c>
      <c r="E316" s="15" t="s">
        <v>1006</v>
      </c>
      <c r="F316" s="15" t="s">
        <v>280</v>
      </c>
      <c r="G316" s="15" t="s">
        <v>1009</v>
      </c>
      <c r="H316" s="43">
        <f t="shared" ref="H316:I316" si="633">LEN(D316)-LEN(B316)+1</f>
        <v>2</v>
      </c>
      <c r="I316" s="43">
        <f t="shared" si="633"/>
        <v>3</v>
      </c>
      <c r="J316" s="18">
        <v>2.0</v>
      </c>
      <c r="K316" s="18">
        <v>3.0</v>
      </c>
      <c r="L316" s="5" t="str">
        <f t="shared" ref="L316:M316" si="634">IFS(J316="-", "-", J316=H316, "Final", J316=1, "Initial", J316&gt;1, "Medial")</f>
        <v>Final</v>
      </c>
      <c r="M316" s="44" t="str">
        <f t="shared" si="634"/>
        <v>Final</v>
      </c>
      <c r="N316" s="5" t="str">
        <f t="shared" si="5"/>
        <v>ba</v>
      </c>
      <c r="O316" s="5">
        <f t="shared" si="6"/>
        <v>2</v>
      </c>
      <c r="P316" s="5" t="str">
        <f t="shared" si="7"/>
        <v>bɐ</v>
      </c>
      <c r="Q316" s="5">
        <f t="shared" si="8"/>
        <v>3</v>
      </c>
      <c r="R316" s="15"/>
      <c r="S316" s="15" t="s">
        <v>1007</v>
      </c>
      <c r="T316" s="15" t="s">
        <v>1008</v>
      </c>
      <c r="U316" s="15" t="s">
        <v>22</v>
      </c>
      <c r="V316" s="20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</row>
    <row r="317">
      <c r="A317" s="3" t="s">
        <v>14</v>
      </c>
      <c r="B317" s="3" t="s">
        <v>1010</v>
      </c>
      <c r="C317" s="3" t="s">
        <v>1011</v>
      </c>
      <c r="D317" s="3" t="s">
        <v>1012</v>
      </c>
      <c r="E317" s="3" t="s">
        <v>1013</v>
      </c>
      <c r="F317" s="17" t="s">
        <v>36</v>
      </c>
      <c r="G317" s="3" t="s">
        <v>49</v>
      </c>
      <c r="H317" s="43">
        <f t="shared" ref="H317:I317" si="635">LEN(D317)-LEN(B317)+1</f>
        <v>3</v>
      </c>
      <c r="I317" s="43">
        <f t="shared" si="635"/>
        <v>4</v>
      </c>
      <c r="J317" s="17" t="s">
        <v>36</v>
      </c>
      <c r="K317" s="4">
        <v>1.0</v>
      </c>
      <c r="L317" s="5" t="str">
        <f t="shared" ref="L317:M317" si="636">IFS(J317="-", "-", J317=H317, "Final", J317=1, "Initial", J317&gt;1, "Medial")</f>
        <v>-</v>
      </c>
      <c r="M317" s="44" t="str">
        <f t="shared" si="636"/>
        <v>Initial</v>
      </c>
      <c r="N317" s="5" t="str">
        <f t="shared" si="5"/>
        <v>0</v>
      </c>
      <c r="O317" s="5" t="str">
        <f t="shared" si="6"/>
        <v>bɐ̃</v>
      </c>
      <c r="P317" s="5" t="str">
        <f t="shared" si="7"/>
        <v>0</v>
      </c>
      <c r="Q317" s="5" t="str">
        <f t="shared" si="8"/>
        <v>bɐ̃w̃</v>
      </c>
      <c r="R317" s="3"/>
      <c r="S317" s="3" t="s">
        <v>1014</v>
      </c>
      <c r="T317" s="3" t="s">
        <v>1015</v>
      </c>
      <c r="U317" s="3" t="s">
        <v>22</v>
      </c>
      <c r="V317" s="5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>
      <c r="A318" s="3" t="s">
        <v>14</v>
      </c>
      <c r="B318" s="3" t="s">
        <v>1010</v>
      </c>
      <c r="C318" s="3" t="s">
        <v>1011</v>
      </c>
      <c r="D318" s="3" t="s">
        <v>1012</v>
      </c>
      <c r="E318" s="3" t="s">
        <v>1013</v>
      </c>
      <c r="F318" s="3" t="s">
        <v>1016</v>
      </c>
      <c r="G318" s="3" t="s">
        <v>1017</v>
      </c>
      <c r="H318" s="43">
        <f t="shared" ref="H318:I318" si="637">LEN(D318)-LEN(B318)+1</f>
        <v>3</v>
      </c>
      <c r="I318" s="43">
        <f t="shared" si="637"/>
        <v>4</v>
      </c>
      <c r="J318" s="4">
        <v>1.0</v>
      </c>
      <c r="K318" s="4">
        <v>2.0</v>
      </c>
      <c r="L318" s="5" t="str">
        <f t="shared" ref="L318:M318" si="638">IFS(J318="-", "-", J318=H318, "Final", J318=1, "Initial", J318&gt;1, "Medial")</f>
        <v>Initial</v>
      </c>
      <c r="M318" s="44" t="str">
        <f t="shared" si="638"/>
        <v>Medial</v>
      </c>
      <c r="N318" s="5" t="str">
        <f t="shared" si="5"/>
        <v>-</v>
      </c>
      <c r="O318" s="5" t="str">
        <f t="shared" si="6"/>
        <v>dɔ</v>
      </c>
      <c r="P318" s="5" t="str">
        <f t="shared" si="7"/>
        <v>ɐ</v>
      </c>
      <c r="Q318" s="5" t="str">
        <f t="shared" si="8"/>
        <v>du</v>
      </c>
      <c r="R318" s="3"/>
      <c r="S318" s="3" t="s">
        <v>1014</v>
      </c>
      <c r="T318" s="3" t="s">
        <v>1015</v>
      </c>
      <c r="U318" s="3" t="s">
        <v>22</v>
      </c>
      <c r="V318" s="5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>
      <c r="A319" s="3" t="s">
        <v>14</v>
      </c>
      <c r="B319" s="3" t="s">
        <v>1010</v>
      </c>
      <c r="C319" s="3" t="s">
        <v>1011</v>
      </c>
      <c r="D319" s="3" t="s">
        <v>1012</v>
      </c>
      <c r="E319" s="3" t="s">
        <v>1013</v>
      </c>
      <c r="F319" s="3" t="s">
        <v>1018</v>
      </c>
      <c r="G319" s="3" t="s">
        <v>387</v>
      </c>
      <c r="H319" s="43">
        <f t="shared" ref="H319:I319" si="639">LEN(D319)-LEN(B319)+1</f>
        <v>3</v>
      </c>
      <c r="I319" s="43">
        <f t="shared" si="639"/>
        <v>4</v>
      </c>
      <c r="J319" s="4">
        <v>2.0</v>
      </c>
      <c r="K319" s="4">
        <v>3.0</v>
      </c>
      <c r="L319" s="5" t="str">
        <f t="shared" ref="L319:M319" si="640">IFS(J319="-", "-", J319=H319, "Final", J319=1, "Initial", J319&gt;1, "Medial")</f>
        <v>Medial</v>
      </c>
      <c r="M319" s="44" t="str">
        <f t="shared" si="640"/>
        <v>Medial</v>
      </c>
      <c r="N319" s="5" t="str">
        <f t="shared" si="5"/>
        <v>bɐ̃</v>
      </c>
      <c r="O319" s="5" t="str">
        <f t="shared" si="6"/>
        <v>ˈna</v>
      </c>
      <c r="P319" s="5" t="str">
        <f t="shared" si="7"/>
        <v>bɐ̃w̃</v>
      </c>
      <c r="Q319" s="5" t="str">
        <f t="shared" si="8"/>
        <v>ˈnaɾ</v>
      </c>
      <c r="R319" s="3"/>
      <c r="S319" s="3" t="s">
        <v>1014</v>
      </c>
      <c r="T319" s="3" t="s">
        <v>1015</v>
      </c>
      <c r="U319" s="3" t="s">
        <v>22</v>
      </c>
      <c r="V319" s="5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>
      <c r="A320" s="3" t="s">
        <v>14</v>
      </c>
      <c r="B320" s="3" t="s">
        <v>1010</v>
      </c>
      <c r="C320" s="3" t="s">
        <v>1011</v>
      </c>
      <c r="D320" s="3" t="s">
        <v>1012</v>
      </c>
      <c r="E320" s="3" t="s">
        <v>1013</v>
      </c>
      <c r="F320" s="3" t="s">
        <v>280</v>
      </c>
      <c r="G320" s="3" t="s">
        <v>1009</v>
      </c>
      <c r="H320" s="43">
        <f t="shared" ref="H320:I320" si="641">LEN(D320)-LEN(B320)+1</f>
        <v>3</v>
      </c>
      <c r="I320" s="43">
        <f t="shared" si="641"/>
        <v>4</v>
      </c>
      <c r="J320" s="4">
        <v>3.0</v>
      </c>
      <c r="K320" s="4">
        <v>4.0</v>
      </c>
      <c r="L320" s="5" t="str">
        <f t="shared" ref="L320:M320" si="642">IFS(J320="-", "-", J320=H320, "Final", J320=1, "Initial", J320&gt;1, "Medial")</f>
        <v>Final</v>
      </c>
      <c r="M320" s="44" t="str">
        <f t="shared" si="642"/>
        <v>Final</v>
      </c>
      <c r="N320" s="5" t="str">
        <f t="shared" si="5"/>
        <v>dɔ</v>
      </c>
      <c r="O320" s="5">
        <f t="shared" si="6"/>
        <v>3</v>
      </c>
      <c r="P320" s="5" t="str">
        <f t="shared" si="7"/>
        <v>du</v>
      </c>
      <c r="Q320" s="5">
        <f t="shared" si="8"/>
        <v>4</v>
      </c>
      <c r="R320" s="3"/>
      <c r="S320" s="3" t="s">
        <v>1014</v>
      </c>
      <c r="T320" s="3" t="s">
        <v>1015</v>
      </c>
      <c r="U320" s="3" t="s">
        <v>22</v>
      </c>
      <c r="V320" s="5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>
      <c r="A321" s="15" t="s">
        <v>14</v>
      </c>
      <c r="B321" s="15" t="s">
        <v>1019</v>
      </c>
      <c r="C321" s="15" t="s">
        <v>1020</v>
      </c>
      <c r="D321" s="15" t="s">
        <v>1021</v>
      </c>
      <c r="E321" s="15" t="s">
        <v>1022</v>
      </c>
      <c r="F321" s="15"/>
      <c r="G321" s="15"/>
      <c r="H321" s="43">
        <f t="shared" ref="H321:I321" si="643">LEN(D321)-LEN(B321)+1</f>
        <v>2</v>
      </c>
      <c r="I321" s="43">
        <f t="shared" si="643"/>
        <v>3</v>
      </c>
      <c r="J321" s="18"/>
      <c r="K321" s="18"/>
      <c r="L321" s="5" t="str">
        <f t="shared" ref="L321:M321" si="644">IFS(J321="-", "-", J321=H321, "Final", J321=1, "Initial", J321&gt;1, "Medial")</f>
        <v>#N/A</v>
      </c>
      <c r="M321" s="44" t="str">
        <f t="shared" si="644"/>
        <v>#N/A</v>
      </c>
      <c r="N321" s="5" t="str">
        <f t="shared" si="5"/>
        <v>0</v>
      </c>
      <c r="O321" s="5" t="str">
        <f t="shared" si="6"/>
        <v/>
      </c>
      <c r="P321" s="5" t="str">
        <f t="shared" si="7"/>
        <v>0</v>
      </c>
      <c r="Q321" s="5" t="str">
        <f t="shared" si="8"/>
        <v/>
      </c>
      <c r="R321" s="15"/>
      <c r="S321" s="15" t="s">
        <v>1023</v>
      </c>
      <c r="T321" s="15" t="s">
        <v>1024</v>
      </c>
      <c r="U321" s="15" t="s">
        <v>22</v>
      </c>
      <c r="V321" s="15" t="s">
        <v>560</v>
      </c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</row>
    <row r="322">
      <c r="A322" s="15" t="s">
        <v>14</v>
      </c>
      <c r="B322" s="15" t="s">
        <v>1025</v>
      </c>
      <c r="C322" s="15" t="s">
        <v>1026</v>
      </c>
      <c r="D322" s="15" t="s">
        <v>1027</v>
      </c>
      <c r="E322" s="15" t="s">
        <v>1028</v>
      </c>
      <c r="F322" s="15" t="s">
        <v>36</v>
      </c>
      <c r="G322" s="15" t="s">
        <v>49</v>
      </c>
      <c r="H322" s="43">
        <f t="shared" ref="H322:I322" si="645">LEN(D322)-LEN(B322)+1</f>
        <v>2</v>
      </c>
      <c r="I322" s="43">
        <f t="shared" si="645"/>
        <v>3</v>
      </c>
      <c r="J322" s="18" t="s">
        <v>36</v>
      </c>
      <c r="K322" s="18">
        <v>1.0</v>
      </c>
      <c r="L322" s="5" t="str">
        <f t="shared" ref="L322:M322" si="646">IFS(J322="-", "-", J322=H322, "Final", J322=1, "Initial", J322&gt;1, "Medial")</f>
        <v>-</v>
      </c>
      <c r="M322" s="44" t="str">
        <f t="shared" si="646"/>
        <v>Initial</v>
      </c>
      <c r="N322" s="5" t="str">
        <f t="shared" si="5"/>
        <v>0</v>
      </c>
      <c r="O322" s="5" t="str">
        <f t="shared" si="6"/>
        <v>ba</v>
      </c>
      <c r="P322" s="5" t="str">
        <f t="shared" si="7"/>
        <v>0</v>
      </c>
      <c r="Q322" s="5" t="str">
        <f t="shared" si="8"/>
        <v>baj</v>
      </c>
      <c r="R322" s="15"/>
      <c r="S322" s="15" t="s">
        <v>1029</v>
      </c>
      <c r="T322" s="15" t="s">
        <v>1030</v>
      </c>
      <c r="U322" s="15" t="s">
        <v>22</v>
      </c>
      <c r="V322" s="20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</row>
    <row r="323">
      <c r="A323" s="15" t="s">
        <v>14</v>
      </c>
      <c r="B323" s="15" t="s">
        <v>1025</v>
      </c>
      <c r="C323" s="15" t="s">
        <v>1026</v>
      </c>
      <c r="D323" s="15" t="s">
        <v>1027</v>
      </c>
      <c r="E323" s="15" t="s">
        <v>1028</v>
      </c>
      <c r="F323" s="15" t="s">
        <v>61</v>
      </c>
      <c r="G323" s="15" t="s">
        <v>1031</v>
      </c>
      <c r="H323" s="43">
        <f t="shared" ref="H323:I323" si="647">LEN(D323)-LEN(B323)+1</f>
        <v>2</v>
      </c>
      <c r="I323" s="43">
        <f t="shared" si="647"/>
        <v>3</v>
      </c>
      <c r="J323" s="18">
        <v>1.0</v>
      </c>
      <c r="K323" s="18">
        <v>2.0</v>
      </c>
      <c r="L323" s="5" t="str">
        <f t="shared" ref="L323:M323" si="648">IFS(J323="-", "-", J323=H323, "Final", J323=1, "Initial", J323&gt;1, "Medial")</f>
        <v>Initial</v>
      </c>
      <c r="M323" s="44" t="str">
        <f t="shared" si="648"/>
        <v>Medial</v>
      </c>
      <c r="N323" s="5" t="str">
        <f t="shared" si="5"/>
        <v>-</v>
      </c>
      <c r="O323" s="5" t="str">
        <f t="shared" si="6"/>
        <v>ˈsa</v>
      </c>
      <c r="P323" s="5" t="str">
        <f t="shared" si="7"/>
        <v>ɐ</v>
      </c>
      <c r="Q323" s="5" t="str">
        <f t="shared" si="8"/>
        <v>ˈʃaɾ</v>
      </c>
      <c r="R323" s="15"/>
      <c r="S323" s="15" t="s">
        <v>1029</v>
      </c>
      <c r="T323" s="15" t="s">
        <v>1030</v>
      </c>
      <c r="U323" s="15" t="s">
        <v>22</v>
      </c>
      <c r="V323" s="20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</row>
    <row r="324">
      <c r="A324" s="15" t="s">
        <v>14</v>
      </c>
      <c r="B324" s="15" t="s">
        <v>1025</v>
      </c>
      <c r="C324" s="15" t="s">
        <v>1026</v>
      </c>
      <c r="D324" s="15" t="s">
        <v>1027</v>
      </c>
      <c r="E324" s="15" t="s">
        <v>1028</v>
      </c>
      <c r="F324" s="15" t="s">
        <v>1032</v>
      </c>
      <c r="G324" s="15" t="s">
        <v>1033</v>
      </c>
      <c r="H324" s="43">
        <f t="shared" ref="H324:I324" si="649">LEN(D324)-LEN(B324)+1</f>
        <v>2</v>
      </c>
      <c r="I324" s="43">
        <f t="shared" si="649"/>
        <v>3</v>
      </c>
      <c r="J324" s="18">
        <v>2.0</v>
      </c>
      <c r="K324" s="18">
        <v>3.0</v>
      </c>
      <c r="L324" s="5" t="str">
        <f t="shared" ref="L324:M324" si="650">IFS(J324="-", "-", J324=H324, "Final", J324=1, "Initial", J324&gt;1, "Medial")</f>
        <v>Final</v>
      </c>
      <c r="M324" s="44" t="str">
        <f t="shared" si="650"/>
        <v>Final</v>
      </c>
      <c r="N324" s="5" t="str">
        <f t="shared" si="5"/>
        <v>ba</v>
      </c>
      <c r="O324" s="5">
        <f t="shared" si="6"/>
        <v>2</v>
      </c>
      <c r="P324" s="5" t="str">
        <f t="shared" si="7"/>
        <v>baj</v>
      </c>
      <c r="Q324" s="5">
        <f t="shared" si="8"/>
        <v>3</v>
      </c>
      <c r="R324" s="15"/>
      <c r="S324" s="15" t="s">
        <v>1029</v>
      </c>
      <c r="T324" s="15" t="s">
        <v>1030</v>
      </c>
      <c r="U324" s="15" t="s">
        <v>22</v>
      </c>
      <c r="V324" s="20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</row>
    <row r="325">
      <c r="A325" s="3" t="s">
        <v>14</v>
      </c>
      <c r="B325" s="3" t="s">
        <v>1034</v>
      </c>
      <c r="C325" s="3" t="s">
        <v>1035</v>
      </c>
      <c r="D325" s="3" t="s">
        <v>1036</v>
      </c>
      <c r="E325" s="3" t="s">
        <v>1037</v>
      </c>
      <c r="F325" s="3" t="s">
        <v>61</v>
      </c>
      <c r="G325" s="3" t="s">
        <v>62</v>
      </c>
      <c r="H325" s="43">
        <f t="shared" ref="H325:I325" si="651">LEN(D325)-LEN(B325)+1</f>
        <v>2</v>
      </c>
      <c r="I325" s="43">
        <f t="shared" si="651"/>
        <v>2</v>
      </c>
      <c r="J325" s="4">
        <v>1.0</v>
      </c>
      <c r="K325" s="4">
        <v>1.0</v>
      </c>
      <c r="L325" s="5" t="str">
        <f t="shared" ref="L325:M325" si="652">IFS(J325="-", "-", J325=H325, "Final", J325=1, "Initial", J325&gt;1, "Medial")</f>
        <v>Initial</v>
      </c>
      <c r="M325" s="44" t="str">
        <f t="shared" si="652"/>
        <v>Initial</v>
      </c>
      <c r="N325" s="5" t="str">
        <f t="shared" si="5"/>
        <v>0</v>
      </c>
      <c r="O325" s="5" t="str">
        <f t="shared" si="6"/>
        <v>ˈte</v>
      </c>
      <c r="P325" s="5" t="str">
        <f t="shared" si="7"/>
        <v>0</v>
      </c>
      <c r="Q325" s="5" t="str">
        <f t="shared" si="8"/>
        <v>ˈteɾ</v>
      </c>
      <c r="R325" s="3"/>
      <c r="S325" s="3" t="s">
        <v>1038</v>
      </c>
      <c r="T325" s="3" t="s">
        <v>1039</v>
      </c>
      <c r="U325" s="3" t="s">
        <v>22</v>
      </c>
      <c r="V325" s="5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>
      <c r="A326" s="3" t="s">
        <v>14</v>
      </c>
      <c r="B326" s="3" t="s">
        <v>1034</v>
      </c>
      <c r="C326" s="3" t="s">
        <v>1035</v>
      </c>
      <c r="D326" s="3" t="s">
        <v>1036</v>
      </c>
      <c r="E326" s="3" t="s">
        <v>1037</v>
      </c>
      <c r="F326" s="3" t="s">
        <v>1040</v>
      </c>
      <c r="G326" s="3" t="s">
        <v>1041</v>
      </c>
      <c r="H326" s="43">
        <f t="shared" ref="H326:I326" si="653">LEN(D326)-LEN(B326)+1</f>
        <v>2</v>
      </c>
      <c r="I326" s="43">
        <f t="shared" si="653"/>
        <v>2</v>
      </c>
      <c r="J326" s="4">
        <v>2.0</v>
      </c>
      <c r="K326" s="4">
        <v>2.0</v>
      </c>
      <c r="L326" s="5" t="str">
        <f t="shared" ref="L326:M326" si="654">IFS(J326="-", "-", J326=H326, "Final", J326=1, "Initial", J326&gt;1, "Medial")</f>
        <v>Final</v>
      </c>
      <c r="M326" s="44" t="str">
        <f t="shared" si="654"/>
        <v>Final</v>
      </c>
      <c r="N326" s="5" t="str">
        <f t="shared" si="5"/>
        <v>ba</v>
      </c>
      <c r="O326" s="5">
        <f t="shared" si="6"/>
        <v>2</v>
      </c>
      <c r="P326" s="5" t="str">
        <f t="shared" si="7"/>
        <v>bɐ</v>
      </c>
      <c r="Q326" s="5">
        <f t="shared" si="8"/>
        <v>2</v>
      </c>
      <c r="R326" s="3"/>
      <c r="S326" s="3" t="s">
        <v>1038</v>
      </c>
      <c r="T326" s="3" t="s">
        <v>1039</v>
      </c>
      <c r="U326" s="3" t="s">
        <v>22</v>
      </c>
      <c r="V326" s="5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>
      <c r="A327" s="3" t="s">
        <v>14</v>
      </c>
      <c r="B327" s="3" t="s">
        <v>797</v>
      </c>
      <c r="C327" s="3" t="s">
        <v>798</v>
      </c>
      <c r="D327" s="3" t="s">
        <v>797</v>
      </c>
      <c r="E327" s="3" t="s">
        <v>798</v>
      </c>
      <c r="F327" s="3" t="s">
        <v>797</v>
      </c>
      <c r="G327" s="3" t="s">
        <v>798</v>
      </c>
      <c r="H327" s="43">
        <f t="shared" ref="H327:I327" si="655">LEN(D327)-LEN(B327)+1</f>
        <v>1</v>
      </c>
      <c r="I327" s="43">
        <f t="shared" si="655"/>
        <v>1</v>
      </c>
      <c r="J327" s="4">
        <v>1.0</v>
      </c>
      <c r="K327" s="4">
        <v>1.0</v>
      </c>
      <c r="L327" s="5" t="str">
        <f t="shared" ref="L327:M327" si="656">IFS(J327="-", "-", J327=H327, "Final", J327=1, "Initial", J327&gt;1, "Medial")</f>
        <v>Final</v>
      </c>
      <c r="M327" s="44" t="str">
        <f t="shared" si="656"/>
        <v>Final</v>
      </c>
      <c r="N327" s="5" t="str">
        <f t="shared" si="5"/>
        <v>0</v>
      </c>
      <c r="O327" s="5">
        <f t="shared" si="6"/>
        <v>1</v>
      </c>
      <c r="P327" s="5" t="str">
        <f t="shared" si="7"/>
        <v>0</v>
      </c>
      <c r="Q327" s="5">
        <f t="shared" si="8"/>
        <v>1</v>
      </c>
      <c r="R327" s="3"/>
      <c r="S327" s="3" t="s">
        <v>1042</v>
      </c>
      <c r="T327" s="3" t="s">
        <v>1043</v>
      </c>
      <c r="U327" s="3" t="s">
        <v>22</v>
      </c>
      <c r="V327" s="5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>
      <c r="A328" s="3" t="s">
        <v>14</v>
      </c>
      <c r="B328" s="3" t="s">
        <v>1044</v>
      </c>
      <c r="C328" s="3" t="s">
        <v>1045</v>
      </c>
      <c r="D328" s="3" t="s">
        <v>1046</v>
      </c>
      <c r="E328" s="3" t="s">
        <v>1047</v>
      </c>
      <c r="F328" s="3" t="s">
        <v>1048</v>
      </c>
      <c r="G328" s="3" t="s">
        <v>890</v>
      </c>
      <c r="H328" s="43">
        <f t="shared" ref="H328:I328" si="657">LEN(D328)-LEN(B328)+1</f>
        <v>2</v>
      </c>
      <c r="I328" s="43">
        <f t="shared" si="657"/>
        <v>2</v>
      </c>
      <c r="J328" s="4">
        <v>1.0</v>
      </c>
      <c r="K328" s="4">
        <v>1.0</v>
      </c>
      <c r="L328" s="5" t="str">
        <f t="shared" ref="L328:M328" si="658">IFS(J328="-", "-", J328=H328, "Final", J328=1, "Initial", J328&gt;1, "Medial")</f>
        <v>Initial</v>
      </c>
      <c r="M328" s="44" t="str">
        <f t="shared" si="658"/>
        <v>Initial</v>
      </c>
      <c r="N328" s="5" t="str">
        <f t="shared" si="5"/>
        <v>0</v>
      </c>
      <c r="O328" s="5" t="str">
        <f t="shared" si="6"/>
        <v>ˈbe</v>
      </c>
      <c r="P328" s="5" t="str">
        <f t="shared" si="7"/>
        <v>0</v>
      </c>
      <c r="Q328" s="5" t="str">
        <f t="shared" si="8"/>
        <v>ˈbeɾ</v>
      </c>
      <c r="R328" s="3"/>
      <c r="S328" s="3" t="s">
        <v>1049</v>
      </c>
      <c r="T328" s="3" t="s">
        <v>1050</v>
      </c>
      <c r="U328" s="3" t="s">
        <v>22</v>
      </c>
      <c r="V328" s="5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>
      <c r="A329" s="3" t="s">
        <v>14</v>
      </c>
      <c r="B329" s="3" t="s">
        <v>1044</v>
      </c>
      <c r="C329" s="3" t="s">
        <v>1045</v>
      </c>
      <c r="D329" s="3" t="s">
        <v>1046</v>
      </c>
      <c r="E329" s="3" t="s">
        <v>1047</v>
      </c>
      <c r="F329" s="3" t="s">
        <v>394</v>
      </c>
      <c r="G329" s="3" t="s">
        <v>1051</v>
      </c>
      <c r="H329" s="43">
        <f t="shared" ref="H329:I329" si="659">LEN(D329)-LEN(B329)+1</f>
        <v>2</v>
      </c>
      <c r="I329" s="43">
        <f t="shared" si="659"/>
        <v>2</v>
      </c>
      <c r="J329" s="4">
        <v>2.0</v>
      </c>
      <c r="K329" s="4">
        <v>2.0</v>
      </c>
      <c r="L329" s="5" t="str">
        <f t="shared" ref="L329:M329" si="660">IFS(J329="-", "-", J329=H329, "Final", J329=1, "Initial", J329&gt;1, "Medial")</f>
        <v>Final</v>
      </c>
      <c r="M329" s="44" t="str">
        <f t="shared" si="660"/>
        <v>Final</v>
      </c>
      <c r="N329" s="5" t="str">
        <f t="shared" si="5"/>
        <v>be</v>
      </c>
      <c r="O329" s="5">
        <f t="shared" si="6"/>
        <v>2</v>
      </c>
      <c r="P329" s="5" t="str">
        <f t="shared" si="7"/>
        <v>bɨ</v>
      </c>
      <c r="Q329" s="5">
        <f t="shared" si="8"/>
        <v>2</v>
      </c>
      <c r="R329" s="3"/>
      <c r="S329" s="3" t="s">
        <v>1049</v>
      </c>
      <c r="T329" s="3" t="s">
        <v>1050</v>
      </c>
      <c r="U329" s="3" t="s">
        <v>22</v>
      </c>
      <c r="V329" s="5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>
      <c r="A330" s="3" t="s">
        <v>14</v>
      </c>
      <c r="B330" s="3" t="s">
        <v>1052</v>
      </c>
      <c r="C330" s="3" t="s">
        <v>1053</v>
      </c>
      <c r="D330" s="3" t="s">
        <v>1054</v>
      </c>
      <c r="E330" s="3" t="s">
        <v>1055</v>
      </c>
      <c r="F330" s="3" t="s">
        <v>1056</v>
      </c>
      <c r="G330" s="3" t="s">
        <v>1057</v>
      </c>
      <c r="H330" s="43">
        <f t="shared" ref="H330:I330" si="661">LEN(D330)-LEN(B330)+1</f>
        <v>2</v>
      </c>
      <c r="I330" s="43">
        <f t="shared" si="661"/>
        <v>2</v>
      </c>
      <c r="J330" s="4">
        <v>1.0</v>
      </c>
      <c r="K330" s="4">
        <v>1.0</v>
      </c>
      <c r="L330" s="5" t="str">
        <f t="shared" ref="L330:M330" si="662">IFS(J330="-", "-", J330=H330, "Final", J330=1, "Initial", J330&gt;1, "Medial")</f>
        <v>Initial</v>
      </c>
      <c r="M330" s="44" t="str">
        <f t="shared" si="662"/>
        <v>Initial</v>
      </c>
      <c r="N330" s="5" t="str">
        <f t="shared" si="5"/>
        <v>0</v>
      </c>
      <c r="O330" s="5" t="str">
        <f t="shared" si="6"/>
        <v>ˈza</v>
      </c>
      <c r="P330" s="5" t="str">
        <f t="shared" si="7"/>
        <v>0</v>
      </c>
      <c r="Q330" s="5" t="str">
        <f t="shared" si="8"/>
        <v>ˈʒaɾ</v>
      </c>
      <c r="R330" s="3"/>
      <c r="S330" s="3" t="s">
        <v>1058</v>
      </c>
      <c r="T330" s="3" t="s">
        <v>1059</v>
      </c>
      <c r="U330" s="3" t="s">
        <v>22</v>
      </c>
      <c r="V330" s="5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>
      <c r="A331" s="3" t="s">
        <v>14</v>
      </c>
      <c r="B331" s="3" t="s">
        <v>1052</v>
      </c>
      <c r="C331" s="3" t="s">
        <v>1053</v>
      </c>
      <c r="D331" s="3" t="s">
        <v>1054</v>
      </c>
      <c r="E331" s="3" t="s">
        <v>1055</v>
      </c>
      <c r="F331" s="3" t="s">
        <v>1060</v>
      </c>
      <c r="G331" s="3" t="s">
        <v>1061</v>
      </c>
      <c r="H331" s="43">
        <f t="shared" ref="H331:I331" si="663">LEN(D331)-LEN(B331)+1</f>
        <v>2</v>
      </c>
      <c r="I331" s="43">
        <f t="shared" si="663"/>
        <v>2</v>
      </c>
      <c r="J331" s="4">
        <v>2.0</v>
      </c>
      <c r="K331" s="4">
        <v>2.0</v>
      </c>
      <c r="L331" s="5" t="str">
        <f t="shared" ref="L331:M331" si="664">IFS(J331="-", "-", J331=H331, "Final", J331=1, "Initial", J331&gt;1, "Medial")</f>
        <v>Final</v>
      </c>
      <c r="M331" s="44" t="str">
        <f t="shared" si="664"/>
        <v>Final</v>
      </c>
      <c r="N331" s="5" t="str">
        <f t="shared" si="5"/>
        <v>bɛ̃</v>
      </c>
      <c r="O331" s="5">
        <f t="shared" si="6"/>
        <v>2</v>
      </c>
      <c r="P331" s="5" t="str">
        <f t="shared" si="7"/>
        <v>bɐj</v>
      </c>
      <c r="Q331" s="5">
        <f t="shared" si="8"/>
        <v>2</v>
      </c>
      <c r="R331" s="3"/>
      <c r="S331" s="3" t="s">
        <v>1058</v>
      </c>
      <c r="T331" s="3" t="s">
        <v>1059</v>
      </c>
      <c r="U331" s="3" t="s">
        <v>22</v>
      </c>
      <c r="V331" s="5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>
      <c r="A332" s="15" t="s">
        <v>14</v>
      </c>
      <c r="B332" s="15" t="s">
        <v>1062</v>
      </c>
      <c r="C332" s="15" t="s">
        <v>1063</v>
      </c>
      <c r="D332" s="15" t="s">
        <v>1064</v>
      </c>
      <c r="E332" s="15" t="s">
        <v>1063</v>
      </c>
      <c r="F332" s="15" t="s">
        <v>276</v>
      </c>
      <c r="G332" s="15" t="s">
        <v>1065</v>
      </c>
      <c r="H332" s="43">
        <f t="shared" ref="H332:I332" si="665">LEN(D332)-LEN(B332)+1</f>
        <v>2</v>
      </c>
      <c r="I332" s="43">
        <f t="shared" si="665"/>
        <v>1</v>
      </c>
      <c r="J332" s="18">
        <v>1.0</v>
      </c>
      <c r="K332" s="18">
        <v>1.0</v>
      </c>
      <c r="L332" s="5" t="str">
        <f t="shared" ref="L332:M332" si="666">IFS(J332="-", "-", J332=H332, "Final", J332=1, "Initial", J332&gt;1, "Medial")</f>
        <v>Initial</v>
      </c>
      <c r="M332" s="44" t="str">
        <f t="shared" si="666"/>
        <v>Final</v>
      </c>
      <c r="N332" s="5" t="str">
        <f t="shared" si="5"/>
        <v>0</v>
      </c>
      <c r="O332" s="5" t="str">
        <f t="shared" si="6"/>
        <v>ˈka</v>
      </c>
      <c r="P332" s="5" t="str">
        <f t="shared" si="7"/>
        <v>0</v>
      </c>
      <c r="Q332" s="5" t="str">
        <f t="shared" si="8"/>
        <v>ˈka</v>
      </c>
      <c r="R332" s="15"/>
      <c r="S332" s="15" t="s">
        <v>1066</v>
      </c>
      <c r="T332" s="15" t="s">
        <v>1067</v>
      </c>
      <c r="U332" s="15" t="s">
        <v>22</v>
      </c>
      <c r="V332" s="20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</row>
    <row r="333">
      <c r="A333" s="15" t="s">
        <v>14</v>
      </c>
      <c r="B333" s="15" t="s">
        <v>1062</v>
      </c>
      <c r="C333" s="15" t="s">
        <v>1063</v>
      </c>
      <c r="D333" s="15" t="s">
        <v>1064</v>
      </c>
      <c r="E333" s="15" t="s">
        <v>1063</v>
      </c>
      <c r="F333" s="15" t="s">
        <v>131</v>
      </c>
      <c r="G333" s="15" t="s">
        <v>131</v>
      </c>
      <c r="H333" s="43">
        <f t="shared" ref="H333:I333" si="667">LEN(D333)-LEN(B333)+1</f>
        <v>2</v>
      </c>
      <c r="I333" s="43">
        <f t="shared" si="667"/>
        <v>1</v>
      </c>
      <c r="J333" s="18">
        <v>2.0</v>
      </c>
      <c r="K333" s="18">
        <v>2.0</v>
      </c>
      <c r="L333" s="5" t="str">
        <f t="shared" ref="L333:M333" si="668">IFS(J333="-", "-", J333=H333, "Final", J333=1, "Initial", J333&gt;1, "Medial")</f>
        <v>Final</v>
      </c>
      <c r="M333" s="44" t="str">
        <f t="shared" si="668"/>
        <v>Medial</v>
      </c>
      <c r="N333" s="5" t="str">
        <f t="shared" si="5"/>
        <v>vi</v>
      </c>
      <c r="O333" s="5">
        <f t="shared" si="6"/>
        <v>2</v>
      </c>
      <c r="P333" s="5" t="str">
        <f t="shared" si="7"/>
        <v>ˈviɾ </v>
      </c>
      <c r="Q333" s="5">
        <f t="shared" si="8"/>
        <v>2</v>
      </c>
      <c r="R333" s="15"/>
      <c r="S333" s="15" t="s">
        <v>1066</v>
      </c>
      <c r="T333" s="15" t="s">
        <v>1067</v>
      </c>
      <c r="U333" s="15" t="s">
        <v>22</v>
      </c>
      <c r="V333" s="20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</row>
    <row r="334">
      <c r="A334" s="3" t="s">
        <v>14</v>
      </c>
      <c r="B334" s="3" t="s">
        <v>1068</v>
      </c>
      <c r="C334" s="3" t="s">
        <v>1069</v>
      </c>
      <c r="D334" s="3" t="s">
        <v>1070</v>
      </c>
      <c r="E334" s="3" t="s">
        <v>1071</v>
      </c>
      <c r="F334" s="3" t="s">
        <v>744</v>
      </c>
      <c r="G334" s="3" t="s">
        <v>1072</v>
      </c>
      <c r="H334" s="43">
        <f t="shared" ref="H334:I334" si="669">LEN(D334)-LEN(B334)+1</f>
        <v>2</v>
      </c>
      <c r="I334" s="43">
        <f t="shared" si="669"/>
        <v>2</v>
      </c>
      <c r="J334" s="4">
        <v>1.0</v>
      </c>
      <c r="K334" s="4">
        <v>1.0</v>
      </c>
      <c r="L334" s="5" t="str">
        <f t="shared" ref="L334:M334" si="670">IFS(J334="-", "-", J334=H334, "Final", J334=1, "Initial", J334&gt;1, "Medial")</f>
        <v>Initial</v>
      </c>
      <c r="M334" s="44" t="str">
        <f t="shared" si="670"/>
        <v>Initial</v>
      </c>
      <c r="N334" s="5" t="str">
        <f t="shared" si="5"/>
        <v>0</v>
      </c>
      <c r="O334" s="5" t="str">
        <f t="shared" si="6"/>
        <v>ˈta</v>
      </c>
      <c r="P334" s="5" t="str">
        <f t="shared" si="7"/>
        <v>0</v>
      </c>
      <c r="Q334" s="5" t="str">
        <f t="shared" si="8"/>
        <v>ˈtaɾ</v>
      </c>
      <c r="R334" s="3"/>
      <c r="S334" s="3" t="s">
        <v>1073</v>
      </c>
      <c r="T334" s="3" t="s">
        <v>1074</v>
      </c>
      <c r="U334" s="3" t="s">
        <v>22</v>
      </c>
      <c r="V334" s="5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>
      <c r="A335" s="3" t="s">
        <v>14</v>
      </c>
      <c r="B335" s="3" t="s">
        <v>1068</v>
      </c>
      <c r="C335" s="3" t="s">
        <v>1069</v>
      </c>
      <c r="D335" s="3" t="s">
        <v>1070</v>
      </c>
      <c r="E335" s="3" t="s">
        <v>1071</v>
      </c>
      <c r="F335" s="3" t="s">
        <v>1075</v>
      </c>
      <c r="G335" s="3" t="s">
        <v>1076</v>
      </c>
      <c r="H335" s="43">
        <f t="shared" ref="H335:I335" si="671">LEN(D335)-LEN(B335)+1</f>
        <v>2</v>
      </c>
      <c r="I335" s="43">
        <f t="shared" si="671"/>
        <v>2</v>
      </c>
      <c r="J335" s="4">
        <v>2.0</v>
      </c>
      <c r="K335" s="4">
        <v>2.0</v>
      </c>
      <c r="L335" s="5" t="str">
        <f t="shared" ref="L335:M335" si="672">IFS(J335="-", "-", J335=H335, "Final", J335=1, "Initial", J335&gt;1, "Medial")</f>
        <v>Final</v>
      </c>
      <c r="M335" s="44" t="str">
        <f t="shared" si="672"/>
        <v>Final</v>
      </c>
      <c r="N335" s="5" t="str">
        <f t="shared" si="5"/>
        <v>vɔ</v>
      </c>
      <c r="O335" s="5">
        <f t="shared" si="6"/>
        <v>2</v>
      </c>
      <c r="P335" s="5" t="str">
        <f t="shared" si="7"/>
        <v>vɔl</v>
      </c>
      <c r="Q335" s="5">
        <f t="shared" si="8"/>
        <v>2</v>
      </c>
      <c r="R335" s="3"/>
      <c r="S335" s="3" t="s">
        <v>1073</v>
      </c>
      <c r="T335" s="3" t="s">
        <v>1074</v>
      </c>
      <c r="U335" s="3" t="s">
        <v>22</v>
      </c>
      <c r="V335" s="5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>
      <c r="A336" s="15" t="s">
        <v>14</v>
      </c>
      <c r="B336" s="15" t="s">
        <v>947</v>
      </c>
      <c r="C336" s="15" t="s">
        <v>1077</v>
      </c>
      <c r="D336" s="15" t="s">
        <v>947</v>
      </c>
      <c r="E336" s="15" t="s">
        <v>1078</v>
      </c>
      <c r="F336" s="15" t="s">
        <v>36</v>
      </c>
      <c r="G336" s="15" t="s">
        <v>49</v>
      </c>
      <c r="H336" s="43">
        <f t="shared" ref="H336:I336" si="673">LEN(D336)-LEN(B336)+1</f>
        <v>1</v>
      </c>
      <c r="I336" s="43">
        <f t="shared" si="673"/>
        <v>2</v>
      </c>
      <c r="J336" s="18" t="s">
        <v>36</v>
      </c>
      <c r="K336" s="18">
        <v>1.0</v>
      </c>
      <c r="L336" s="5" t="str">
        <f t="shared" ref="L336:M336" si="674">IFS(J336="-", "-", J336=H336, "Final", J336=1, "Initial", J336&gt;1, "Medial")</f>
        <v>-</v>
      </c>
      <c r="M336" s="44" t="str">
        <f t="shared" si="674"/>
        <v>Initial</v>
      </c>
      <c r="N336" s="5" t="str">
        <f t="shared" si="5"/>
        <v>0</v>
      </c>
      <c r="O336" s="5" t="str">
        <f t="shared" si="6"/>
        <v>ˈbi:</v>
      </c>
      <c r="P336" s="5" t="str">
        <f t="shared" si="7"/>
        <v>0</v>
      </c>
      <c r="Q336" s="5" t="str">
        <f t="shared" si="8"/>
        <v>ˈbɾiɾ</v>
      </c>
      <c r="R336" s="15" t="s">
        <v>80</v>
      </c>
      <c r="S336" s="15" t="s">
        <v>1079</v>
      </c>
      <c r="T336" s="15" t="s">
        <v>1080</v>
      </c>
      <c r="U336" s="15" t="s">
        <v>22</v>
      </c>
      <c r="V336" s="20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</row>
    <row r="337">
      <c r="A337" s="15" t="s">
        <v>14</v>
      </c>
      <c r="B337" s="15" t="s">
        <v>947</v>
      </c>
      <c r="C337" s="15" t="s">
        <v>1077</v>
      </c>
      <c r="D337" s="15" t="s">
        <v>947</v>
      </c>
      <c r="E337" s="15" t="s">
        <v>1078</v>
      </c>
      <c r="F337" s="15" t="s">
        <v>947</v>
      </c>
      <c r="G337" s="15" t="s">
        <v>1081</v>
      </c>
      <c r="H337" s="43">
        <f t="shared" ref="H337:I337" si="675">LEN(D337)-LEN(B337)+1</f>
        <v>1</v>
      </c>
      <c r="I337" s="43">
        <f t="shared" si="675"/>
        <v>2</v>
      </c>
      <c r="J337" s="18">
        <v>1.0</v>
      </c>
      <c r="K337" s="18">
        <v>2.0</v>
      </c>
      <c r="L337" s="5" t="str">
        <f t="shared" ref="L337:M337" si="676">IFS(J337="-", "-", J337=H337, "Final", J337=1, "Initial", J337&gt;1, "Medial")</f>
        <v>Final</v>
      </c>
      <c r="M337" s="44" t="str">
        <f t="shared" si="676"/>
        <v>Final</v>
      </c>
      <c r="N337" s="5" t="str">
        <f t="shared" si="5"/>
        <v>-</v>
      </c>
      <c r="O337" s="5">
        <f t="shared" si="6"/>
        <v>1</v>
      </c>
      <c r="P337" s="5" t="str">
        <f t="shared" si="7"/>
        <v>ɐ</v>
      </c>
      <c r="Q337" s="5">
        <f t="shared" si="8"/>
        <v>2</v>
      </c>
      <c r="R337" s="15"/>
      <c r="S337" s="15" t="s">
        <v>1079</v>
      </c>
      <c r="T337" s="15" t="s">
        <v>1080</v>
      </c>
      <c r="U337" s="15" t="s">
        <v>22</v>
      </c>
      <c r="V337" s="20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</row>
    <row r="338">
      <c r="A338" s="3" t="s">
        <v>14</v>
      </c>
      <c r="B338" s="3" t="s">
        <v>1082</v>
      </c>
      <c r="C338" s="3" t="s">
        <v>1083</v>
      </c>
      <c r="D338" s="3" t="s">
        <v>1084</v>
      </c>
      <c r="E338" s="3" t="s">
        <v>1085</v>
      </c>
      <c r="F338" s="3" t="s">
        <v>349</v>
      </c>
      <c r="G338" s="3" t="s">
        <v>1086</v>
      </c>
      <c r="H338" s="43">
        <f t="shared" ref="H338:I338" si="677">LEN(D338)-LEN(B338)+1</f>
        <v>2</v>
      </c>
      <c r="I338" s="43">
        <f t="shared" si="677"/>
        <v>2</v>
      </c>
      <c r="J338" s="4">
        <v>1.0</v>
      </c>
      <c r="K338" s="4">
        <v>1.0</v>
      </c>
      <c r="L338" s="5" t="str">
        <f t="shared" ref="L338:M338" si="678">IFS(J338="-", "-", J338=H338, "Final", J338=1, "Initial", J338&gt;1, "Medial")</f>
        <v>Initial</v>
      </c>
      <c r="M338" s="44" t="str">
        <f t="shared" si="678"/>
        <v>Initial</v>
      </c>
      <c r="N338" s="5" t="str">
        <f t="shared" si="5"/>
        <v>0</v>
      </c>
      <c r="O338" s="5" t="str">
        <f t="shared" si="6"/>
        <v>ˈʃi</v>
      </c>
      <c r="P338" s="5" t="str">
        <f t="shared" si="7"/>
        <v>0</v>
      </c>
      <c r="Q338" s="5" t="str">
        <f t="shared" si="8"/>
        <v>ˈtiɾ</v>
      </c>
      <c r="R338" s="3"/>
      <c r="S338" s="3" t="s">
        <v>1087</v>
      </c>
      <c r="T338" s="3" t="s">
        <v>1088</v>
      </c>
      <c r="U338" s="3" t="s">
        <v>22</v>
      </c>
      <c r="V338" s="5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>
      <c r="A339" s="3" t="s">
        <v>14</v>
      </c>
      <c r="B339" s="3" t="s">
        <v>1082</v>
      </c>
      <c r="C339" s="3" t="s">
        <v>1083</v>
      </c>
      <c r="D339" s="3" t="s">
        <v>1084</v>
      </c>
      <c r="E339" s="3" t="s">
        <v>1085</v>
      </c>
      <c r="F339" s="3" t="s">
        <v>214</v>
      </c>
      <c r="G339" s="3" t="s">
        <v>1089</v>
      </c>
      <c r="H339" s="43">
        <f t="shared" ref="H339:I339" si="679">LEN(D339)-LEN(B339)+1</f>
        <v>2</v>
      </c>
      <c r="I339" s="43">
        <f t="shared" si="679"/>
        <v>2</v>
      </c>
      <c r="J339" s="4">
        <v>2.0</v>
      </c>
      <c r="K339" s="4">
        <v>2.0</v>
      </c>
      <c r="L339" s="5" t="str">
        <f t="shared" ref="L339:M339" si="680">IFS(J339="-", "-", J339=H339, "Final", J339=1, "Initial", J339&gt;1, "Medial")</f>
        <v>Final</v>
      </c>
      <c r="M339" s="44" t="str">
        <f t="shared" si="680"/>
        <v>Final</v>
      </c>
      <c r="N339" s="5" t="str">
        <f t="shared" si="5"/>
        <v>bi</v>
      </c>
      <c r="O339" s="5">
        <f t="shared" si="6"/>
        <v>2</v>
      </c>
      <c r="P339" s="5" t="str">
        <f t="shared" si="7"/>
        <v>vɨʃ</v>
      </c>
      <c r="Q339" s="5">
        <f t="shared" si="8"/>
        <v>2</v>
      </c>
      <c r="R339" s="3"/>
      <c r="S339" s="3" t="s">
        <v>1087</v>
      </c>
      <c r="T339" s="3" t="s">
        <v>1088</v>
      </c>
      <c r="U339" s="3" t="s">
        <v>22</v>
      </c>
      <c r="V339" s="5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>
      <c r="A340" s="15" t="s">
        <v>14</v>
      </c>
      <c r="B340" s="15" t="s">
        <v>1090</v>
      </c>
      <c r="C340" s="15" t="s">
        <v>1091</v>
      </c>
      <c r="D340" s="15" t="s">
        <v>1090</v>
      </c>
      <c r="E340" s="15" t="s">
        <v>1092</v>
      </c>
      <c r="F340" s="15"/>
      <c r="G340" s="15"/>
      <c r="H340" s="43">
        <f t="shared" ref="H340:I340" si="681">LEN(D340)-LEN(B340)+1</f>
        <v>1</v>
      </c>
      <c r="I340" s="43">
        <f t="shared" si="681"/>
        <v>3</v>
      </c>
      <c r="J340" s="18"/>
      <c r="K340" s="18"/>
      <c r="L340" s="5" t="str">
        <f t="shared" ref="L340:M340" si="682">IFS(J340="-", "-", J340=H340, "Final", J340=1, "Initial", J340&gt;1, "Medial")</f>
        <v>#N/A</v>
      </c>
      <c r="M340" s="44" t="str">
        <f t="shared" si="682"/>
        <v>#N/A</v>
      </c>
      <c r="N340" s="5" t="str">
        <f t="shared" si="5"/>
        <v>0</v>
      </c>
      <c r="O340" s="5" t="str">
        <f t="shared" si="6"/>
        <v/>
      </c>
      <c r="P340" s="5" t="str">
        <f t="shared" si="7"/>
        <v>0</v>
      </c>
      <c r="Q340" s="5" t="str">
        <f t="shared" si="8"/>
        <v/>
      </c>
      <c r="R340" s="15"/>
      <c r="S340" s="15" t="s">
        <v>1093</v>
      </c>
      <c r="T340" s="15" t="s">
        <v>1094</v>
      </c>
      <c r="U340" s="15" t="s">
        <v>22</v>
      </c>
      <c r="V340" s="15" t="s">
        <v>560</v>
      </c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</row>
    <row r="341">
      <c r="A341" s="3" t="s">
        <v>14</v>
      </c>
      <c r="B341" s="3" t="s">
        <v>1095</v>
      </c>
      <c r="C341" s="3" t="s">
        <v>1096</v>
      </c>
      <c r="D341" s="3" t="s">
        <v>1097</v>
      </c>
      <c r="E341" s="3" t="s">
        <v>1098</v>
      </c>
      <c r="F341" s="3" t="s">
        <v>599</v>
      </c>
      <c r="G341" s="3" t="s">
        <v>1099</v>
      </c>
      <c r="H341" s="43">
        <f t="shared" ref="H341:I341" si="683">LEN(D341)-LEN(B341)+1</f>
        <v>2</v>
      </c>
      <c r="I341" s="43">
        <f t="shared" si="683"/>
        <v>2</v>
      </c>
      <c r="J341" s="4">
        <v>1.0</v>
      </c>
      <c r="K341" s="4">
        <v>1.0</v>
      </c>
      <c r="L341" s="5" t="str">
        <f t="shared" ref="L341:M341" si="684">IFS(J341="-", "-", J341=H341, "Final", J341=1, "Initial", J341&gt;1, "Medial")</f>
        <v>Initial</v>
      </c>
      <c r="M341" s="44" t="str">
        <f t="shared" si="684"/>
        <v>Initial</v>
      </c>
      <c r="N341" s="5" t="str">
        <f t="shared" si="5"/>
        <v>0</v>
      </c>
      <c r="O341" s="5" t="str">
        <f t="shared" si="6"/>
        <v>ˈja</v>
      </c>
      <c r="P341" s="5" t="str">
        <f t="shared" si="7"/>
        <v>0</v>
      </c>
      <c r="Q341" s="5" t="str">
        <f t="shared" si="8"/>
        <v>ˈaɾ</v>
      </c>
      <c r="R341" s="3"/>
      <c r="S341" s="3" t="s">
        <v>1100</v>
      </c>
      <c r="T341" s="3" t="s">
        <v>1101</v>
      </c>
      <c r="U341" s="3" t="s">
        <v>22</v>
      </c>
      <c r="V341" s="5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>
      <c r="A342" s="3" t="s">
        <v>14</v>
      </c>
      <c r="B342" s="3" t="s">
        <v>1095</v>
      </c>
      <c r="C342" s="3" t="s">
        <v>1096</v>
      </c>
      <c r="D342" s="3" t="s">
        <v>1097</v>
      </c>
      <c r="E342" s="3" t="s">
        <v>1098</v>
      </c>
      <c r="F342" s="3" t="s">
        <v>995</v>
      </c>
      <c r="G342" s="3" t="s">
        <v>996</v>
      </c>
      <c r="H342" s="43">
        <f t="shared" ref="H342:I342" si="685">LEN(D342)-LEN(B342)+1</f>
        <v>2</v>
      </c>
      <c r="I342" s="43">
        <f t="shared" si="685"/>
        <v>2</v>
      </c>
      <c r="J342" s="4">
        <v>2.0</v>
      </c>
      <c r="K342" s="4">
        <v>2.0</v>
      </c>
      <c r="L342" s="5" t="str">
        <f t="shared" ref="L342:M342" si="686">IFS(J342="-", "-", J342=H342, "Final", J342=1, "Initial", J342&gt;1, "Medial")</f>
        <v>Final</v>
      </c>
      <c r="M342" s="44" t="str">
        <f t="shared" si="686"/>
        <v>Final</v>
      </c>
      <c r="N342" s="5" t="str">
        <f t="shared" si="5"/>
        <v>bɔ</v>
      </c>
      <c r="O342" s="5">
        <f t="shared" si="6"/>
        <v>2</v>
      </c>
      <c r="P342" s="5" t="str">
        <f t="shared" si="7"/>
        <v>boj</v>
      </c>
      <c r="Q342" s="5">
        <f t="shared" si="8"/>
        <v>2</v>
      </c>
      <c r="R342" s="3"/>
      <c r="S342" s="3" t="s">
        <v>1100</v>
      </c>
      <c r="T342" s="3" t="s">
        <v>1101</v>
      </c>
      <c r="U342" s="3" t="s">
        <v>22</v>
      </c>
      <c r="V342" s="5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>
      <c r="A343" s="3" t="s">
        <v>14</v>
      </c>
      <c r="B343" s="3" t="s">
        <v>1102</v>
      </c>
      <c r="C343" s="3" t="s">
        <v>1103</v>
      </c>
      <c r="D343" s="3" t="s">
        <v>1104</v>
      </c>
      <c r="E343" s="3" t="s">
        <v>1105</v>
      </c>
      <c r="F343" s="3" t="s">
        <v>143</v>
      </c>
      <c r="G343" s="3" t="s">
        <v>1106</v>
      </c>
      <c r="H343" s="43">
        <f t="shared" ref="H343:I343" si="687">LEN(D343)-LEN(B343)+1</f>
        <v>2</v>
      </c>
      <c r="I343" s="43">
        <f t="shared" si="687"/>
        <v>2</v>
      </c>
      <c r="J343" s="4">
        <v>1.0</v>
      </c>
      <c r="K343" s="4">
        <v>1.0</v>
      </c>
      <c r="L343" s="5" t="str">
        <f t="shared" ref="L343:M343" si="688">IFS(J343="-", "-", J343=H343, "Final", J343=1, "Initial", J343&gt;1, "Medial")</f>
        <v>Initial</v>
      </c>
      <c r="M343" s="44" t="str">
        <f t="shared" si="688"/>
        <v>Initial</v>
      </c>
      <c r="N343" s="5" t="str">
        <f t="shared" si="5"/>
        <v>0</v>
      </c>
      <c r="O343" s="5" t="str">
        <f t="shared" si="6"/>
        <v>ˈka</v>
      </c>
      <c r="P343" s="5" t="str">
        <f t="shared" si="7"/>
        <v>0</v>
      </c>
      <c r="Q343" s="5" t="str">
        <f t="shared" si="8"/>
        <v>ˈkaɾ</v>
      </c>
      <c r="R343" s="3"/>
      <c r="S343" s="3" t="s">
        <v>1107</v>
      </c>
      <c r="T343" s="3" t="s">
        <v>1108</v>
      </c>
      <c r="U343" s="3" t="s">
        <v>22</v>
      </c>
      <c r="V343" s="5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>
      <c r="A344" s="3" t="s">
        <v>14</v>
      </c>
      <c r="B344" s="3" t="s">
        <v>1102</v>
      </c>
      <c r="C344" s="3" t="s">
        <v>1103</v>
      </c>
      <c r="D344" s="3" t="s">
        <v>1104</v>
      </c>
      <c r="E344" s="3" t="s">
        <v>1105</v>
      </c>
      <c r="F344" s="3" t="s">
        <v>131</v>
      </c>
      <c r="G344" s="3" t="s">
        <v>132</v>
      </c>
      <c r="H344" s="43">
        <f t="shared" ref="H344:I344" si="689">LEN(D344)-LEN(B344)+1</f>
        <v>2</v>
      </c>
      <c r="I344" s="43">
        <f t="shared" si="689"/>
        <v>2</v>
      </c>
      <c r="J344" s="4">
        <v>2.0</v>
      </c>
      <c r="K344" s="4">
        <v>2.0</v>
      </c>
      <c r="L344" s="5" t="str">
        <f t="shared" ref="L344:M344" si="690">IFS(J344="-", "-", J344=H344, "Final", J344=1, "Initial", J344&gt;1, "Medial")</f>
        <v>Final</v>
      </c>
      <c r="M344" s="44" t="str">
        <f t="shared" si="690"/>
        <v>Final</v>
      </c>
      <c r="N344" s="5" t="str">
        <f t="shared" si="5"/>
        <v>bu</v>
      </c>
      <c r="O344" s="5">
        <f t="shared" si="6"/>
        <v>2</v>
      </c>
      <c r="P344" s="5" t="str">
        <f t="shared" si="7"/>
        <v>buʃ</v>
      </c>
      <c r="Q344" s="5">
        <f t="shared" si="8"/>
        <v>2</v>
      </c>
      <c r="R344" s="3"/>
      <c r="S344" s="3" t="s">
        <v>1107</v>
      </c>
      <c r="T344" s="3" t="s">
        <v>1108</v>
      </c>
      <c r="U344" s="3" t="s">
        <v>22</v>
      </c>
      <c r="V344" s="5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>
      <c r="A345" s="15" t="s">
        <v>14</v>
      </c>
      <c r="B345" s="15" t="s">
        <v>1109</v>
      </c>
      <c r="C345" s="15" t="s">
        <v>1110</v>
      </c>
      <c r="D345" s="15" t="s">
        <v>1111</v>
      </c>
      <c r="E345" s="15" t="s">
        <v>1112</v>
      </c>
      <c r="F345" s="15" t="s">
        <v>36</v>
      </c>
      <c r="G345" s="15" t="s">
        <v>1113</v>
      </c>
      <c r="H345" s="43">
        <f t="shared" ref="H345:I345" si="691">LEN(D345)-LEN(B345)+1</f>
        <v>2</v>
      </c>
      <c r="I345" s="43">
        <f t="shared" si="691"/>
        <v>3</v>
      </c>
      <c r="J345" s="18" t="s">
        <v>36</v>
      </c>
      <c r="K345" s="18">
        <v>1.0</v>
      </c>
      <c r="L345" s="5" t="str">
        <f t="shared" ref="L345:M345" si="692">IFS(J345="-", "-", J345=H345, "Final", J345=1, "Initial", J345&gt;1, "Medial")</f>
        <v>-</v>
      </c>
      <c r="M345" s="44" t="str">
        <f t="shared" si="692"/>
        <v>Initial</v>
      </c>
      <c r="N345" s="5" t="str">
        <f t="shared" si="5"/>
        <v>0</v>
      </c>
      <c r="O345" s="5" t="str">
        <f t="shared" si="6"/>
        <v>bu</v>
      </c>
      <c r="P345" s="5" t="str">
        <f t="shared" si="7"/>
        <v>0</v>
      </c>
      <c r="Q345" s="5" t="str">
        <f t="shared" si="8"/>
        <v>bɾu</v>
      </c>
      <c r="R345" s="15" t="s">
        <v>80</v>
      </c>
      <c r="S345" s="15" t="s">
        <v>1114</v>
      </c>
      <c r="T345" s="15" t="s">
        <v>1115</v>
      </c>
      <c r="U345" s="15" t="s">
        <v>22</v>
      </c>
      <c r="V345" s="20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</row>
    <row r="346">
      <c r="A346" s="15" t="s">
        <v>14</v>
      </c>
      <c r="B346" s="15" t="s">
        <v>1109</v>
      </c>
      <c r="C346" s="15" t="s">
        <v>1110</v>
      </c>
      <c r="D346" s="15" t="s">
        <v>1111</v>
      </c>
      <c r="E346" s="15" t="s">
        <v>1112</v>
      </c>
      <c r="F346" s="15" t="s">
        <v>143</v>
      </c>
      <c r="G346" s="15" t="s">
        <v>1116</v>
      </c>
      <c r="H346" s="43">
        <f t="shared" ref="H346:I346" si="693">LEN(D346)-LEN(B346)+1</f>
        <v>2</v>
      </c>
      <c r="I346" s="43">
        <f t="shared" si="693"/>
        <v>3</v>
      </c>
      <c r="J346" s="18">
        <v>1.0</v>
      </c>
      <c r="K346" s="18">
        <v>2.0</v>
      </c>
      <c r="L346" s="5" t="str">
        <f t="shared" ref="L346:M346" si="694">IFS(J346="-", "-", J346=H346, "Final", J346=1, "Initial", J346&gt;1, "Medial")</f>
        <v>Initial</v>
      </c>
      <c r="M346" s="44" t="str">
        <f t="shared" si="694"/>
        <v>Medial</v>
      </c>
      <c r="N346" s="5" t="str">
        <f t="shared" si="5"/>
        <v>-</v>
      </c>
      <c r="O346" s="5" t="str">
        <f t="shared" si="6"/>
        <v>ˈrja</v>
      </c>
      <c r="P346" s="5" t="str">
        <f t="shared" si="7"/>
        <v>ẽ</v>
      </c>
      <c r="Q346" s="5" t="str">
        <f t="shared" si="8"/>
        <v>ˈʎaɾ</v>
      </c>
      <c r="R346" s="15"/>
      <c r="S346" s="15" t="s">
        <v>1114</v>
      </c>
      <c r="T346" s="15" t="s">
        <v>1115</v>
      </c>
      <c r="U346" s="15" t="s">
        <v>22</v>
      </c>
      <c r="V346" s="20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</row>
    <row r="347">
      <c r="A347" s="15" t="s">
        <v>14</v>
      </c>
      <c r="B347" s="15" t="s">
        <v>1109</v>
      </c>
      <c r="C347" s="15" t="s">
        <v>1110</v>
      </c>
      <c r="D347" s="15" t="s">
        <v>1111</v>
      </c>
      <c r="E347" s="15" t="s">
        <v>1112</v>
      </c>
      <c r="F347" s="15" t="s">
        <v>481</v>
      </c>
      <c r="G347" s="15" t="s">
        <v>1117</v>
      </c>
      <c r="H347" s="43">
        <f t="shared" ref="H347:I347" si="695">LEN(D347)-LEN(B347)+1</f>
        <v>2</v>
      </c>
      <c r="I347" s="43">
        <f t="shared" si="695"/>
        <v>3</v>
      </c>
      <c r="J347" s="18">
        <v>2.0</v>
      </c>
      <c r="K347" s="18">
        <v>3.0</v>
      </c>
      <c r="L347" s="5" t="str">
        <f t="shared" ref="L347:M347" si="696">IFS(J347="-", "-", J347=H347, "Final", J347=1, "Initial", J347&gt;1, "Medial")</f>
        <v>Final</v>
      </c>
      <c r="M347" s="44" t="str">
        <f t="shared" si="696"/>
        <v>Final</v>
      </c>
      <c r="N347" s="5" t="str">
        <f t="shared" si="5"/>
        <v>bu</v>
      </c>
      <c r="O347" s="5">
        <f t="shared" si="6"/>
        <v>2</v>
      </c>
      <c r="P347" s="5" t="str">
        <f t="shared" si="7"/>
        <v>bɾu</v>
      </c>
      <c r="Q347" s="5">
        <f t="shared" si="8"/>
        <v>3</v>
      </c>
      <c r="R347" s="15"/>
      <c r="S347" s="15" t="s">
        <v>1114</v>
      </c>
      <c r="T347" s="15" t="s">
        <v>1115</v>
      </c>
      <c r="U347" s="15" t="s">
        <v>22</v>
      </c>
      <c r="V347" s="20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</row>
    <row r="348">
      <c r="A348" s="3" t="s">
        <v>14</v>
      </c>
      <c r="B348" s="3" t="s">
        <v>1118</v>
      </c>
      <c r="C348" s="3" t="s">
        <v>1119</v>
      </c>
      <c r="D348" s="3" t="s">
        <v>1118</v>
      </c>
      <c r="E348" s="3" t="s">
        <v>1119</v>
      </c>
      <c r="F348" s="3" t="s">
        <v>1118</v>
      </c>
      <c r="G348" s="3" t="s">
        <v>1119</v>
      </c>
      <c r="H348" s="43">
        <f t="shared" ref="H348:I348" si="697">LEN(D348)-LEN(B348)+1</f>
        <v>1</v>
      </c>
      <c r="I348" s="43">
        <f t="shared" si="697"/>
        <v>1</v>
      </c>
      <c r="J348" s="4">
        <v>1.0</v>
      </c>
      <c r="K348" s="4">
        <v>1.0</v>
      </c>
      <c r="L348" s="5" t="str">
        <f t="shared" ref="L348:M348" si="698">IFS(J348="-", "-", J348=H348, "Final", J348=1, "Initial", J348&gt;1, "Medial")</f>
        <v>Final</v>
      </c>
      <c r="M348" s="44" t="str">
        <f t="shared" si="698"/>
        <v>Final</v>
      </c>
      <c r="N348" s="5" t="str">
        <f t="shared" si="5"/>
        <v>0</v>
      </c>
      <c r="O348" s="5">
        <f t="shared" si="6"/>
        <v>1</v>
      </c>
      <c r="P348" s="5" t="str">
        <f t="shared" si="7"/>
        <v>0</v>
      </c>
      <c r="Q348" s="5">
        <f t="shared" si="8"/>
        <v>1</v>
      </c>
      <c r="R348" s="3"/>
      <c r="S348" s="3" t="s">
        <v>1120</v>
      </c>
      <c r="T348" s="3" t="s">
        <v>1121</v>
      </c>
      <c r="U348" s="3" t="s">
        <v>22</v>
      </c>
      <c r="V348" s="5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>
      <c r="A349" s="3" t="s">
        <v>14</v>
      </c>
      <c r="B349" s="3" t="s">
        <v>1122</v>
      </c>
      <c r="C349" s="3" t="s">
        <v>1123</v>
      </c>
      <c r="D349" s="3" t="s">
        <v>1124</v>
      </c>
      <c r="E349" s="3" t="s">
        <v>1125</v>
      </c>
      <c r="F349" s="3" t="s">
        <v>1126</v>
      </c>
      <c r="G349" s="3" t="s">
        <v>1126</v>
      </c>
      <c r="H349" s="43">
        <f t="shared" ref="H349:I349" si="699">LEN(D349)-LEN(B349)+1</f>
        <v>2</v>
      </c>
      <c r="I349" s="43">
        <f t="shared" si="699"/>
        <v>2</v>
      </c>
      <c r="J349" s="4">
        <v>1.0</v>
      </c>
      <c r="K349" s="4">
        <v>1.0</v>
      </c>
      <c r="L349" s="5" t="str">
        <f t="shared" ref="L349:M349" si="700">IFS(J349="-", "-", J349=H349, "Final", J349=1, "Initial", J349&gt;1, "Medial")</f>
        <v>Initial</v>
      </c>
      <c r="M349" s="44" t="str">
        <f t="shared" si="700"/>
        <v>Initial</v>
      </c>
      <c r="N349" s="5" t="str">
        <f t="shared" si="5"/>
        <v>0</v>
      </c>
      <c r="O349" s="5" t="str">
        <f t="shared" si="6"/>
        <v>ˈsa</v>
      </c>
      <c r="P349" s="5" t="str">
        <f t="shared" si="7"/>
        <v>0</v>
      </c>
      <c r="Q349" s="5" t="str">
        <f t="shared" si="8"/>
        <v>ˈsaɾ</v>
      </c>
      <c r="R349" s="3"/>
      <c r="S349" s="3" t="s">
        <v>1127</v>
      </c>
      <c r="T349" s="3" t="s">
        <v>1128</v>
      </c>
      <c r="U349" s="3" t="s">
        <v>22</v>
      </c>
      <c r="V349" s="5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>
      <c r="A350" s="3" t="s">
        <v>14</v>
      </c>
      <c r="B350" s="3" t="s">
        <v>1122</v>
      </c>
      <c r="C350" s="3" t="s">
        <v>1123</v>
      </c>
      <c r="D350" s="3" t="s">
        <v>1124</v>
      </c>
      <c r="E350" s="3" t="s">
        <v>1125</v>
      </c>
      <c r="F350" s="3" t="s">
        <v>1032</v>
      </c>
      <c r="G350" s="3" t="s">
        <v>1129</v>
      </c>
      <c r="H350" s="43">
        <f t="shared" ref="H350:I350" si="701">LEN(D350)-LEN(B350)+1</f>
        <v>2</v>
      </c>
      <c r="I350" s="43">
        <f t="shared" si="701"/>
        <v>2</v>
      </c>
      <c r="J350" s="4">
        <v>2.0</v>
      </c>
      <c r="K350" s="4">
        <v>2.0</v>
      </c>
      <c r="L350" s="5" t="str">
        <f t="shared" ref="L350:M350" si="702">IFS(J350="-", "-", J350=H350, "Final", J350=1, "Initial", J350&gt;1, "Medial")</f>
        <v>Final</v>
      </c>
      <c r="M350" s="44" t="str">
        <f t="shared" si="702"/>
        <v>Final</v>
      </c>
      <c r="N350" s="5" t="str">
        <f t="shared" si="5"/>
        <v>dɐ̃</v>
      </c>
      <c r="O350" s="5">
        <f t="shared" si="6"/>
        <v>2</v>
      </c>
      <c r="P350" s="5" t="str">
        <f t="shared" si="7"/>
        <v>dɐ̃</v>
      </c>
      <c r="Q350" s="5">
        <f t="shared" si="8"/>
        <v>2</v>
      </c>
      <c r="R350" s="3"/>
      <c r="S350" s="3" t="s">
        <v>1127</v>
      </c>
      <c r="T350" s="3" t="s">
        <v>1128</v>
      </c>
      <c r="U350" s="3" t="s">
        <v>22</v>
      </c>
      <c r="V350" s="5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>
      <c r="A351" s="3" t="s">
        <v>14</v>
      </c>
      <c r="B351" s="3" t="s">
        <v>1130</v>
      </c>
      <c r="C351" s="3" t="s">
        <v>1131</v>
      </c>
      <c r="D351" s="3" t="s">
        <v>1132</v>
      </c>
      <c r="E351" s="3" t="s">
        <v>1133</v>
      </c>
      <c r="F351" s="3" t="s">
        <v>1134</v>
      </c>
      <c r="G351" s="3" t="s">
        <v>334</v>
      </c>
      <c r="H351" s="43">
        <f t="shared" ref="H351:I351" si="703">LEN(D351)-LEN(B351)+1</f>
        <v>2</v>
      </c>
      <c r="I351" s="43">
        <f t="shared" si="703"/>
        <v>3</v>
      </c>
      <c r="J351" s="4">
        <v>1.0</v>
      </c>
      <c r="K351" s="4">
        <v>1.0</v>
      </c>
      <c r="L351" s="5" t="str">
        <f t="shared" ref="L351:M351" si="704">IFS(J351="-", "-", J351=H351, "Final", J351=1, "Initial", J351&gt;1, "Medial")</f>
        <v>Initial</v>
      </c>
      <c r="M351" s="44" t="str">
        <f t="shared" si="704"/>
        <v>Initial</v>
      </c>
      <c r="N351" s="5" t="str">
        <f t="shared" si="5"/>
        <v>0</v>
      </c>
      <c r="O351" s="5" t="str">
        <f t="shared" si="6"/>
        <v>-</v>
      </c>
      <c r="P351" s="5" t="str">
        <f t="shared" si="7"/>
        <v>0</v>
      </c>
      <c r="Q351" s="5" t="str">
        <f t="shared" si="8"/>
        <v>ʀɨ</v>
      </c>
      <c r="R351" s="3" t="s">
        <v>80</v>
      </c>
      <c r="S351" s="3" t="s">
        <v>1135</v>
      </c>
      <c r="T351" s="3" t="s">
        <v>1136</v>
      </c>
      <c r="U351" s="3" t="s">
        <v>22</v>
      </c>
      <c r="V351" s="5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>
      <c r="A352" s="3" t="s">
        <v>14</v>
      </c>
      <c r="B352" s="3" t="s">
        <v>1130</v>
      </c>
      <c r="C352" s="3" t="s">
        <v>1131</v>
      </c>
      <c r="D352" s="3" t="s">
        <v>1132</v>
      </c>
      <c r="E352" s="3" t="s">
        <v>1133</v>
      </c>
      <c r="F352" s="3" t="s">
        <v>36</v>
      </c>
      <c r="G352" s="3" t="s">
        <v>1137</v>
      </c>
      <c r="H352" s="43">
        <f t="shared" ref="H352:I352" si="705">LEN(D352)-LEN(B352)+1</f>
        <v>2</v>
      </c>
      <c r="I352" s="43">
        <f t="shared" si="705"/>
        <v>3</v>
      </c>
      <c r="J352" s="4" t="s">
        <v>36</v>
      </c>
      <c r="K352" s="4">
        <v>2.0</v>
      </c>
      <c r="L352" s="5" t="str">
        <f t="shared" ref="L352:M352" si="706">IFS(J352="-", "-", J352=H352, "Final", J352=1, "Initial", J352&gt;1, "Medial")</f>
        <v>-</v>
      </c>
      <c r="M352" s="44" t="str">
        <f t="shared" si="706"/>
        <v>Medial</v>
      </c>
      <c r="N352" s="5" t="str">
        <f t="shared" si="5"/>
        <v>de:</v>
      </c>
      <c r="O352" s="5" t="str">
        <f t="shared" si="6"/>
        <v>ˈte</v>
      </c>
      <c r="P352" s="5" t="str">
        <f t="shared" si="7"/>
        <v>dɨ</v>
      </c>
      <c r="Q352" s="5" t="str">
        <f t="shared" si="8"/>
        <v>ˈteɾ</v>
      </c>
      <c r="R352" s="3"/>
      <c r="S352" s="3" t="s">
        <v>1135</v>
      </c>
      <c r="T352" s="3" t="s">
        <v>1136</v>
      </c>
      <c r="U352" s="3" t="s">
        <v>22</v>
      </c>
      <c r="V352" s="5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>
      <c r="A353" s="3" t="s">
        <v>14</v>
      </c>
      <c r="B353" s="3" t="s">
        <v>1130</v>
      </c>
      <c r="C353" s="3" t="s">
        <v>1131</v>
      </c>
      <c r="D353" s="3" t="s">
        <v>1132</v>
      </c>
      <c r="E353" s="3" t="s">
        <v>1133</v>
      </c>
      <c r="F353" s="3" t="s">
        <v>1040</v>
      </c>
      <c r="G353" s="3" t="s">
        <v>1041</v>
      </c>
      <c r="H353" s="43">
        <f t="shared" ref="H353:I353" si="707">LEN(D353)-LEN(B353)+1</f>
        <v>2</v>
      </c>
      <c r="I353" s="43">
        <f t="shared" si="707"/>
        <v>3</v>
      </c>
      <c r="J353" s="4">
        <v>2.0</v>
      </c>
      <c r="K353" s="4">
        <v>3.0</v>
      </c>
      <c r="L353" s="5" t="str">
        <f t="shared" ref="L353:M353" si="708">IFS(J353="-", "-", J353=H353, "Final", J353=1, "Initial", J353&gt;1, "Medial")</f>
        <v>Final</v>
      </c>
      <c r="M353" s="44" t="str">
        <f t="shared" si="708"/>
        <v>Final</v>
      </c>
      <c r="N353" s="5" t="str">
        <f t="shared" si="5"/>
        <v>-</v>
      </c>
      <c r="O353" s="5">
        <f t="shared" si="6"/>
        <v>2</v>
      </c>
      <c r="P353" s="5" t="str">
        <f t="shared" si="7"/>
        <v>ʀɨ</v>
      </c>
      <c r="Q353" s="5">
        <f t="shared" si="8"/>
        <v>3</v>
      </c>
      <c r="R353" s="3"/>
      <c r="S353" s="3" t="s">
        <v>1135</v>
      </c>
      <c r="T353" s="3" t="s">
        <v>1136</v>
      </c>
      <c r="U353" s="3" t="s">
        <v>22</v>
      </c>
      <c r="V353" s="5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>
      <c r="A354" s="3" t="s">
        <v>14</v>
      </c>
      <c r="B354" s="3" t="s">
        <v>1138</v>
      </c>
      <c r="C354" s="3" t="s">
        <v>1139</v>
      </c>
      <c r="D354" s="3" t="s">
        <v>1140</v>
      </c>
      <c r="E354" s="3" t="s">
        <v>1141</v>
      </c>
      <c r="F354" s="3" t="s">
        <v>172</v>
      </c>
      <c r="G354" s="3" t="s">
        <v>1142</v>
      </c>
      <c r="H354" s="43">
        <f t="shared" ref="H354:I354" si="709">LEN(D354)-LEN(B354)+1</f>
        <v>2</v>
      </c>
      <c r="I354" s="43">
        <f t="shared" si="709"/>
        <v>2</v>
      </c>
      <c r="J354" s="4">
        <v>1.0</v>
      </c>
      <c r="K354" s="4">
        <v>1.0</v>
      </c>
      <c r="L354" s="5" t="str">
        <f t="shared" ref="L354:M354" si="710">IFS(J354="-", "-", J354=H354, "Final", J354=1, "Initial", J354&gt;1, "Medial")</f>
        <v>Initial</v>
      </c>
      <c r="M354" s="44" t="str">
        <f t="shared" si="710"/>
        <v>Initial</v>
      </c>
      <c r="N354" s="5" t="str">
        <f t="shared" si="5"/>
        <v>0</v>
      </c>
      <c r="O354" s="5" t="str">
        <f t="shared" si="6"/>
        <v>ˈmi</v>
      </c>
      <c r="P354" s="5" t="str">
        <f t="shared" si="7"/>
        <v>0</v>
      </c>
      <c r="Q354" s="5" t="str">
        <f t="shared" si="8"/>
        <v>ˈmiɾ</v>
      </c>
      <c r="R354" s="3"/>
      <c r="S354" s="3" t="s">
        <v>1143</v>
      </c>
      <c r="T354" s="3" t="s">
        <v>1144</v>
      </c>
      <c r="U354" s="3" t="s">
        <v>22</v>
      </c>
      <c r="V354" s="5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>
      <c r="A355" s="3" t="s">
        <v>14</v>
      </c>
      <c r="B355" s="3" t="s">
        <v>1138</v>
      </c>
      <c r="C355" s="3" t="s">
        <v>1139</v>
      </c>
      <c r="D355" s="3" t="s">
        <v>1140</v>
      </c>
      <c r="E355" s="3" t="s">
        <v>1141</v>
      </c>
      <c r="F355" s="3" t="s">
        <v>918</v>
      </c>
      <c r="G355" s="3" t="s">
        <v>1145</v>
      </c>
      <c r="H355" s="43">
        <f t="shared" ref="H355:I355" si="711">LEN(D355)-LEN(B355)+1</f>
        <v>2</v>
      </c>
      <c r="I355" s="43">
        <f t="shared" si="711"/>
        <v>2</v>
      </c>
      <c r="J355" s="4">
        <v>2.0</v>
      </c>
      <c r="K355" s="4">
        <v>2.0</v>
      </c>
      <c r="L355" s="5" t="str">
        <f t="shared" ref="L355:M355" si="712">IFS(J355="-", "-", J355=H355, "Final", J355=1, "Initial", J355&gt;1, "Medial")</f>
        <v>Final</v>
      </c>
      <c r="M355" s="44" t="str">
        <f t="shared" si="712"/>
        <v>Final</v>
      </c>
      <c r="N355" s="5" t="str">
        <f t="shared" si="5"/>
        <v>di</v>
      </c>
      <c r="O355" s="5">
        <f t="shared" si="6"/>
        <v>2</v>
      </c>
      <c r="P355" s="5" t="str">
        <f t="shared" si="7"/>
        <v>duɾ</v>
      </c>
      <c r="Q355" s="5">
        <f t="shared" si="8"/>
        <v>2</v>
      </c>
      <c r="R355" s="3"/>
      <c r="S355" s="3" t="s">
        <v>1143</v>
      </c>
      <c r="T355" s="3" t="s">
        <v>1144</v>
      </c>
      <c r="U355" s="3" t="s">
        <v>22</v>
      </c>
      <c r="V355" s="5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>
      <c r="A356" s="3" t="s">
        <v>14</v>
      </c>
      <c r="B356" s="3" t="s">
        <v>1146</v>
      </c>
      <c r="C356" s="3" t="s">
        <v>1147</v>
      </c>
      <c r="D356" s="3" t="s">
        <v>1148</v>
      </c>
      <c r="E356" s="3" t="s">
        <v>1149</v>
      </c>
      <c r="F356" s="3" t="s">
        <v>1148</v>
      </c>
      <c r="G356" s="3" t="s">
        <v>79</v>
      </c>
      <c r="H356" s="43">
        <f t="shared" ref="H356:I356" si="713">LEN(D356)-LEN(B356)+1</f>
        <v>2</v>
      </c>
      <c r="I356" s="43">
        <f t="shared" si="713"/>
        <v>2</v>
      </c>
      <c r="J356" s="4">
        <v>1.0</v>
      </c>
      <c r="K356" s="4">
        <v>1.0</v>
      </c>
      <c r="L356" s="5" t="str">
        <f t="shared" ref="L356:M356" si="714">IFS(J356="-", "-", J356=H356, "Final", J356=1, "Initial", J356&gt;1, "Medial")</f>
        <v>Initial</v>
      </c>
      <c r="M356" s="44" t="str">
        <f t="shared" si="714"/>
        <v>Initial</v>
      </c>
      <c r="N356" s="5" t="str">
        <f t="shared" si="5"/>
        <v>0</v>
      </c>
      <c r="O356" s="5" t="str">
        <f t="shared" si="6"/>
        <v>-</v>
      </c>
      <c r="P356" s="5" t="str">
        <f t="shared" si="7"/>
        <v>0</v>
      </c>
      <c r="Q356" s="5" t="str">
        <f t="shared" si="8"/>
        <v>ˈlaɾ</v>
      </c>
      <c r="R356" s="3" t="s">
        <v>80</v>
      </c>
      <c r="S356" s="3" t="s">
        <v>1150</v>
      </c>
      <c r="T356" s="3" t="s">
        <v>1151</v>
      </c>
      <c r="U356" s="3" t="s">
        <v>22</v>
      </c>
      <c r="V356" s="5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>
      <c r="A357" s="3" t="s">
        <v>14</v>
      </c>
      <c r="B357" s="3" t="s">
        <v>1146</v>
      </c>
      <c r="C357" s="3" t="s">
        <v>1147</v>
      </c>
      <c r="D357" s="3" t="s">
        <v>1148</v>
      </c>
      <c r="E357" s="3" t="s">
        <v>1149</v>
      </c>
      <c r="F357" s="3" t="s">
        <v>36</v>
      </c>
      <c r="G357" s="3" t="s">
        <v>1152</v>
      </c>
      <c r="H357" s="43">
        <f t="shared" ref="H357:I357" si="715">LEN(D357)-LEN(B357)+1</f>
        <v>2</v>
      </c>
      <c r="I357" s="43">
        <f t="shared" si="715"/>
        <v>2</v>
      </c>
      <c r="J357" s="4" t="s">
        <v>36</v>
      </c>
      <c r="K357" s="4">
        <v>2.0</v>
      </c>
      <c r="L357" s="5" t="str">
        <f t="shared" ref="L357:M357" si="716">IFS(J357="-", "-", J357=H357, "Final", J357=1, "Initial", J357&gt;1, "Medial")</f>
        <v>-</v>
      </c>
      <c r="M357" s="44" t="str">
        <f t="shared" si="716"/>
        <v>Final</v>
      </c>
      <c r="N357" s="5" t="str">
        <f t="shared" si="5"/>
        <v>ˈfa:.</v>
      </c>
      <c r="O357" s="5" t="str">
        <f t="shared" si="6"/>
        <v>-</v>
      </c>
      <c r="P357" s="5" t="str">
        <f t="shared" si="7"/>
        <v>fɐ</v>
      </c>
      <c r="Q357" s="5">
        <f t="shared" si="8"/>
        <v>2</v>
      </c>
      <c r="R357" s="3"/>
      <c r="S357" s="3" t="s">
        <v>1150</v>
      </c>
      <c r="T357" s="3" t="s">
        <v>1151</v>
      </c>
      <c r="U357" s="3" t="s">
        <v>22</v>
      </c>
      <c r="V357" s="5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>
      <c r="A358" s="15" t="s">
        <v>14</v>
      </c>
      <c r="B358" s="15" t="s">
        <v>1153</v>
      </c>
      <c r="C358" s="15" t="s">
        <v>1154</v>
      </c>
      <c r="D358" s="15" t="s">
        <v>1155</v>
      </c>
      <c r="E358" s="15" t="s">
        <v>1156</v>
      </c>
      <c r="F358" s="15"/>
      <c r="G358" s="15"/>
      <c r="H358" s="43">
        <f t="shared" ref="H358:I358" si="717">LEN(D358)-LEN(B358)+1</f>
        <v>3</v>
      </c>
      <c r="I358" s="43">
        <f t="shared" si="717"/>
        <v>2</v>
      </c>
      <c r="J358" s="18"/>
      <c r="K358" s="18"/>
      <c r="L358" s="5" t="str">
        <f t="shared" ref="L358:M358" si="718">IFS(J358="-", "-", J358=H358, "Final", J358=1, "Initial", J358&gt;1, "Medial")</f>
        <v>#N/A</v>
      </c>
      <c r="M358" s="44" t="str">
        <f t="shared" si="718"/>
        <v>#N/A</v>
      </c>
      <c r="N358" s="5" t="str">
        <f t="shared" si="5"/>
        <v>0</v>
      </c>
      <c r="O358" s="5" t="str">
        <f t="shared" si="6"/>
        <v/>
      </c>
      <c r="P358" s="5" t="str">
        <f t="shared" si="7"/>
        <v>0</v>
      </c>
      <c r="Q358" s="5" t="str">
        <f t="shared" si="8"/>
        <v/>
      </c>
      <c r="R358" s="15"/>
      <c r="S358" s="15" t="s">
        <v>1157</v>
      </c>
      <c r="T358" s="15" t="s">
        <v>1158</v>
      </c>
      <c r="U358" s="15" t="s">
        <v>22</v>
      </c>
      <c r="V358" s="15" t="s">
        <v>560</v>
      </c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</row>
    <row r="359">
      <c r="A359" s="3" t="s">
        <v>14</v>
      </c>
      <c r="B359" s="3" t="s">
        <v>1159</v>
      </c>
      <c r="C359" s="3" t="s">
        <v>1160</v>
      </c>
      <c r="D359" s="3" t="s">
        <v>1161</v>
      </c>
      <c r="E359" s="3" t="s">
        <v>1162</v>
      </c>
      <c r="F359" s="3" t="s">
        <v>1163</v>
      </c>
      <c r="G359" s="3" t="s">
        <v>1164</v>
      </c>
      <c r="H359" s="43">
        <f t="shared" ref="H359:I359" si="719">LEN(D359)-LEN(B359)+1</f>
        <v>2</v>
      </c>
      <c r="I359" s="43">
        <f t="shared" si="719"/>
        <v>2</v>
      </c>
      <c r="J359" s="4">
        <v>1.0</v>
      </c>
      <c r="K359" s="4">
        <v>1.0</v>
      </c>
      <c r="L359" s="5" t="str">
        <f t="shared" ref="L359:M359" si="720">IFS(J359="-", "-", J359=H359, "Final", J359=1, "Initial", J359&gt;1, "Medial")</f>
        <v>Initial</v>
      </c>
      <c r="M359" s="44" t="str">
        <f t="shared" si="720"/>
        <v>Initial</v>
      </c>
      <c r="N359" s="5" t="str">
        <f t="shared" si="5"/>
        <v>0</v>
      </c>
      <c r="O359" s="5" t="str">
        <f t="shared" si="6"/>
        <v>ˈta</v>
      </c>
      <c r="P359" s="5" t="str">
        <f t="shared" si="7"/>
        <v>0</v>
      </c>
      <c r="Q359" s="5" t="str">
        <f t="shared" si="8"/>
        <v>ˈtaɾ</v>
      </c>
      <c r="R359" s="3"/>
      <c r="S359" s="3" t="s">
        <v>1165</v>
      </c>
      <c r="T359" s="3" t="s">
        <v>1166</v>
      </c>
      <c r="U359" s="3" t="s">
        <v>22</v>
      </c>
      <c r="V359" s="5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>
      <c r="A360" s="3" t="s">
        <v>14</v>
      </c>
      <c r="B360" s="3" t="s">
        <v>1159</v>
      </c>
      <c r="C360" s="3" t="s">
        <v>1160</v>
      </c>
      <c r="D360" s="3" t="s">
        <v>1161</v>
      </c>
      <c r="E360" s="3" t="s">
        <v>1162</v>
      </c>
      <c r="F360" s="3" t="s">
        <v>1075</v>
      </c>
      <c r="G360" s="3" t="s">
        <v>1076</v>
      </c>
      <c r="H360" s="43">
        <f t="shared" ref="H360:I360" si="721">LEN(D360)-LEN(B360)+1</f>
        <v>2</v>
      </c>
      <c r="I360" s="43">
        <f t="shared" si="721"/>
        <v>2</v>
      </c>
      <c r="J360" s="4">
        <v>2.0</v>
      </c>
      <c r="K360" s="4">
        <v>2.0</v>
      </c>
      <c r="L360" s="5" t="str">
        <f t="shared" ref="L360:M360" si="722">IFS(J360="-", "-", J360=H360, "Final", J360=1, "Initial", J360&gt;1, "Medial")</f>
        <v>Final</v>
      </c>
      <c r="M360" s="44" t="str">
        <f t="shared" si="722"/>
        <v>Final</v>
      </c>
      <c r="N360" s="5" t="str">
        <f t="shared" si="5"/>
        <v>fa</v>
      </c>
      <c r="O360" s="5">
        <f t="shared" si="6"/>
        <v>2</v>
      </c>
      <c r="P360" s="5" t="str">
        <f t="shared" si="7"/>
        <v>fal</v>
      </c>
      <c r="Q360" s="5">
        <f t="shared" si="8"/>
        <v>2</v>
      </c>
      <c r="R360" s="3"/>
      <c r="S360" s="3" t="s">
        <v>1165</v>
      </c>
      <c r="T360" s="3" t="s">
        <v>1166</v>
      </c>
      <c r="U360" s="3" t="s">
        <v>22</v>
      </c>
      <c r="V360" s="5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>
      <c r="A361" s="15" t="s">
        <v>14</v>
      </c>
      <c r="B361" s="15" t="s">
        <v>1167</v>
      </c>
      <c r="C361" s="15" t="s">
        <v>1168</v>
      </c>
      <c r="D361" s="15" t="s">
        <v>1169</v>
      </c>
      <c r="E361" s="15" t="s">
        <v>1170</v>
      </c>
      <c r="F361" s="15" t="s">
        <v>575</v>
      </c>
      <c r="G361" s="15" t="s">
        <v>739</v>
      </c>
      <c r="H361" s="43">
        <f t="shared" ref="H361:I361" si="723">LEN(D361)-LEN(B361)+1</f>
        <v>2</v>
      </c>
      <c r="I361" s="43">
        <f t="shared" si="723"/>
        <v>2</v>
      </c>
      <c r="J361" s="18">
        <v>1.0</v>
      </c>
      <c r="K361" s="18">
        <v>1.0</v>
      </c>
      <c r="L361" s="5" t="str">
        <f t="shared" ref="L361:M361" si="724">IFS(J361="-", "-", J361=H361, "Final", J361=1, "Initial", J361&gt;1, "Medial")</f>
        <v>Initial</v>
      </c>
      <c r="M361" s="44" t="str">
        <f t="shared" si="724"/>
        <v>Initial</v>
      </c>
      <c r="N361" s="5" t="str">
        <f t="shared" si="5"/>
        <v>0</v>
      </c>
      <c r="O361" s="5" t="str">
        <f t="shared" si="6"/>
        <v>ˈza</v>
      </c>
      <c r="P361" s="5" t="str">
        <f t="shared" si="7"/>
        <v>0</v>
      </c>
      <c r="Q361" s="5" t="str">
        <f t="shared" si="8"/>
        <v>ˈʒaɾ</v>
      </c>
      <c r="R361" s="15" t="s">
        <v>80</v>
      </c>
      <c r="S361" s="15" t="s">
        <v>1171</v>
      </c>
      <c r="T361" s="15" t="s">
        <v>1172</v>
      </c>
      <c r="U361" s="15" t="s">
        <v>22</v>
      </c>
      <c r="V361" s="20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</row>
    <row r="362">
      <c r="A362" s="15" t="s">
        <v>14</v>
      </c>
      <c r="B362" s="15" t="s">
        <v>1167</v>
      </c>
      <c r="C362" s="15" t="s">
        <v>1168</v>
      </c>
      <c r="D362" s="15" t="s">
        <v>1169</v>
      </c>
      <c r="E362" s="15" t="s">
        <v>1170</v>
      </c>
      <c r="F362" s="15" t="s">
        <v>1060</v>
      </c>
      <c r="G362" s="15" t="s">
        <v>1061</v>
      </c>
      <c r="H362" s="43">
        <f t="shared" ref="H362:I362" si="725">LEN(D362)-LEN(B362)+1</f>
        <v>2</v>
      </c>
      <c r="I362" s="43">
        <f t="shared" si="725"/>
        <v>2</v>
      </c>
      <c r="J362" s="18">
        <v>2.0</v>
      </c>
      <c r="K362" s="18">
        <v>2.0</v>
      </c>
      <c r="L362" s="5" t="str">
        <f t="shared" ref="L362:M362" si="726">IFS(J362="-", "-", J362=H362, "Final", J362=1, "Initial", J362&gt;1, "Medial")</f>
        <v>Final</v>
      </c>
      <c r="M362" s="44" t="str">
        <f t="shared" si="726"/>
        <v>Final</v>
      </c>
      <c r="N362" s="5" t="str">
        <f t="shared" si="5"/>
        <v>mi</v>
      </c>
      <c r="O362" s="5">
        <f t="shared" si="6"/>
        <v>2</v>
      </c>
      <c r="P362" s="5" t="str">
        <f t="shared" si="7"/>
        <v>mɨ</v>
      </c>
      <c r="Q362" s="5">
        <f t="shared" si="8"/>
        <v>2</v>
      </c>
      <c r="R362" s="15"/>
      <c r="S362" s="15" t="s">
        <v>1173</v>
      </c>
      <c r="T362" s="15" t="s">
        <v>1172</v>
      </c>
      <c r="U362" s="15" t="s">
        <v>22</v>
      </c>
      <c r="V362" s="20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</row>
    <row r="363">
      <c r="A363" s="3" t="s">
        <v>14</v>
      </c>
      <c r="B363" s="3" t="s">
        <v>1174</v>
      </c>
      <c r="C363" s="3" t="s">
        <v>1175</v>
      </c>
      <c r="D363" s="3" t="s">
        <v>1176</v>
      </c>
      <c r="E363" s="3" t="s">
        <v>1177</v>
      </c>
      <c r="F363" s="3" t="s">
        <v>88</v>
      </c>
      <c r="G363" s="3" t="s">
        <v>908</v>
      </c>
      <c r="H363" s="43">
        <f t="shared" ref="H363:I363" si="727">LEN(D363)-LEN(B363)+1</f>
        <v>2</v>
      </c>
      <c r="I363" s="43">
        <f t="shared" si="727"/>
        <v>2</v>
      </c>
      <c r="J363" s="4">
        <v>1.0</v>
      </c>
      <c r="K363" s="4">
        <v>1.0</v>
      </c>
      <c r="L363" s="5" t="str">
        <f t="shared" ref="L363:M363" si="728">IFS(J363="-", "-", J363=H363, "Final", J363=1, "Initial", J363&gt;1, "Medial")</f>
        <v>Initial</v>
      </c>
      <c r="M363" s="44" t="str">
        <f t="shared" si="728"/>
        <v>Initial</v>
      </c>
      <c r="N363" s="5" t="str">
        <f t="shared" si="5"/>
        <v>0</v>
      </c>
      <c r="O363" s="5" t="str">
        <f t="shared" si="6"/>
        <v>ˈdɛ</v>
      </c>
      <c r="P363" s="5" t="str">
        <f t="shared" si="7"/>
        <v>0</v>
      </c>
      <c r="Q363" s="5" t="str">
        <f t="shared" si="8"/>
        <v>ˈdeɾ</v>
      </c>
      <c r="R363" s="3"/>
      <c r="S363" s="3" t="s">
        <v>1178</v>
      </c>
      <c r="T363" s="3" t="s">
        <v>1179</v>
      </c>
      <c r="U363" s="3" t="s">
        <v>22</v>
      </c>
      <c r="V363" s="5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>
      <c r="A364" s="3" t="s">
        <v>14</v>
      </c>
      <c r="B364" s="3" t="s">
        <v>1174</v>
      </c>
      <c r="C364" s="3" t="s">
        <v>1175</v>
      </c>
      <c r="D364" s="3" t="s">
        <v>1176</v>
      </c>
      <c r="E364" s="3" t="s">
        <v>1177</v>
      </c>
      <c r="F364" s="3" t="s">
        <v>1180</v>
      </c>
      <c r="G364" s="3" t="s">
        <v>1181</v>
      </c>
      <c r="H364" s="43">
        <f t="shared" ref="H364:I364" si="729">LEN(D364)-LEN(B364)+1</f>
        <v>2</v>
      </c>
      <c r="I364" s="43">
        <f t="shared" si="729"/>
        <v>2</v>
      </c>
      <c r="J364" s="4">
        <v>2.0</v>
      </c>
      <c r="K364" s="4">
        <v>2.0</v>
      </c>
      <c r="L364" s="5" t="str">
        <f t="shared" ref="L364:M364" si="730">IFS(J364="-", "-", J364=H364, "Final", J364=1, "Initial", J364&gt;1, "Medial")</f>
        <v>Final</v>
      </c>
      <c r="M364" s="44" t="str">
        <f t="shared" si="730"/>
        <v>Final</v>
      </c>
      <c r="N364" s="5" t="str">
        <f t="shared" si="5"/>
        <v>fɛ</v>
      </c>
      <c r="O364" s="5">
        <f t="shared" si="6"/>
        <v>2</v>
      </c>
      <c r="P364" s="5" t="str">
        <f t="shared" si="7"/>
        <v>fɨ</v>
      </c>
      <c r="Q364" s="5">
        <f t="shared" si="8"/>
        <v>2</v>
      </c>
      <c r="R364" s="3"/>
      <c r="S364" s="3" t="s">
        <v>1178</v>
      </c>
      <c r="T364" s="3" t="s">
        <v>1179</v>
      </c>
      <c r="U364" s="3" t="s">
        <v>22</v>
      </c>
      <c r="V364" s="5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>
      <c r="A365" s="3" t="s">
        <v>14</v>
      </c>
      <c r="B365" s="3" t="s">
        <v>1182</v>
      </c>
      <c r="C365" s="3" t="s">
        <v>1183</v>
      </c>
      <c r="D365" s="3" t="s">
        <v>1184</v>
      </c>
      <c r="E365" s="3" t="s">
        <v>1185</v>
      </c>
      <c r="F365" s="3" t="s">
        <v>1186</v>
      </c>
      <c r="G365" s="3" t="s">
        <v>1186</v>
      </c>
      <c r="H365" s="43">
        <f t="shared" ref="H365:I365" si="731">LEN(D365)-LEN(B365)+1</f>
        <v>2</v>
      </c>
      <c r="I365" s="43">
        <f t="shared" si="731"/>
        <v>2</v>
      </c>
      <c r="J365" s="4">
        <v>1.0</v>
      </c>
      <c r="K365" s="4">
        <v>1.0</v>
      </c>
      <c r="L365" s="5" t="str">
        <f t="shared" ref="L365:M365" si="732">IFS(J365="-", "-", J365=H365, "Final", J365=1, "Initial", J365&gt;1, "Medial")</f>
        <v>Initial</v>
      </c>
      <c r="M365" s="44" t="str">
        <f t="shared" si="732"/>
        <v>Initial</v>
      </c>
      <c r="N365" s="5" t="str">
        <f t="shared" si="5"/>
        <v>0</v>
      </c>
      <c r="O365" s="5" t="str">
        <f t="shared" si="6"/>
        <v>ˈka</v>
      </c>
      <c r="P365" s="5" t="str">
        <f t="shared" si="7"/>
        <v>0</v>
      </c>
      <c r="Q365" s="5" t="str">
        <f t="shared" si="8"/>
        <v>ˈkaɾ</v>
      </c>
      <c r="R365" s="3"/>
      <c r="S365" s="3" t="s">
        <v>1187</v>
      </c>
      <c r="T365" s="3" t="s">
        <v>1188</v>
      </c>
      <c r="U365" s="3" t="s">
        <v>22</v>
      </c>
      <c r="V365" s="5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>
      <c r="A366" s="3" t="s">
        <v>14</v>
      </c>
      <c r="B366" s="3" t="s">
        <v>1182</v>
      </c>
      <c r="C366" s="3" t="s">
        <v>1183</v>
      </c>
      <c r="D366" s="3" t="s">
        <v>1184</v>
      </c>
      <c r="E366" s="3" t="s">
        <v>1185</v>
      </c>
      <c r="F366" s="3" t="s">
        <v>131</v>
      </c>
      <c r="G366" s="3" t="s">
        <v>132</v>
      </c>
      <c r="H366" s="43">
        <f t="shared" ref="H366:I366" si="733">LEN(D366)-LEN(B366)+1</f>
        <v>2</v>
      </c>
      <c r="I366" s="43">
        <f t="shared" si="733"/>
        <v>2</v>
      </c>
      <c r="J366" s="4">
        <v>2.0</v>
      </c>
      <c r="K366" s="4">
        <v>2.0</v>
      </c>
      <c r="L366" s="5" t="str">
        <f t="shared" ref="L366:M366" si="734">IFS(J366="-", "-", J366=H366, "Final", J366=1, "Initial", J366&gt;1, "Medial")</f>
        <v>Final</v>
      </c>
      <c r="M366" s="44" t="str">
        <f t="shared" si="734"/>
        <v>Final</v>
      </c>
      <c r="N366" s="5" t="str">
        <f t="shared" si="5"/>
        <v>fi</v>
      </c>
      <c r="O366" s="5">
        <f t="shared" si="6"/>
        <v>2</v>
      </c>
      <c r="P366" s="5" t="str">
        <f t="shared" si="7"/>
        <v>fi</v>
      </c>
      <c r="Q366" s="5">
        <f t="shared" si="8"/>
        <v>2</v>
      </c>
      <c r="R366" s="3"/>
      <c r="S366" s="3" t="s">
        <v>1187</v>
      </c>
      <c r="T366" s="3" t="s">
        <v>1188</v>
      </c>
      <c r="U366" s="3" t="s">
        <v>22</v>
      </c>
      <c r="V366" s="5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>
      <c r="A367" s="15" t="s">
        <v>14</v>
      </c>
      <c r="B367" s="15" t="s">
        <v>1189</v>
      </c>
      <c r="C367" s="15" t="s">
        <v>1190</v>
      </c>
      <c r="D367" s="15" t="s">
        <v>1191</v>
      </c>
      <c r="E367" s="15" t="s">
        <v>1192</v>
      </c>
      <c r="F367" s="15" t="s">
        <v>36</v>
      </c>
      <c r="G367" s="15" t="s">
        <v>301</v>
      </c>
      <c r="H367" s="43">
        <f t="shared" ref="H367:I367" si="735">LEN(D367)-LEN(B367)+1</f>
        <v>2</v>
      </c>
      <c r="I367" s="43">
        <f t="shared" si="735"/>
        <v>3</v>
      </c>
      <c r="J367" s="18" t="s">
        <v>36</v>
      </c>
      <c r="K367" s="18">
        <v>1.0</v>
      </c>
      <c r="L367" s="5" t="str">
        <f t="shared" ref="L367:M367" si="736">IFS(J367="-", "-", J367=H367, "Final", J367=1, "Initial", J367&gt;1, "Medial")</f>
        <v>-</v>
      </c>
      <c r="M367" s="44" t="str">
        <f t="shared" si="736"/>
        <v>Initial</v>
      </c>
      <c r="N367" s="5" t="str">
        <f t="shared" si="5"/>
        <v>0</v>
      </c>
      <c r="O367" s="5" t="str">
        <f t="shared" si="6"/>
        <v>fɛ</v>
      </c>
      <c r="P367" s="5" t="str">
        <f t="shared" si="7"/>
        <v>0</v>
      </c>
      <c r="Q367" s="5" t="str">
        <f t="shared" si="8"/>
        <v>fɾɨ</v>
      </c>
      <c r="R367" s="15" t="s">
        <v>80</v>
      </c>
      <c r="S367" s="15" t="s">
        <v>1193</v>
      </c>
      <c r="T367" s="15" t="s">
        <v>1194</v>
      </c>
      <c r="U367" s="15" t="s">
        <v>22</v>
      </c>
      <c r="V367" s="20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</row>
    <row r="368">
      <c r="A368" s="15" t="s">
        <v>14</v>
      </c>
      <c r="B368" s="15" t="s">
        <v>1189</v>
      </c>
      <c r="C368" s="15" t="s">
        <v>1190</v>
      </c>
      <c r="D368" s="15" t="s">
        <v>1191</v>
      </c>
      <c r="E368" s="15" t="s">
        <v>1192</v>
      </c>
      <c r="F368" s="15" t="s">
        <v>88</v>
      </c>
      <c r="G368" s="15" t="s">
        <v>1195</v>
      </c>
      <c r="H368" s="43">
        <f t="shared" ref="H368:I368" si="737">LEN(D368)-LEN(B368)+1</f>
        <v>2</v>
      </c>
      <c r="I368" s="43">
        <f t="shared" si="737"/>
        <v>3</v>
      </c>
      <c r="J368" s="18">
        <v>1.0</v>
      </c>
      <c r="K368" s="18">
        <v>2.0</v>
      </c>
      <c r="L368" s="5" t="str">
        <f t="shared" ref="L368:M368" si="738">IFS(J368="-", "-", J368=H368, "Final", J368=1, "Initial", J368&gt;1, "Medial")</f>
        <v>Initial</v>
      </c>
      <c r="M368" s="44" t="str">
        <f t="shared" si="738"/>
        <v>Medial</v>
      </c>
      <c r="N368" s="5" t="str">
        <f t="shared" si="5"/>
        <v>-</v>
      </c>
      <c r="O368" s="5" t="str">
        <f t="shared" si="6"/>
        <v>ˈga</v>
      </c>
      <c r="P368" s="5" t="str">
        <f t="shared" si="7"/>
        <v>ʃ</v>
      </c>
      <c r="Q368" s="5" t="str">
        <f t="shared" si="8"/>
        <v>ˈgaɾ</v>
      </c>
      <c r="R368" s="15"/>
      <c r="S368" s="15" t="s">
        <v>1193</v>
      </c>
      <c r="T368" s="15" t="s">
        <v>1194</v>
      </c>
      <c r="U368" s="15" t="s">
        <v>22</v>
      </c>
      <c r="V368" s="20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</row>
    <row r="369">
      <c r="A369" s="15" t="s">
        <v>14</v>
      </c>
      <c r="B369" s="15" t="s">
        <v>1189</v>
      </c>
      <c r="C369" s="15" t="s">
        <v>1190</v>
      </c>
      <c r="D369" s="15" t="s">
        <v>1191</v>
      </c>
      <c r="E369" s="15" t="s">
        <v>1192</v>
      </c>
      <c r="F369" s="15" t="s">
        <v>629</v>
      </c>
      <c r="G369" s="15" t="s">
        <v>630</v>
      </c>
      <c r="H369" s="43">
        <f t="shared" ref="H369:I369" si="739">LEN(D369)-LEN(B369)+1</f>
        <v>2</v>
      </c>
      <c r="I369" s="43">
        <f t="shared" si="739"/>
        <v>3</v>
      </c>
      <c r="J369" s="18">
        <v>2.0</v>
      </c>
      <c r="K369" s="18">
        <v>3.0</v>
      </c>
      <c r="L369" s="5" t="str">
        <f t="shared" ref="L369:M369" si="740">IFS(J369="-", "-", J369=H369, "Final", J369=1, "Initial", J369&gt;1, "Medial")</f>
        <v>Final</v>
      </c>
      <c r="M369" s="44" t="str">
        <f t="shared" si="740"/>
        <v>Final</v>
      </c>
      <c r="N369" s="5" t="str">
        <f t="shared" si="5"/>
        <v>fɛ</v>
      </c>
      <c r="O369" s="5">
        <f t="shared" si="6"/>
        <v>2</v>
      </c>
      <c r="P369" s="5" t="str">
        <f t="shared" si="7"/>
        <v>fɾɨ</v>
      </c>
      <c r="Q369" s="5">
        <f t="shared" si="8"/>
        <v>3</v>
      </c>
      <c r="R369" s="15"/>
      <c r="S369" s="15" t="s">
        <v>1193</v>
      </c>
      <c r="T369" s="15" t="s">
        <v>1194</v>
      </c>
      <c r="U369" s="15" t="s">
        <v>22</v>
      </c>
      <c r="V369" s="20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</row>
    <row r="370">
      <c r="A370" s="3" t="s">
        <v>14</v>
      </c>
      <c r="B370" s="3" t="s">
        <v>1196</v>
      </c>
      <c r="C370" s="3" t="s">
        <v>1197</v>
      </c>
      <c r="D370" s="3" t="s">
        <v>1198</v>
      </c>
      <c r="E370" s="3" t="s">
        <v>1199</v>
      </c>
      <c r="F370" s="3" t="s">
        <v>1200</v>
      </c>
      <c r="G370" s="3" t="s">
        <v>1201</v>
      </c>
      <c r="H370" s="43">
        <f t="shared" ref="H370:I370" si="741">LEN(D370)-LEN(B370)+1</f>
        <v>2</v>
      </c>
      <c r="I370" s="43">
        <f t="shared" si="741"/>
        <v>2</v>
      </c>
      <c r="J370" s="4">
        <v>1.0</v>
      </c>
      <c r="K370" s="4">
        <v>1.0</v>
      </c>
      <c r="L370" s="5" t="str">
        <f t="shared" ref="L370:M370" si="742">IFS(J370="-", "-", J370=H370, "Final", J370=1, "Initial", J370&gt;1, "Medial")</f>
        <v>Initial</v>
      </c>
      <c r="M370" s="44" t="str">
        <f t="shared" si="742"/>
        <v>Initial</v>
      </c>
      <c r="N370" s="5" t="str">
        <f t="shared" si="5"/>
        <v>0</v>
      </c>
      <c r="O370" s="5" t="str">
        <f t="shared" si="6"/>
        <v>ˈga</v>
      </c>
      <c r="P370" s="5" t="str">
        <f t="shared" si="7"/>
        <v>0</v>
      </c>
      <c r="Q370" s="5" t="str">
        <f t="shared" si="8"/>
        <v>ˈgaɾ</v>
      </c>
      <c r="R370" s="3"/>
      <c r="S370" s="3" t="s">
        <v>1202</v>
      </c>
      <c r="T370" s="3" t="s">
        <v>1203</v>
      </c>
      <c r="U370" s="3" t="s">
        <v>22</v>
      </c>
      <c r="V370" s="5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>
      <c r="A371" s="3" t="s">
        <v>14</v>
      </c>
      <c r="B371" s="3" t="s">
        <v>1196</v>
      </c>
      <c r="C371" s="3" t="s">
        <v>1197</v>
      </c>
      <c r="D371" s="3" t="s">
        <v>1198</v>
      </c>
      <c r="E371" s="3" t="s">
        <v>1199</v>
      </c>
      <c r="F371" s="3" t="s">
        <v>629</v>
      </c>
      <c r="G371" s="3" t="s">
        <v>630</v>
      </c>
      <c r="H371" s="43">
        <f t="shared" ref="H371:I371" si="743">LEN(D371)-LEN(B371)+1</f>
        <v>2</v>
      </c>
      <c r="I371" s="43">
        <f t="shared" si="743"/>
        <v>2</v>
      </c>
      <c r="J371" s="4">
        <v>2.0</v>
      </c>
      <c r="K371" s="4">
        <v>2.0</v>
      </c>
      <c r="L371" s="5" t="str">
        <f t="shared" ref="L371:M371" si="744">IFS(J371="-", "-", J371=H371, "Final", J371=1, "Initial", J371&gt;1, "Medial")</f>
        <v>Final</v>
      </c>
      <c r="M371" s="44" t="str">
        <f t="shared" si="744"/>
        <v>Final</v>
      </c>
      <c r="N371" s="5" t="str">
        <f t="shared" si="5"/>
        <v>fɔ</v>
      </c>
      <c r="O371" s="5">
        <f t="shared" si="6"/>
        <v>2</v>
      </c>
      <c r="P371" s="5" t="str">
        <f t="shared" si="7"/>
        <v>fɔl</v>
      </c>
      <c r="Q371" s="5">
        <f t="shared" si="8"/>
        <v>2</v>
      </c>
      <c r="R371" s="3"/>
      <c r="S371" s="3" t="s">
        <v>1202</v>
      </c>
      <c r="T371" s="3" t="s">
        <v>1203</v>
      </c>
      <c r="U371" s="3" t="s">
        <v>22</v>
      </c>
      <c r="V371" s="5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>
      <c r="A372" s="15" t="s">
        <v>14</v>
      </c>
      <c r="B372" s="15" t="s">
        <v>1204</v>
      </c>
      <c r="C372" s="15" t="s">
        <v>1205</v>
      </c>
      <c r="D372" s="15" t="s">
        <v>1206</v>
      </c>
      <c r="E372" s="15" t="s">
        <v>1207</v>
      </c>
      <c r="F372" s="15" t="s">
        <v>36</v>
      </c>
      <c r="G372" s="15" t="s">
        <v>334</v>
      </c>
      <c r="H372" s="43">
        <f t="shared" ref="H372:I372" si="745">LEN(D372)-LEN(B372)+1</f>
        <v>2</v>
      </c>
      <c r="I372" s="43">
        <f t="shared" si="745"/>
        <v>3</v>
      </c>
      <c r="J372" s="18" t="s">
        <v>36</v>
      </c>
      <c r="K372" s="18">
        <v>1.0</v>
      </c>
      <c r="L372" s="5" t="str">
        <f t="shared" ref="L372:M372" si="746">IFS(J372="-", "-", J372=H372, "Final", J372=1, "Initial", J372&gt;1, "Medial")</f>
        <v>-</v>
      </c>
      <c r="M372" s="44" t="str">
        <f t="shared" si="746"/>
        <v>Initial</v>
      </c>
      <c r="N372" s="5" t="str">
        <f t="shared" si="5"/>
        <v>0</v>
      </c>
      <c r="O372" s="5" t="str">
        <f t="shared" si="6"/>
        <v>fu</v>
      </c>
      <c r="P372" s="5" t="str">
        <f t="shared" si="7"/>
        <v>0</v>
      </c>
      <c r="Q372" s="5" t="str">
        <f t="shared" si="8"/>
        <v>fu</v>
      </c>
      <c r="R372" s="15"/>
      <c r="S372" s="15" t="s">
        <v>1208</v>
      </c>
      <c r="T372" s="15" t="s">
        <v>1209</v>
      </c>
      <c r="U372" s="15" t="s">
        <v>22</v>
      </c>
      <c r="V372" s="20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</row>
    <row r="373">
      <c r="A373" s="15" t="s">
        <v>14</v>
      </c>
      <c r="B373" s="15" t="s">
        <v>1204</v>
      </c>
      <c r="C373" s="15" t="s">
        <v>1205</v>
      </c>
      <c r="D373" s="15" t="s">
        <v>1206</v>
      </c>
      <c r="E373" s="15" t="s">
        <v>1207</v>
      </c>
      <c r="F373" s="15" t="s">
        <v>1210</v>
      </c>
      <c r="G373" s="15" t="s">
        <v>1210</v>
      </c>
      <c r="H373" s="43">
        <f t="shared" ref="H373:I373" si="747">LEN(D373)-LEN(B373)+1</f>
        <v>2</v>
      </c>
      <c r="I373" s="43">
        <f t="shared" si="747"/>
        <v>3</v>
      </c>
      <c r="J373" s="18">
        <v>1.0</v>
      </c>
      <c r="K373" s="18">
        <v>2.0</v>
      </c>
      <c r="L373" s="5" t="str">
        <f t="shared" ref="L373:M373" si="748">IFS(J373="-", "-", J373=H373, "Final", J373=1, "Initial", J373&gt;1, "Medial")</f>
        <v>Initial</v>
      </c>
      <c r="M373" s="44" t="str">
        <f t="shared" si="748"/>
        <v>Medial</v>
      </c>
      <c r="N373" s="5" t="str">
        <f t="shared" si="5"/>
        <v>-</v>
      </c>
      <c r="O373" s="5" t="str">
        <f t="shared" si="6"/>
        <v>ˈma</v>
      </c>
      <c r="P373" s="5" t="str">
        <f t="shared" si="7"/>
        <v>dɨ</v>
      </c>
      <c r="Q373" s="5" t="str">
        <f t="shared" si="8"/>
        <v>ˈmaɾ</v>
      </c>
      <c r="R373" s="15"/>
      <c r="S373" s="15" t="s">
        <v>1208</v>
      </c>
      <c r="T373" s="15" t="s">
        <v>1209</v>
      </c>
      <c r="U373" s="15" t="s">
        <v>22</v>
      </c>
      <c r="V373" s="20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</row>
    <row r="374">
      <c r="A374" s="15" t="s">
        <v>14</v>
      </c>
      <c r="B374" s="15" t="s">
        <v>1204</v>
      </c>
      <c r="C374" s="15" t="s">
        <v>1205</v>
      </c>
      <c r="D374" s="15" t="s">
        <v>1206</v>
      </c>
      <c r="E374" s="15" t="s">
        <v>1207</v>
      </c>
      <c r="F374" s="15" t="s">
        <v>451</v>
      </c>
      <c r="G374" s="15" t="s">
        <v>1211</v>
      </c>
      <c r="H374" s="43">
        <f t="shared" ref="H374:I374" si="749">LEN(D374)-LEN(B374)+1</f>
        <v>2</v>
      </c>
      <c r="I374" s="43">
        <f t="shared" si="749"/>
        <v>3</v>
      </c>
      <c r="J374" s="18">
        <v>2.0</v>
      </c>
      <c r="K374" s="18">
        <v>3.0</v>
      </c>
      <c r="L374" s="5" t="str">
        <f t="shared" ref="L374:M374" si="750">IFS(J374="-", "-", J374=H374, "Final", J374=1, "Initial", J374&gt;1, "Medial")</f>
        <v>Final</v>
      </c>
      <c r="M374" s="44" t="str">
        <f t="shared" si="750"/>
        <v>Final</v>
      </c>
      <c r="N374" s="5" t="str">
        <f t="shared" si="5"/>
        <v>fu</v>
      </c>
      <c r="O374" s="5">
        <f t="shared" si="6"/>
        <v>2</v>
      </c>
      <c r="P374" s="5" t="str">
        <f t="shared" si="7"/>
        <v>fu</v>
      </c>
      <c r="Q374" s="5">
        <f t="shared" si="8"/>
        <v>3</v>
      </c>
      <c r="R374" s="15"/>
      <c r="S374" s="15" t="s">
        <v>1208</v>
      </c>
      <c r="T374" s="15" t="s">
        <v>1209</v>
      </c>
      <c r="U374" s="15" t="s">
        <v>22</v>
      </c>
      <c r="V374" s="20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</row>
    <row r="375" ht="18.0" customHeight="1">
      <c r="A375" s="15" t="s">
        <v>14</v>
      </c>
      <c r="B375" s="15" t="s">
        <v>1212</v>
      </c>
      <c r="C375" s="15" t="s">
        <v>1213</v>
      </c>
      <c r="D375" s="15" t="s">
        <v>1214</v>
      </c>
      <c r="E375" s="15" t="s">
        <v>1215</v>
      </c>
      <c r="F375" s="15" t="s">
        <v>1216</v>
      </c>
      <c r="G375" s="15" t="s">
        <v>1217</v>
      </c>
      <c r="H375" s="43">
        <f t="shared" ref="H375:I375" si="751">LEN(D375)-LEN(B375)+1</f>
        <v>2</v>
      </c>
      <c r="I375" s="43">
        <f t="shared" si="751"/>
        <v>2</v>
      </c>
      <c r="J375" s="18">
        <v>1.0</v>
      </c>
      <c r="K375" s="18">
        <v>1.0</v>
      </c>
      <c r="L375" s="5" t="str">
        <f t="shared" ref="L375:M375" si="752">IFS(J375="-", "-", J375=H375, "Final", J375=1, "Initial", J375&gt;1, "Medial")</f>
        <v>Initial</v>
      </c>
      <c r="M375" s="44" t="str">
        <f t="shared" si="752"/>
        <v>Initial</v>
      </c>
      <c r="N375" s="5" t="str">
        <f t="shared" si="5"/>
        <v>0</v>
      </c>
      <c r="O375" s="5" t="str">
        <f t="shared" si="6"/>
        <v>ˈta</v>
      </c>
      <c r="P375" s="5" t="str">
        <f t="shared" si="7"/>
        <v>0</v>
      </c>
      <c r="Q375" s="5" t="str">
        <f t="shared" si="8"/>
        <v>ˈtaɾ</v>
      </c>
      <c r="R375" s="15"/>
      <c r="S375" s="15" t="s">
        <v>1218</v>
      </c>
      <c r="T375" s="15" t="s">
        <v>1219</v>
      </c>
      <c r="U375" s="15" t="s">
        <v>22</v>
      </c>
      <c r="V375" s="20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</row>
    <row r="376">
      <c r="A376" s="15" t="s">
        <v>14</v>
      </c>
      <c r="B376" s="15" t="s">
        <v>1212</v>
      </c>
      <c r="C376" s="15" t="s">
        <v>1213</v>
      </c>
      <c r="D376" s="15" t="s">
        <v>1214</v>
      </c>
      <c r="E376" s="15" t="s">
        <v>1215</v>
      </c>
      <c r="F376" s="15" t="s">
        <v>1075</v>
      </c>
      <c r="G376" s="15" t="s">
        <v>1076</v>
      </c>
      <c r="H376" s="43">
        <f t="shared" ref="H376:I376" si="753">LEN(D376)-LEN(B376)+1</f>
        <v>2</v>
      </c>
      <c r="I376" s="43">
        <f t="shared" si="753"/>
        <v>2</v>
      </c>
      <c r="J376" s="18">
        <v>2.0</v>
      </c>
      <c r="K376" s="18">
        <v>2.0</v>
      </c>
      <c r="L376" s="5" t="str">
        <f t="shared" ref="L376:M376" si="754">IFS(J376="-", "-", J376=H376, "Final", J376=1, "Initial", J376&gt;1, "Medial")</f>
        <v>Final</v>
      </c>
      <c r="M376" s="44" t="str">
        <f t="shared" si="754"/>
        <v>Final</v>
      </c>
      <c r="N376" s="5" t="str">
        <f t="shared" si="5"/>
        <v>fu:</v>
      </c>
      <c r="O376" s="5">
        <f t="shared" si="6"/>
        <v>2</v>
      </c>
      <c r="P376" s="5" t="str">
        <f t="shared" si="7"/>
        <v>fuɾ</v>
      </c>
      <c r="Q376" s="5">
        <f t="shared" si="8"/>
        <v>2</v>
      </c>
      <c r="R376" s="15"/>
      <c r="S376" s="15" t="s">
        <v>1218</v>
      </c>
      <c r="T376" s="15" t="s">
        <v>1219</v>
      </c>
      <c r="U376" s="15" t="s">
        <v>22</v>
      </c>
      <c r="V376" s="20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</row>
    <row r="377">
      <c r="A377" s="3" t="s">
        <v>14</v>
      </c>
      <c r="B377" s="3" t="s">
        <v>1220</v>
      </c>
      <c r="C377" s="3" t="s">
        <v>1221</v>
      </c>
      <c r="D377" s="3" t="s">
        <v>1222</v>
      </c>
      <c r="E377" s="3" t="s">
        <v>1223</v>
      </c>
      <c r="F377" s="3" t="s">
        <v>352</v>
      </c>
      <c r="G377" s="3" t="s">
        <v>1224</v>
      </c>
      <c r="H377" s="43">
        <f t="shared" ref="H377:I377" si="755">LEN(D377)-LEN(B377)+1</f>
        <v>2</v>
      </c>
      <c r="I377" s="43">
        <f t="shared" si="755"/>
        <v>2</v>
      </c>
      <c r="J377" s="4">
        <v>1.0</v>
      </c>
      <c r="K377" s="4">
        <v>1.0</v>
      </c>
      <c r="L377" s="5" t="str">
        <f t="shared" ref="L377:M377" si="756">IFS(J377="-", "-", J377=H377, "Final", J377=1, "Initial", J377&gt;1, "Medial")</f>
        <v>Initial</v>
      </c>
      <c r="M377" s="44" t="str">
        <f t="shared" si="756"/>
        <v>Initial</v>
      </c>
      <c r="N377" s="5" t="str">
        <f t="shared" si="5"/>
        <v>0</v>
      </c>
      <c r="O377" s="5" t="str">
        <f t="shared" si="6"/>
        <v>ˈgɔ</v>
      </c>
      <c r="P377" s="5" t="str">
        <f t="shared" si="7"/>
        <v>0</v>
      </c>
      <c r="Q377" s="5" t="str">
        <f t="shared" si="8"/>
        <v>ˈtaɾ</v>
      </c>
      <c r="R377" s="3"/>
      <c r="S377" s="3" t="s">
        <v>1225</v>
      </c>
      <c r="T377" s="3" t="s">
        <v>1226</v>
      </c>
      <c r="U377" s="3" t="s">
        <v>22</v>
      </c>
      <c r="V377" s="3" t="s">
        <v>418</v>
      </c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>
      <c r="A378" s="3" t="s">
        <v>14</v>
      </c>
      <c r="B378" s="3" t="s">
        <v>1220</v>
      </c>
      <c r="C378" s="3" t="s">
        <v>1221</v>
      </c>
      <c r="D378" s="3" t="s">
        <v>1222</v>
      </c>
      <c r="E378" s="3" t="s">
        <v>1223</v>
      </c>
      <c r="F378" s="3" t="s">
        <v>915</v>
      </c>
      <c r="G378" s="3" t="s">
        <v>1076</v>
      </c>
      <c r="H378" s="43">
        <f t="shared" ref="H378:I378" si="757">LEN(D378)-LEN(B378)+1</f>
        <v>2</v>
      </c>
      <c r="I378" s="43">
        <f t="shared" si="757"/>
        <v>2</v>
      </c>
      <c r="J378" s="4">
        <v>2.0</v>
      </c>
      <c r="K378" s="4">
        <v>2.0</v>
      </c>
      <c r="L378" s="5" t="str">
        <f t="shared" ref="L378:M378" si="758">IFS(J378="-", "-", J378=H378, "Final", J378=1, "Initial", J378&gt;1, "Medial")</f>
        <v>Final</v>
      </c>
      <c r="M378" s="44" t="str">
        <f t="shared" si="758"/>
        <v>Final</v>
      </c>
      <c r="N378" s="5" t="str">
        <f t="shared" si="5"/>
        <v>gɔ</v>
      </c>
      <c r="O378" s="5">
        <f t="shared" si="6"/>
        <v>2</v>
      </c>
      <c r="P378" s="5" t="str">
        <f t="shared" si="7"/>
        <v>guʃ</v>
      </c>
      <c r="Q378" s="5">
        <f t="shared" si="8"/>
        <v>2</v>
      </c>
      <c r="R378" s="3"/>
      <c r="S378" s="3" t="s">
        <v>1225</v>
      </c>
      <c r="T378" s="3" t="s">
        <v>1226</v>
      </c>
      <c r="U378" s="3" t="s">
        <v>22</v>
      </c>
      <c r="V378" s="3" t="s">
        <v>418</v>
      </c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>
      <c r="A379" s="3" t="s">
        <v>14</v>
      </c>
      <c r="B379" s="3" t="s">
        <v>1227</v>
      </c>
      <c r="C379" s="3" t="s">
        <v>1228</v>
      </c>
      <c r="D379" s="3" t="s">
        <v>1229</v>
      </c>
      <c r="E379" s="3" t="s">
        <v>1230</v>
      </c>
      <c r="F379" s="3" t="s">
        <v>1231</v>
      </c>
      <c r="G379" s="3" t="s">
        <v>301</v>
      </c>
      <c r="H379" s="43">
        <f t="shared" ref="H379:I379" si="759">LEN(D379)-LEN(B379)+1</f>
        <v>2</v>
      </c>
      <c r="I379" s="43">
        <f t="shared" si="759"/>
        <v>3</v>
      </c>
      <c r="J379" s="4">
        <v>1.0</v>
      </c>
      <c r="K379" s="4">
        <v>1.0</v>
      </c>
      <c r="L379" s="5" t="str">
        <f t="shared" ref="L379:M379" si="760">IFS(J379="-", "-", J379=H379, "Final", J379=1, "Initial", J379&gt;1, "Medial")</f>
        <v>Initial</v>
      </c>
      <c r="M379" s="44" t="str">
        <f t="shared" si="760"/>
        <v>Initial</v>
      </c>
      <c r="N379" s="5" t="str">
        <f t="shared" si="5"/>
        <v>0</v>
      </c>
      <c r="O379" s="5" t="str">
        <f t="shared" si="6"/>
        <v>-</v>
      </c>
      <c r="P379" s="5" t="str">
        <f t="shared" si="7"/>
        <v>0</v>
      </c>
      <c r="Q379" s="5" t="str">
        <f t="shared" si="8"/>
        <v>pɨ</v>
      </c>
      <c r="R379" s="3" t="s">
        <v>80</v>
      </c>
      <c r="S379" s="3" t="s">
        <v>1232</v>
      </c>
      <c r="T379" s="3" t="s">
        <v>1233</v>
      </c>
      <c r="U379" s="3" t="s">
        <v>22</v>
      </c>
      <c r="V379" s="5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>
      <c r="A380" s="3" t="s">
        <v>14</v>
      </c>
      <c r="B380" s="3" t="s">
        <v>1227</v>
      </c>
      <c r="C380" s="3" t="s">
        <v>1228</v>
      </c>
      <c r="D380" s="3" t="s">
        <v>1229</v>
      </c>
      <c r="E380" s="3" t="s">
        <v>1230</v>
      </c>
      <c r="F380" s="3" t="s">
        <v>36</v>
      </c>
      <c r="G380" s="3" t="s">
        <v>1234</v>
      </c>
      <c r="H380" s="43">
        <f t="shared" ref="H380:I380" si="761">LEN(D380)-LEN(B380)+1</f>
        <v>2</v>
      </c>
      <c r="I380" s="43">
        <f t="shared" si="761"/>
        <v>3</v>
      </c>
      <c r="J380" s="4" t="s">
        <v>36</v>
      </c>
      <c r="K380" s="4">
        <v>2.0</v>
      </c>
      <c r="L380" s="5" t="str">
        <f t="shared" ref="L380:M380" si="762">IFS(J380="-", "-", J380=H380, "Final", J380=1, "Initial", J380&gt;1, "Medial")</f>
        <v>-</v>
      </c>
      <c r="M380" s="44" t="str">
        <f t="shared" si="762"/>
        <v>Medial</v>
      </c>
      <c r="N380" s="5" t="str">
        <f t="shared" si="5"/>
        <v>wa</v>
      </c>
      <c r="O380" s="5" t="str">
        <f t="shared" si="6"/>
        <v>ˈda</v>
      </c>
      <c r="P380" s="5" t="str">
        <f t="shared" si="7"/>
        <v>ʃ</v>
      </c>
      <c r="Q380" s="5" t="str">
        <f t="shared" si="8"/>
        <v>ˈɾaɾ</v>
      </c>
      <c r="R380" s="3"/>
      <c r="S380" s="3" t="s">
        <v>1232</v>
      </c>
      <c r="T380" s="3" t="s">
        <v>1233</v>
      </c>
      <c r="U380" s="3" t="s">
        <v>22</v>
      </c>
      <c r="V380" s="5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>
      <c r="A381" s="3" t="s">
        <v>14</v>
      </c>
      <c r="B381" s="3" t="s">
        <v>1227</v>
      </c>
      <c r="C381" s="3" t="s">
        <v>1228</v>
      </c>
      <c r="D381" s="3" t="s">
        <v>1229</v>
      </c>
      <c r="E381" s="3" t="s">
        <v>1230</v>
      </c>
      <c r="F381" s="3" t="s">
        <v>1118</v>
      </c>
      <c r="G381" s="3" t="s">
        <v>1235</v>
      </c>
      <c r="H381" s="43">
        <f t="shared" ref="H381:I381" si="763">LEN(D381)-LEN(B381)+1</f>
        <v>2</v>
      </c>
      <c r="I381" s="43">
        <f t="shared" si="763"/>
        <v>3</v>
      </c>
      <c r="J381" s="4">
        <v>2.0</v>
      </c>
      <c r="K381" s="4">
        <v>3.0</v>
      </c>
      <c r="L381" s="5" t="str">
        <f t="shared" ref="L381:M381" si="764">IFS(J381="-", "-", J381=H381, "Final", J381=1, "Initial", J381&gt;1, "Medial")</f>
        <v>Final</v>
      </c>
      <c r="M381" s="44" t="str">
        <f t="shared" si="764"/>
        <v>Final</v>
      </c>
      <c r="N381" s="5" t="str">
        <f t="shared" si="5"/>
        <v>-</v>
      </c>
      <c r="O381" s="5">
        <f t="shared" si="6"/>
        <v>2</v>
      </c>
      <c r="P381" s="5" t="str">
        <f t="shared" si="7"/>
        <v>pɨ</v>
      </c>
      <c r="Q381" s="5">
        <f t="shared" si="8"/>
        <v>3</v>
      </c>
      <c r="R381" s="3"/>
      <c r="S381" s="3" t="s">
        <v>1232</v>
      </c>
      <c r="T381" s="3" t="s">
        <v>1233</v>
      </c>
      <c r="U381" s="3" t="s">
        <v>22</v>
      </c>
      <c r="V381" s="5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>
      <c r="A382" s="15" t="s">
        <v>14</v>
      </c>
      <c r="B382" s="15" t="s">
        <v>1236</v>
      </c>
      <c r="C382" s="15" t="s">
        <v>1237</v>
      </c>
      <c r="D382" s="15" t="s">
        <v>1238</v>
      </c>
      <c r="E382" s="15" t="s">
        <v>1239</v>
      </c>
      <c r="F382" s="15"/>
      <c r="G382" s="15"/>
      <c r="H382" s="43">
        <f t="shared" ref="H382:I382" si="765">LEN(D382)-LEN(B382)+1</f>
        <v>2</v>
      </c>
      <c r="I382" s="43">
        <f t="shared" si="765"/>
        <v>3</v>
      </c>
      <c r="J382" s="18"/>
      <c r="K382" s="18"/>
      <c r="L382" s="5" t="str">
        <f t="shared" ref="L382:M382" si="766">IFS(J382="-", "-", J382=H382, "Final", J382=1, "Initial", J382&gt;1, "Medial")</f>
        <v>#N/A</v>
      </c>
      <c r="M382" s="44" t="str">
        <f t="shared" si="766"/>
        <v>#N/A</v>
      </c>
      <c r="N382" s="5" t="str">
        <f t="shared" si="5"/>
        <v>0</v>
      </c>
      <c r="O382" s="5" t="str">
        <f t="shared" si="6"/>
        <v/>
      </c>
      <c r="P382" s="5" t="str">
        <f t="shared" si="7"/>
        <v>0</v>
      </c>
      <c r="Q382" s="5" t="str">
        <f t="shared" si="8"/>
        <v/>
      </c>
      <c r="R382" s="15"/>
      <c r="S382" s="15" t="s">
        <v>1240</v>
      </c>
      <c r="T382" s="15" t="s">
        <v>1241</v>
      </c>
      <c r="U382" s="15" t="s">
        <v>22</v>
      </c>
      <c r="V382" s="15" t="s">
        <v>560</v>
      </c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</row>
    <row r="383">
      <c r="A383" s="15" t="s">
        <v>14</v>
      </c>
      <c r="B383" s="15" t="s">
        <v>1242</v>
      </c>
      <c r="C383" s="15" t="s">
        <v>1243</v>
      </c>
      <c r="D383" s="15" t="s">
        <v>1244</v>
      </c>
      <c r="E383" s="15" t="s">
        <v>1245</v>
      </c>
      <c r="F383" s="15" t="s">
        <v>36</v>
      </c>
      <c r="G383" s="15" t="s">
        <v>49</v>
      </c>
      <c r="H383" s="43">
        <f t="shared" ref="H383:I383" si="767">LEN(D383)-LEN(B383)+1</f>
        <v>2</v>
      </c>
      <c r="I383" s="43">
        <f t="shared" si="767"/>
        <v>3</v>
      </c>
      <c r="J383" s="18" t="s">
        <v>36</v>
      </c>
      <c r="K383" s="18">
        <v>1.0</v>
      </c>
      <c r="L383" s="5" t="str">
        <f t="shared" ref="L383:M383" si="768">IFS(J383="-", "-", J383=H383, "Final", J383=1, "Initial", J383&gt;1, "Medial")</f>
        <v>-</v>
      </c>
      <c r="M383" s="44" t="str">
        <f t="shared" si="768"/>
        <v>Initial</v>
      </c>
      <c r="N383" s="5" t="str">
        <f t="shared" si="5"/>
        <v>0</v>
      </c>
      <c r="O383" s="5" t="str">
        <f t="shared" si="6"/>
        <v>ka</v>
      </c>
      <c r="P383" s="5" t="str">
        <f t="shared" si="7"/>
        <v>0</v>
      </c>
      <c r="Q383" s="5" t="str">
        <f t="shared" si="8"/>
        <v>kɐ</v>
      </c>
      <c r="R383" s="15" t="s">
        <v>80</v>
      </c>
      <c r="S383" s="15" t="s">
        <v>1246</v>
      </c>
      <c r="T383" s="15" t="s">
        <v>1247</v>
      </c>
      <c r="U383" s="15" t="s">
        <v>22</v>
      </c>
      <c r="V383" s="20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</row>
    <row r="384">
      <c r="A384" s="15" t="s">
        <v>14</v>
      </c>
      <c r="B384" s="15" t="s">
        <v>1242</v>
      </c>
      <c r="C384" s="15" t="s">
        <v>1243</v>
      </c>
      <c r="D384" s="15" t="s">
        <v>1244</v>
      </c>
      <c r="E384" s="15" t="s">
        <v>1245</v>
      </c>
      <c r="F384" s="15" t="s">
        <v>108</v>
      </c>
      <c r="G384" s="15" t="s">
        <v>175</v>
      </c>
      <c r="H384" s="43">
        <f t="shared" ref="H384:I384" si="769">LEN(D384)-LEN(B384)+1</f>
        <v>2</v>
      </c>
      <c r="I384" s="43">
        <f t="shared" si="769"/>
        <v>3</v>
      </c>
      <c r="J384" s="18">
        <v>1.0</v>
      </c>
      <c r="K384" s="18">
        <v>2.0</v>
      </c>
      <c r="L384" s="5" t="str">
        <f t="shared" ref="L384:M384" si="770">IFS(J384="-", "-", J384=H384, "Final", J384=1, "Initial", J384&gt;1, "Medial")</f>
        <v>Initial</v>
      </c>
      <c r="M384" s="44" t="str">
        <f t="shared" si="770"/>
        <v>Medial</v>
      </c>
      <c r="N384" s="5" t="str">
        <f t="shared" si="5"/>
        <v>-</v>
      </c>
      <c r="O384" s="5" t="str">
        <f t="shared" si="6"/>
        <v>ˈba</v>
      </c>
      <c r="P384" s="5" t="str">
        <f t="shared" si="7"/>
        <v>ɐ</v>
      </c>
      <c r="Q384" s="5" t="str">
        <f t="shared" si="8"/>
        <v>ˈbaɾ</v>
      </c>
      <c r="R384" s="15"/>
      <c r="S384" s="15" t="s">
        <v>1246</v>
      </c>
      <c r="T384" s="15" t="s">
        <v>1247</v>
      </c>
      <c r="U384" s="15" t="s">
        <v>22</v>
      </c>
      <c r="V384" s="20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</row>
    <row r="385">
      <c r="A385" s="15" t="s">
        <v>14</v>
      </c>
      <c r="B385" s="15" t="s">
        <v>1242</v>
      </c>
      <c r="C385" s="15" t="s">
        <v>1243</v>
      </c>
      <c r="D385" s="15" t="s">
        <v>1244</v>
      </c>
      <c r="E385" s="15" t="s">
        <v>1245</v>
      </c>
      <c r="F385" s="15" t="s">
        <v>1248</v>
      </c>
      <c r="G385" s="15" t="s">
        <v>1249</v>
      </c>
      <c r="H385" s="43">
        <f t="shared" ref="H385:I385" si="771">LEN(D385)-LEN(B385)+1</f>
        <v>2</v>
      </c>
      <c r="I385" s="43">
        <f t="shared" si="771"/>
        <v>3</v>
      </c>
      <c r="J385" s="18">
        <v>2.0</v>
      </c>
      <c r="K385" s="18">
        <v>3.0</v>
      </c>
      <c r="L385" s="5" t="str">
        <f t="shared" ref="L385:M385" si="772">IFS(J385="-", "-", J385=H385, "Final", J385=1, "Initial", J385&gt;1, "Medial")</f>
        <v>Final</v>
      </c>
      <c r="M385" s="44" t="str">
        <f t="shared" si="772"/>
        <v>Final</v>
      </c>
      <c r="N385" s="5" t="str">
        <f t="shared" si="5"/>
        <v>ka</v>
      </c>
      <c r="O385" s="5">
        <f t="shared" si="6"/>
        <v>2</v>
      </c>
      <c r="P385" s="5" t="str">
        <f t="shared" si="7"/>
        <v>kɐ</v>
      </c>
      <c r="Q385" s="5">
        <f t="shared" si="8"/>
        <v>3</v>
      </c>
      <c r="R385" s="15"/>
      <c r="S385" s="15" t="s">
        <v>1246</v>
      </c>
      <c r="T385" s="15" t="s">
        <v>1247</v>
      </c>
      <c r="U385" s="15" t="s">
        <v>22</v>
      </c>
      <c r="V385" s="20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</row>
    <row r="386">
      <c r="A386" s="3" t="s">
        <v>14</v>
      </c>
      <c r="B386" s="3" t="s">
        <v>1250</v>
      </c>
      <c r="C386" s="3" t="s">
        <v>1251</v>
      </c>
      <c r="D386" s="3" t="s">
        <v>1252</v>
      </c>
      <c r="E386" s="3" t="s">
        <v>1253</v>
      </c>
      <c r="F386" s="3" t="s">
        <v>1254</v>
      </c>
      <c r="G386" s="3" t="s">
        <v>1254</v>
      </c>
      <c r="H386" s="43">
        <f t="shared" ref="H386:I386" si="773">LEN(D386)-LEN(B386)+1</f>
        <v>2</v>
      </c>
      <c r="I386" s="43">
        <f t="shared" si="773"/>
        <v>2</v>
      </c>
      <c r="J386" s="4">
        <v>1.0</v>
      </c>
      <c r="K386" s="4">
        <v>1.0</v>
      </c>
      <c r="L386" s="5" t="str">
        <f t="shared" ref="L386:M386" si="774">IFS(J386="-", "-", J386=H386, "Final", J386=1, "Initial", J386&gt;1, "Medial")</f>
        <v>Initial</v>
      </c>
      <c r="M386" s="44" t="str">
        <f t="shared" si="774"/>
        <v>Initial</v>
      </c>
      <c r="N386" s="5" t="str">
        <f t="shared" si="5"/>
        <v>0</v>
      </c>
      <c r="O386" s="5" t="str">
        <f t="shared" si="6"/>
        <v>ˈta</v>
      </c>
      <c r="P386" s="5" t="str">
        <f t="shared" si="7"/>
        <v>0</v>
      </c>
      <c r="Q386" s="5" t="str">
        <f t="shared" si="8"/>
        <v>ˈtaɾ</v>
      </c>
      <c r="R386" s="3"/>
      <c r="S386" s="3" t="s">
        <v>1255</v>
      </c>
      <c r="T386" s="3" t="s">
        <v>1256</v>
      </c>
      <c r="U386" s="3" t="s">
        <v>22</v>
      </c>
      <c r="V386" s="5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>
      <c r="A387" s="3" t="s">
        <v>14</v>
      </c>
      <c r="B387" s="3" t="s">
        <v>1250</v>
      </c>
      <c r="C387" s="3" t="s">
        <v>1251</v>
      </c>
      <c r="D387" s="3" t="s">
        <v>1252</v>
      </c>
      <c r="E387" s="3" t="s">
        <v>1253</v>
      </c>
      <c r="F387" s="3" t="s">
        <v>1075</v>
      </c>
      <c r="G387" s="3" t="s">
        <v>1076</v>
      </c>
      <c r="H387" s="43">
        <f t="shared" ref="H387:I387" si="775">LEN(D387)-LEN(B387)+1</f>
        <v>2</v>
      </c>
      <c r="I387" s="43">
        <f t="shared" si="775"/>
        <v>2</v>
      </c>
      <c r="J387" s="4">
        <v>2.0</v>
      </c>
      <c r="K387" s="4">
        <v>2.0</v>
      </c>
      <c r="L387" s="5" t="str">
        <f t="shared" ref="L387:M387" si="776">IFS(J387="-", "-", J387=H387, "Final", J387=1, "Initial", J387&gt;1, "Medial")</f>
        <v>Final</v>
      </c>
      <c r="M387" s="44" t="str">
        <f t="shared" si="776"/>
        <v>Final</v>
      </c>
      <c r="N387" s="5" t="str">
        <f t="shared" si="5"/>
        <v>kɐ̃</v>
      </c>
      <c r="O387" s="5">
        <f t="shared" si="6"/>
        <v>2</v>
      </c>
      <c r="P387" s="5" t="str">
        <f t="shared" si="7"/>
        <v>kɐ̃</v>
      </c>
      <c r="Q387" s="5">
        <f t="shared" si="8"/>
        <v>2</v>
      </c>
      <c r="R387" s="3"/>
      <c r="S387" s="3" t="s">
        <v>1255</v>
      </c>
      <c r="T387" s="3" t="s">
        <v>1256</v>
      </c>
      <c r="U387" s="3" t="s">
        <v>22</v>
      </c>
      <c r="V387" s="5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>
      <c r="A388" s="3" t="s">
        <v>14</v>
      </c>
      <c r="B388" s="3" t="s">
        <v>1257</v>
      </c>
      <c r="C388" s="3" t="s">
        <v>1258</v>
      </c>
      <c r="D388" s="3" t="s">
        <v>1259</v>
      </c>
      <c r="E388" s="3" t="s">
        <v>1260</v>
      </c>
      <c r="F388" s="3" t="s">
        <v>108</v>
      </c>
      <c r="G388" s="3" t="s">
        <v>175</v>
      </c>
      <c r="H388" s="43">
        <f t="shared" ref="H388:I388" si="777">LEN(D388)-LEN(B388)+1</f>
        <v>2</v>
      </c>
      <c r="I388" s="43">
        <f t="shared" si="777"/>
        <v>2</v>
      </c>
      <c r="J388" s="4">
        <v>1.0</v>
      </c>
      <c r="K388" s="4">
        <v>1.0</v>
      </c>
      <c r="L388" s="5" t="str">
        <f t="shared" ref="L388:M388" si="778">IFS(J388="-", "-", J388=H388, "Final", J388=1, "Initial", J388&gt;1, "Medial")</f>
        <v>Initial</v>
      </c>
      <c r="M388" s="44" t="str">
        <f t="shared" si="778"/>
        <v>Initial</v>
      </c>
      <c r="N388" s="5" t="str">
        <f t="shared" si="5"/>
        <v>0</v>
      </c>
      <c r="O388" s="5" t="str">
        <f t="shared" si="6"/>
        <v>ˈza</v>
      </c>
      <c r="P388" s="5" t="str">
        <f t="shared" si="7"/>
        <v>0</v>
      </c>
      <c r="Q388" s="5" t="str">
        <f t="shared" si="8"/>
        <v>ˈzaɾ</v>
      </c>
      <c r="R388" s="3"/>
      <c r="S388" s="3" t="s">
        <v>1261</v>
      </c>
      <c r="T388" s="3" t="s">
        <v>1262</v>
      </c>
      <c r="U388" s="3" t="s">
        <v>22</v>
      </c>
      <c r="V388" s="5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>
      <c r="A389" s="3" t="s">
        <v>14</v>
      </c>
      <c r="B389" s="3" t="s">
        <v>1257</v>
      </c>
      <c r="C389" s="3" t="s">
        <v>1258</v>
      </c>
      <c r="D389" s="3" t="s">
        <v>1259</v>
      </c>
      <c r="E389" s="3" t="s">
        <v>1260</v>
      </c>
      <c r="F389" s="3" t="s">
        <v>1060</v>
      </c>
      <c r="G389" s="3" t="s">
        <v>1263</v>
      </c>
      <c r="H389" s="43">
        <f t="shared" ref="H389:I389" si="779">LEN(D389)-LEN(B389)+1</f>
        <v>2</v>
      </c>
      <c r="I389" s="43">
        <f t="shared" si="779"/>
        <v>2</v>
      </c>
      <c r="J389" s="4">
        <v>2.0</v>
      </c>
      <c r="K389" s="4">
        <v>2.0</v>
      </c>
      <c r="L389" s="5" t="str">
        <f t="shared" ref="L389:M389" si="780">IFS(J389="-", "-", J389=H389, "Final", J389=1, "Initial", J389&gt;1, "Medial")</f>
        <v>Final</v>
      </c>
      <c r="M389" s="44" t="str">
        <f t="shared" si="780"/>
        <v>Final</v>
      </c>
      <c r="N389" s="5" t="str">
        <f t="shared" si="5"/>
        <v>ka</v>
      </c>
      <c r="O389" s="5">
        <f t="shared" si="6"/>
        <v>2</v>
      </c>
      <c r="P389" s="5" t="str">
        <f t="shared" si="7"/>
        <v>kɐ</v>
      </c>
      <c r="Q389" s="5">
        <f t="shared" si="8"/>
        <v>2</v>
      </c>
      <c r="R389" s="3"/>
      <c r="S389" s="3" t="s">
        <v>1261</v>
      </c>
      <c r="T389" s="3" t="s">
        <v>1262</v>
      </c>
      <c r="U389" s="3" t="s">
        <v>22</v>
      </c>
      <c r="V389" s="5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>
      <c r="A390" s="3" t="s">
        <v>14</v>
      </c>
      <c r="B390" s="3" t="s">
        <v>1264</v>
      </c>
      <c r="C390" s="3" t="s">
        <v>1265</v>
      </c>
      <c r="D390" s="3" t="s">
        <v>1266</v>
      </c>
      <c r="E390" s="3" t="s">
        <v>1267</v>
      </c>
      <c r="F390" s="3" t="s">
        <v>1268</v>
      </c>
      <c r="G390" s="3" t="s">
        <v>1269</v>
      </c>
      <c r="H390" s="43">
        <f t="shared" ref="H390:I390" si="781">LEN(D390)-LEN(B390)+1</f>
        <v>2</v>
      </c>
      <c r="I390" s="43">
        <f t="shared" si="781"/>
        <v>2</v>
      </c>
      <c r="J390" s="4">
        <v>1.0</v>
      </c>
      <c r="K390" s="4">
        <v>1.0</v>
      </c>
      <c r="L390" s="5" t="str">
        <f t="shared" ref="L390:M390" si="782">IFS(J390="-", "-", J390=H390, "Final", J390=1, "Initial", J390&gt;1, "Medial")</f>
        <v>Initial</v>
      </c>
      <c r="M390" s="44" t="str">
        <f t="shared" si="782"/>
        <v>Initial</v>
      </c>
      <c r="N390" s="5" t="str">
        <f t="shared" si="5"/>
        <v>0</v>
      </c>
      <c r="O390" s="5" t="str">
        <f t="shared" si="6"/>
        <v>ˈba</v>
      </c>
      <c r="P390" s="5" t="str">
        <f t="shared" si="7"/>
        <v>0</v>
      </c>
      <c r="Q390" s="5" t="str">
        <f t="shared" si="8"/>
        <v>ˈbɾaɾ</v>
      </c>
      <c r="R390" s="3"/>
      <c r="S390" s="3" t="s">
        <v>1270</v>
      </c>
      <c r="T390" s="3" t="s">
        <v>1271</v>
      </c>
      <c r="U390" s="3" t="s">
        <v>22</v>
      </c>
      <c r="V390" s="5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>
      <c r="A391" s="3" t="s">
        <v>14</v>
      </c>
      <c r="B391" s="3" t="s">
        <v>1264</v>
      </c>
      <c r="C391" s="3" t="s">
        <v>1265</v>
      </c>
      <c r="D391" s="3" t="s">
        <v>1266</v>
      </c>
      <c r="E391" s="3" t="s">
        <v>1267</v>
      </c>
      <c r="F391" s="3" t="s">
        <v>1248</v>
      </c>
      <c r="G391" s="3" t="s">
        <v>1272</v>
      </c>
      <c r="H391" s="43">
        <f t="shared" ref="H391:I391" si="783">LEN(D391)-LEN(B391)+1</f>
        <v>2</v>
      </c>
      <c r="I391" s="43">
        <f t="shared" si="783"/>
        <v>2</v>
      </c>
      <c r="J391" s="4">
        <v>2.0</v>
      </c>
      <c r="K391" s="4">
        <v>2.0</v>
      </c>
      <c r="L391" s="5" t="str">
        <f t="shared" ref="L391:M391" si="784">IFS(J391="-", "-", J391=H391, "Final", J391=1, "Initial", J391&gt;1, "Medial")</f>
        <v>Final</v>
      </c>
      <c r="M391" s="44" t="str">
        <f t="shared" si="784"/>
        <v>Final</v>
      </c>
      <c r="N391" s="5" t="str">
        <f t="shared" si="5"/>
        <v>kɛ</v>
      </c>
      <c r="O391" s="5">
        <f t="shared" si="6"/>
        <v>2</v>
      </c>
      <c r="P391" s="5" t="str">
        <f t="shared" si="7"/>
        <v>kɨ</v>
      </c>
      <c r="Q391" s="5">
        <f t="shared" si="8"/>
        <v>2</v>
      </c>
      <c r="R391" s="3"/>
      <c r="S391" s="3" t="s">
        <v>1270</v>
      </c>
      <c r="T391" s="3" t="s">
        <v>1271</v>
      </c>
      <c r="U391" s="3" t="s">
        <v>22</v>
      </c>
      <c r="V391" s="5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>
      <c r="A392" s="3" t="s">
        <v>14</v>
      </c>
      <c r="B392" s="3" t="s">
        <v>1273</v>
      </c>
      <c r="C392" s="3" t="s">
        <v>1274</v>
      </c>
      <c r="D392" s="3" t="s">
        <v>1273</v>
      </c>
      <c r="E392" s="3" t="s">
        <v>1274</v>
      </c>
      <c r="F392" s="3" t="s">
        <v>1273</v>
      </c>
      <c r="G392" s="3" t="s">
        <v>1274</v>
      </c>
      <c r="H392" s="43">
        <f t="shared" ref="H392:I392" si="785">LEN(D392)-LEN(B392)+1</f>
        <v>1</v>
      </c>
      <c r="I392" s="43">
        <f t="shared" si="785"/>
        <v>1</v>
      </c>
      <c r="J392" s="4">
        <v>1.0</v>
      </c>
      <c r="K392" s="4">
        <v>1.0</v>
      </c>
      <c r="L392" s="5" t="str">
        <f t="shared" ref="L392:M392" si="786">IFS(J392="-", "-", J392=H392, "Final", J392=1, "Initial", J392&gt;1, "Medial")</f>
        <v>Final</v>
      </c>
      <c r="M392" s="44" t="str">
        <f t="shared" si="786"/>
        <v>Final</v>
      </c>
      <c r="N392" s="5" t="str">
        <f t="shared" si="5"/>
        <v>0</v>
      </c>
      <c r="O392" s="5">
        <f t="shared" si="6"/>
        <v>1</v>
      </c>
      <c r="P392" s="5" t="str">
        <f t="shared" si="7"/>
        <v>0</v>
      </c>
      <c r="Q392" s="5">
        <f t="shared" si="8"/>
        <v>1</v>
      </c>
      <c r="R392" s="3"/>
      <c r="S392" s="3" t="s">
        <v>1275</v>
      </c>
      <c r="T392" s="3" t="s">
        <v>1276</v>
      </c>
      <c r="U392" s="3" t="s">
        <v>22</v>
      </c>
      <c r="V392" s="5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>
      <c r="A393" s="3" t="s">
        <v>14</v>
      </c>
      <c r="B393" s="3" t="s">
        <v>1277</v>
      </c>
      <c r="C393" s="3" t="s">
        <v>1278</v>
      </c>
      <c r="D393" s="3" t="s">
        <v>1279</v>
      </c>
      <c r="E393" s="3" t="s">
        <v>1280</v>
      </c>
      <c r="F393" s="3" t="s">
        <v>1268</v>
      </c>
      <c r="G393" s="3" t="s">
        <v>1281</v>
      </c>
      <c r="H393" s="43">
        <f t="shared" ref="H393:I393" si="787">LEN(D393)-LEN(B393)+1</f>
        <v>2</v>
      </c>
      <c r="I393" s="43">
        <f t="shared" si="787"/>
        <v>2</v>
      </c>
      <c r="J393" s="4">
        <v>1.0</v>
      </c>
      <c r="K393" s="4">
        <v>1.0</v>
      </c>
      <c r="L393" s="5" t="str">
        <f t="shared" ref="L393:M393" si="788">IFS(J393="-", "-", J393=H393, "Final", J393=1, "Initial", J393&gt;1, "Medial")</f>
        <v>Initial</v>
      </c>
      <c r="M393" s="44" t="str">
        <f t="shared" si="788"/>
        <v>Initial</v>
      </c>
      <c r="N393" s="5" t="str">
        <f t="shared" si="5"/>
        <v>0</v>
      </c>
      <c r="O393" s="5" t="str">
        <f t="shared" si="6"/>
        <v>ˈma</v>
      </c>
      <c r="P393" s="5" t="str">
        <f t="shared" si="7"/>
        <v>0</v>
      </c>
      <c r="Q393" s="5" t="str">
        <f t="shared" si="8"/>
        <v>ˈmaɾ</v>
      </c>
      <c r="R393" s="3"/>
      <c r="S393" s="3" t="s">
        <v>1282</v>
      </c>
      <c r="T393" s="3" t="s">
        <v>1283</v>
      </c>
      <c r="U393" s="3" t="s">
        <v>22</v>
      </c>
      <c r="V393" s="5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>
      <c r="A394" s="3" t="s">
        <v>14</v>
      </c>
      <c r="B394" s="3" t="s">
        <v>1277</v>
      </c>
      <c r="C394" s="3" t="s">
        <v>1278</v>
      </c>
      <c r="D394" s="3" t="s">
        <v>1279</v>
      </c>
      <c r="E394" s="3" t="s">
        <v>1280</v>
      </c>
      <c r="F394" s="3" t="s">
        <v>451</v>
      </c>
      <c r="G394" s="3" t="s">
        <v>1211</v>
      </c>
      <c r="H394" s="43">
        <f t="shared" ref="H394:I394" si="789">LEN(D394)-LEN(B394)+1</f>
        <v>2</v>
      </c>
      <c r="I394" s="43">
        <f t="shared" si="789"/>
        <v>2</v>
      </c>
      <c r="J394" s="4">
        <v>2.0</v>
      </c>
      <c r="K394" s="4">
        <v>2.0</v>
      </c>
      <c r="L394" s="5" t="str">
        <f t="shared" ref="L394:M394" si="790">IFS(J394="-", "-", J394=H394, "Final", J394=1, "Initial", J394&gt;1, "Medial")</f>
        <v>Final</v>
      </c>
      <c r="M394" s="44" t="str">
        <f t="shared" si="790"/>
        <v>Final</v>
      </c>
      <c r="N394" s="5" t="str">
        <f t="shared" si="5"/>
        <v>kɛ</v>
      </c>
      <c r="O394" s="5">
        <f t="shared" si="6"/>
        <v>2</v>
      </c>
      <c r="P394" s="5" t="str">
        <f t="shared" si="7"/>
        <v>kej</v>
      </c>
      <c r="Q394" s="5">
        <f t="shared" si="8"/>
        <v>2</v>
      </c>
      <c r="R394" s="3"/>
      <c r="S394" s="3" t="s">
        <v>1282</v>
      </c>
      <c r="T394" s="3" t="s">
        <v>1283</v>
      </c>
      <c r="U394" s="3" t="s">
        <v>22</v>
      </c>
      <c r="V394" s="5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>
      <c r="A395" s="15" t="s">
        <v>14</v>
      </c>
      <c r="B395" s="15" t="s">
        <v>1284</v>
      </c>
      <c r="C395" s="15" t="s">
        <v>1285</v>
      </c>
      <c r="D395" s="15" t="s">
        <v>1286</v>
      </c>
      <c r="E395" s="15" t="s">
        <v>1287</v>
      </c>
      <c r="F395" s="15" t="s">
        <v>36</v>
      </c>
      <c r="G395" s="15" t="s">
        <v>301</v>
      </c>
      <c r="H395" s="43">
        <f t="shared" ref="H395:I395" si="791">LEN(D395)-LEN(B395)+1</f>
        <v>2</v>
      </c>
      <c r="I395" s="43">
        <f t="shared" si="791"/>
        <v>3</v>
      </c>
      <c r="J395" s="18" t="s">
        <v>36</v>
      </c>
      <c r="K395" s="18">
        <v>1.0</v>
      </c>
      <c r="L395" s="5" t="str">
        <f t="shared" ref="L395:M395" si="792">IFS(J395="-", "-", J395=H395, "Final", J395=1, "Initial", J395&gt;1, "Medial")</f>
        <v>-</v>
      </c>
      <c r="M395" s="44" t="str">
        <f t="shared" si="792"/>
        <v>Initial</v>
      </c>
      <c r="N395" s="5" t="str">
        <f t="shared" si="5"/>
        <v>0</v>
      </c>
      <c r="O395" s="5" t="str">
        <f t="shared" si="6"/>
        <v>kjɛ̃</v>
      </c>
      <c r="P395" s="5" t="str">
        <f t="shared" si="7"/>
        <v>0</v>
      </c>
      <c r="Q395" s="5" t="str">
        <f t="shared" si="8"/>
        <v>kẽ</v>
      </c>
      <c r="R395" s="15"/>
      <c r="S395" s="15" t="s">
        <v>1288</v>
      </c>
      <c r="T395" s="15" t="s">
        <v>1289</v>
      </c>
      <c r="U395" s="15" t="s">
        <v>22</v>
      </c>
      <c r="V395" s="20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</row>
    <row r="396">
      <c r="A396" s="15" t="s">
        <v>14</v>
      </c>
      <c r="B396" s="15" t="s">
        <v>1284</v>
      </c>
      <c r="C396" s="15" t="s">
        <v>1285</v>
      </c>
      <c r="D396" s="15" t="s">
        <v>1286</v>
      </c>
      <c r="E396" s="15" t="s">
        <v>1287</v>
      </c>
      <c r="F396" s="15" t="s">
        <v>1290</v>
      </c>
      <c r="G396" s="15" t="s">
        <v>1291</v>
      </c>
      <c r="H396" s="43">
        <f t="shared" ref="H396:I396" si="793">LEN(D396)-LEN(B396)+1</f>
        <v>2</v>
      </c>
      <c r="I396" s="43">
        <f t="shared" si="793"/>
        <v>3</v>
      </c>
      <c r="J396" s="18">
        <v>1.0</v>
      </c>
      <c r="K396" s="18">
        <v>2.0</v>
      </c>
      <c r="L396" s="5" t="str">
        <f t="shared" ref="L396:M396" si="794">IFS(J396="-", "-", J396=H396, "Final", J396=1, "Initial", J396&gt;1, "Medial")</f>
        <v>Initial</v>
      </c>
      <c r="M396" s="44" t="str">
        <f t="shared" si="794"/>
        <v>Medial</v>
      </c>
      <c r="N396" s="5" t="str">
        <f t="shared" si="5"/>
        <v>-</v>
      </c>
      <c r="O396" s="5" t="str">
        <f t="shared" si="6"/>
        <v>ˈta</v>
      </c>
      <c r="P396" s="5" t="str">
        <f t="shared" si="7"/>
        <v>ʃ</v>
      </c>
      <c r="Q396" s="5" t="str">
        <f t="shared" si="8"/>
        <v>ˈtaɾ</v>
      </c>
      <c r="R396" s="15"/>
      <c r="S396" s="15" t="s">
        <v>1288</v>
      </c>
      <c r="T396" s="15" t="s">
        <v>1289</v>
      </c>
      <c r="U396" s="15" t="s">
        <v>22</v>
      </c>
      <c r="V396" s="20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</row>
    <row r="397">
      <c r="A397" s="15" t="s">
        <v>14</v>
      </c>
      <c r="B397" s="15" t="s">
        <v>1284</v>
      </c>
      <c r="C397" s="15" t="s">
        <v>1285</v>
      </c>
      <c r="D397" s="15" t="s">
        <v>1286</v>
      </c>
      <c r="E397" s="15" t="s">
        <v>1287</v>
      </c>
      <c r="F397" s="15" t="s">
        <v>1075</v>
      </c>
      <c r="G397" s="15" t="s">
        <v>1076</v>
      </c>
      <c r="H397" s="43">
        <f t="shared" ref="H397:I397" si="795">LEN(D397)-LEN(B397)+1</f>
        <v>2</v>
      </c>
      <c r="I397" s="43">
        <f t="shared" si="795"/>
        <v>3</v>
      </c>
      <c r="J397" s="18">
        <v>2.0</v>
      </c>
      <c r="K397" s="18">
        <v>3.0</v>
      </c>
      <c r="L397" s="5" t="str">
        <f t="shared" ref="L397:M397" si="796">IFS(J397="-", "-", J397=H397, "Final", J397=1, "Initial", J397&gt;1, "Medial")</f>
        <v>Final</v>
      </c>
      <c r="M397" s="44" t="str">
        <f t="shared" si="796"/>
        <v>Final</v>
      </c>
      <c r="N397" s="5" t="str">
        <f t="shared" si="5"/>
        <v>kjɛ̃</v>
      </c>
      <c r="O397" s="5">
        <f t="shared" si="6"/>
        <v>2</v>
      </c>
      <c r="P397" s="5" t="str">
        <f t="shared" si="7"/>
        <v>kẽ</v>
      </c>
      <c r="Q397" s="5">
        <f t="shared" si="8"/>
        <v>3</v>
      </c>
      <c r="R397" s="15"/>
      <c r="S397" s="15" t="s">
        <v>1288</v>
      </c>
      <c r="T397" s="15" t="s">
        <v>1289</v>
      </c>
      <c r="U397" s="15" t="s">
        <v>22</v>
      </c>
      <c r="V397" s="20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</row>
    <row r="398">
      <c r="A398" s="15" t="s">
        <v>14</v>
      </c>
      <c r="B398" s="15" t="s">
        <v>1292</v>
      </c>
      <c r="C398" s="15" t="s">
        <v>1293</v>
      </c>
      <c r="D398" s="15" t="s">
        <v>1294</v>
      </c>
      <c r="E398" s="15" t="s">
        <v>1295</v>
      </c>
      <c r="F398" s="15" t="s">
        <v>36</v>
      </c>
      <c r="G398" s="15" t="s">
        <v>301</v>
      </c>
      <c r="H398" s="43">
        <f t="shared" ref="H398:I398" si="797">LEN(D398)-LEN(B398)+1</f>
        <v>2</v>
      </c>
      <c r="I398" s="43">
        <f t="shared" si="797"/>
        <v>3</v>
      </c>
      <c r="J398" s="18" t="s">
        <v>36</v>
      </c>
      <c r="K398" s="18">
        <v>1.0</v>
      </c>
      <c r="L398" s="5" t="str">
        <f t="shared" ref="L398:M398" si="798">IFS(J398="-", "-", J398=H398, "Final", J398=1, "Initial", J398&gt;1, "Medial")</f>
        <v>-</v>
      </c>
      <c r="M398" s="44" t="str">
        <f t="shared" si="798"/>
        <v>Initial</v>
      </c>
      <c r="N398" s="5" t="str">
        <f t="shared" si="5"/>
        <v>0</v>
      </c>
      <c r="O398" s="5" t="str">
        <f t="shared" si="6"/>
        <v>kjẽ</v>
      </c>
      <c r="P398" s="5" t="str">
        <f t="shared" si="7"/>
        <v>0</v>
      </c>
      <c r="Q398" s="5" t="str">
        <f t="shared" si="8"/>
        <v>kɨ</v>
      </c>
      <c r="R398" s="15"/>
      <c r="S398" s="15" t="s">
        <v>1296</v>
      </c>
      <c r="T398" s="15" t="s">
        <v>1297</v>
      </c>
      <c r="U398" s="15" t="s">
        <v>22</v>
      </c>
      <c r="V398" s="20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</row>
    <row r="399">
      <c r="A399" s="15" t="s">
        <v>14</v>
      </c>
      <c r="B399" s="15" t="s">
        <v>1292</v>
      </c>
      <c r="C399" s="15" t="s">
        <v>1293</v>
      </c>
      <c r="D399" s="15" t="s">
        <v>1294</v>
      </c>
      <c r="E399" s="15" t="s">
        <v>1295</v>
      </c>
      <c r="F399" s="15" t="s">
        <v>1298</v>
      </c>
      <c r="G399" s="15" t="s">
        <v>1269</v>
      </c>
      <c r="H399" s="43">
        <f t="shared" ref="H399:I399" si="799">LEN(D399)-LEN(B399)+1</f>
        <v>2</v>
      </c>
      <c r="I399" s="43">
        <f t="shared" si="799"/>
        <v>3</v>
      </c>
      <c r="J399" s="18">
        <v>1.0</v>
      </c>
      <c r="K399" s="18">
        <v>2.0</v>
      </c>
      <c r="L399" s="5" t="str">
        <f t="shared" ref="L399:M399" si="800">IFS(J399="-", "-", J399=H399, "Final", J399=1, "Initial", J399&gt;1, "Medial")</f>
        <v>Initial</v>
      </c>
      <c r="M399" s="44" t="str">
        <f t="shared" si="800"/>
        <v>Medial</v>
      </c>
      <c r="N399" s="5" t="str">
        <f t="shared" si="5"/>
        <v>-</v>
      </c>
      <c r="O399" s="5" t="str">
        <f t="shared" si="6"/>
        <v>ˈse</v>
      </c>
      <c r="P399" s="5" t="str">
        <f t="shared" si="7"/>
        <v>ʃ</v>
      </c>
      <c r="Q399" s="5" t="str">
        <f t="shared" si="8"/>
        <v>ˈseɾ</v>
      </c>
      <c r="R399" s="15"/>
      <c r="S399" s="15" t="s">
        <v>1296</v>
      </c>
      <c r="T399" s="15" t="s">
        <v>1297</v>
      </c>
      <c r="U399" s="15" t="s">
        <v>22</v>
      </c>
      <c r="V399" s="20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</row>
    <row r="400">
      <c r="A400" s="15" t="s">
        <v>14</v>
      </c>
      <c r="B400" s="15" t="s">
        <v>1292</v>
      </c>
      <c r="C400" s="15" t="s">
        <v>1293</v>
      </c>
      <c r="D400" s="15" t="s">
        <v>1294</v>
      </c>
      <c r="E400" s="15" t="s">
        <v>1295</v>
      </c>
      <c r="F400" s="15" t="s">
        <v>615</v>
      </c>
      <c r="G400" s="15" t="s">
        <v>1299</v>
      </c>
      <c r="H400" s="43">
        <f t="shared" ref="H400:I400" si="801">LEN(D400)-LEN(B400)+1</f>
        <v>2</v>
      </c>
      <c r="I400" s="43">
        <f t="shared" si="801"/>
        <v>3</v>
      </c>
      <c r="J400" s="18">
        <v>2.0</v>
      </c>
      <c r="K400" s="18">
        <v>3.0</v>
      </c>
      <c r="L400" s="5" t="str">
        <f t="shared" ref="L400:M400" si="802">IFS(J400="-", "-", J400=H400, "Final", J400=1, "Initial", J400&gt;1, "Medial")</f>
        <v>Final</v>
      </c>
      <c r="M400" s="44" t="str">
        <f t="shared" si="802"/>
        <v>Final</v>
      </c>
      <c r="N400" s="5" t="str">
        <f t="shared" si="5"/>
        <v>kjẽ</v>
      </c>
      <c r="O400" s="5">
        <f t="shared" si="6"/>
        <v>2</v>
      </c>
      <c r="P400" s="5" t="str">
        <f t="shared" si="7"/>
        <v>kɨ</v>
      </c>
      <c r="Q400" s="5">
        <f t="shared" si="8"/>
        <v>3</v>
      </c>
      <c r="R400" s="15"/>
      <c r="S400" s="15" t="s">
        <v>1296</v>
      </c>
      <c r="T400" s="15" t="s">
        <v>1297</v>
      </c>
      <c r="U400" s="15" t="s">
        <v>22</v>
      </c>
      <c r="V400" s="20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</row>
    <row r="401">
      <c r="A401" s="3" t="s">
        <v>14</v>
      </c>
      <c r="B401" s="3" t="s">
        <v>1300</v>
      </c>
      <c r="C401" s="3" t="s">
        <v>1301</v>
      </c>
      <c r="D401" s="3" t="s">
        <v>1300</v>
      </c>
      <c r="E401" s="3" t="s">
        <v>1302</v>
      </c>
      <c r="F401" s="3" t="s">
        <v>1300</v>
      </c>
      <c r="G401" s="3" t="s">
        <v>175</v>
      </c>
      <c r="H401" s="43">
        <f t="shared" ref="H401:I401" si="803">LEN(D401)-LEN(B401)+1</f>
        <v>1</v>
      </c>
      <c r="I401" s="43">
        <f t="shared" si="803"/>
        <v>2</v>
      </c>
      <c r="J401" s="4">
        <v>1.0</v>
      </c>
      <c r="K401" s="4">
        <v>1.0</v>
      </c>
      <c r="L401" s="5" t="str">
        <f t="shared" ref="L401:M401" si="804">IFS(J401="-", "-", J401=H401, "Final", J401=1, "Initial", J401&gt;1, "Medial")</f>
        <v>Final</v>
      </c>
      <c r="M401" s="44" t="str">
        <f t="shared" si="804"/>
        <v>Initial</v>
      </c>
      <c r="N401" s="5" t="str">
        <f t="shared" si="5"/>
        <v>0</v>
      </c>
      <c r="O401" s="5" t="str">
        <f t="shared" si="6"/>
        <v>-</v>
      </c>
      <c r="P401" s="5" t="str">
        <f t="shared" si="7"/>
        <v>0</v>
      </c>
      <c r="Q401" s="5" t="str">
        <f t="shared" si="8"/>
        <v>ˈiɾ</v>
      </c>
      <c r="R401" s="3" t="s">
        <v>80</v>
      </c>
      <c r="S401" s="3" t="s">
        <v>1303</v>
      </c>
      <c r="T401" s="3" t="s">
        <v>1304</v>
      </c>
      <c r="U401" s="3" t="s">
        <v>22</v>
      </c>
      <c r="V401" s="5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>
      <c r="A402" s="3" t="s">
        <v>14</v>
      </c>
      <c r="B402" s="3" t="s">
        <v>1300</v>
      </c>
      <c r="C402" s="3" t="s">
        <v>1301</v>
      </c>
      <c r="D402" s="3" t="s">
        <v>1300</v>
      </c>
      <c r="E402" s="3" t="s">
        <v>1302</v>
      </c>
      <c r="F402" s="3" t="s">
        <v>36</v>
      </c>
      <c r="G402" s="3" t="s">
        <v>1305</v>
      </c>
      <c r="H402" s="43">
        <f t="shared" ref="H402:I402" si="805">LEN(D402)-LEN(B402)+1</f>
        <v>1</v>
      </c>
      <c r="I402" s="43">
        <f t="shared" si="805"/>
        <v>2</v>
      </c>
      <c r="J402" s="4" t="s">
        <v>36</v>
      </c>
      <c r="K402" s="4">
        <v>2.0</v>
      </c>
      <c r="L402" s="5" t="str">
        <f t="shared" ref="L402:M402" si="806">IFS(J402="-", "-", J402=H402, "Final", J402=1, "Initial", J402&gt;1, "Medial")</f>
        <v>-</v>
      </c>
      <c r="M402" s="44" t="str">
        <f t="shared" si="806"/>
        <v>Final</v>
      </c>
      <c r="N402" s="5" t="str">
        <f t="shared" si="5"/>
        <v>ˈkje</v>
      </c>
      <c r="O402" s="5" t="str">
        <f t="shared" si="6"/>
        <v>-</v>
      </c>
      <c r="P402" s="5" t="str">
        <f t="shared" si="7"/>
        <v>kɐ</v>
      </c>
      <c r="Q402" s="5">
        <f t="shared" si="8"/>
        <v>2</v>
      </c>
      <c r="R402" s="3"/>
      <c r="S402" s="3" t="s">
        <v>1303</v>
      </c>
      <c r="T402" s="3" t="s">
        <v>1304</v>
      </c>
      <c r="U402" s="3" t="s">
        <v>22</v>
      </c>
      <c r="V402" s="5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>
      <c r="A403" s="3" t="s">
        <v>14</v>
      </c>
      <c r="B403" s="3" t="s">
        <v>1306</v>
      </c>
      <c r="C403" s="3" t="s">
        <v>1307</v>
      </c>
      <c r="D403" s="3" t="s">
        <v>1308</v>
      </c>
      <c r="E403" s="3" t="s">
        <v>1309</v>
      </c>
      <c r="F403" s="3" t="s">
        <v>108</v>
      </c>
      <c r="G403" s="3" t="s">
        <v>175</v>
      </c>
      <c r="H403" s="43">
        <f t="shared" ref="H403:I403" si="807">LEN(D403)-LEN(B403)+1</f>
        <v>2</v>
      </c>
      <c r="I403" s="43">
        <f t="shared" si="807"/>
        <v>3</v>
      </c>
      <c r="J403" s="4">
        <v>1.0</v>
      </c>
      <c r="K403" s="4">
        <v>1.0</v>
      </c>
      <c r="L403" s="5" t="str">
        <f t="shared" ref="L403:M403" si="808">IFS(J403="-", "-", J403=H403, "Final", J403=1, "Initial", J403&gt;1, "Medial")</f>
        <v>Initial</v>
      </c>
      <c r="M403" s="44" t="str">
        <f t="shared" si="808"/>
        <v>Initial</v>
      </c>
      <c r="N403" s="5" t="str">
        <f t="shared" si="5"/>
        <v>0</v>
      </c>
      <c r="O403" s="5" t="str">
        <f t="shared" si="6"/>
        <v>-</v>
      </c>
      <c r="P403" s="5" t="str">
        <f t="shared" si="7"/>
        <v>0</v>
      </c>
      <c r="Q403" s="5" t="str">
        <f t="shared" si="8"/>
        <v>ʀɨ</v>
      </c>
      <c r="R403" s="3" t="s">
        <v>80</v>
      </c>
      <c r="S403" s="3" t="s">
        <v>1310</v>
      </c>
      <c r="T403" s="3" t="s">
        <v>1311</v>
      </c>
      <c r="U403" s="3" t="s">
        <v>22</v>
      </c>
      <c r="V403" s="5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>
      <c r="A404" s="3" t="s">
        <v>14</v>
      </c>
      <c r="B404" s="3" t="s">
        <v>1306</v>
      </c>
      <c r="C404" s="3" t="s">
        <v>1307</v>
      </c>
      <c r="D404" s="3" t="s">
        <v>1308</v>
      </c>
      <c r="E404" s="3" t="s">
        <v>1309</v>
      </c>
      <c r="F404" s="3" t="s">
        <v>36</v>
      </c>
      <c r="G404" s="3" t="s">
        <v>1137</v>
      </c>
      <c r="H404" s="43">
        <f t="shared" ref="H404:I404" si="809">LEN(D404)-LEN(B404)+1</f>
        <v>2</v>
      </c>
      <c r="I404" s="43">
        <f t="shared" si="809"/>
        <v>3</v>
      </c>
      <c r="J404" s="4" t="s">
        <v>36</v>
      </c>
      <c r="K404" s="4">
        <v>2.0</v>
      </c>
      <c r="L404" s="5" t="str">
        <f t="shared" ref="L404:M404" si="810">IFS(J404="-", "-", J404=H404, "Final", J404=1, "Initial", J404&gt;1, "Medial")</f>
        <v>-</v>
      </c>
      <c r="M404" s="44" t="str">
        <f t="shared" si="810"/>
        <v>Medial</v>
      </c>
      <c r="N404" s="5" t="str">
        <f t="shared" si="5"/>
        <v>ka</v>
      </c>
      <c r="O404" s="5" t="str">
        <f t="shared" si="6"/>
        <v>ˈga</v>
      </c>
      <c r="P404" s="5" t="str">
        <f t="shared" si="7"/>
        <v>kɐ</v>
      </c>
      <c r="Q404" s="5" t="str">
        <f t="shared" si="8"/>
        <v>ˈgaɾ</v>
      </c>
      <c r="R404" s="3"/>
      <c r="S404" s="3" t="s">
        <v>1310</v>
      </c>
      <c r="T404" s="3" t="s">
        <v>1311</v>
      </c>
      <c r="U404" s="3" t="s">
        <v>22</v>
      </c>
      <c r="V404" s="5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>
      <c r="A405" s="3" t="s">
        <v>14</v>
      </c>
      <c r="B405" s="3" t="s">
        <v>1306</v>
      </c>
      <c r="C405" s="3" t="s">
        <v>1307</v>
      </c>
      <c r="D405" s="3" t="s">
        <v>1308</v>
      </c>
      <c r="E405" s="3" t="s">
        <v>1309</v>
      </c>
      <c r="F405" s="3" t="s">
        <v>629</v>
      </c>
      <c r="G405" s="3" t="s">
        <v>630</v>
      </c>
      <c r="H405" s="43">
        <f t="shared" ref="H405:I405" si="811">LEN(D405)-LEN(B405)+1</f>
        <v>2</v>
      </c>
      <c r="I405" s="43">
        <f t="shared" si="811"/>
        <v>3</v>
      </c>
      <c r="J405" s="4">
        <v>2.0</v>
      </c>
      <c r="K405" s="4">
        <v>3.0</v>
      </c>
      <c r="L405" s="5" t="str">
        <f t="shared" ref="L405:M405" si="812">IFS(J405="-", "-", J405=H405, "Final", J405=1, "Initial", J405&gt;1, "Medial")</f>
        <v>Final</v>
      </c>
      <c r="M405" s="44" t="str">
        <f t="shared" si="812"/>
        <v>Final</v>
      </c>
      <c r="N405" s="5" t="str">
        <f t="shared" si="5"/>
        <v>-</v>
      </c>
      <c r="O405" s="5">
        <f t="shared" si="6"/>
        <v>2</v>
      </c>
      <c r="P405" s="5" t="str">
        <f t="shared" si="7"/>
        <v>ʀɨ</v>
      </c>
      <c r="Q405" s="5">
        <f t="shared" si="8"/>
        <v>3</v>
      </c>
      <c r="R405" s="3"/>
      <c r="S405" s="3" t="s">
        <v>1310</v>
      </c>
      <c r="T405" s="3" t="s">
        <v>1311</v>
      </c>
      <c r="U405" s="3" t="s">
        <v>22</v>
      </c>
      <c r="V405" s="5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>
      <c r="A406" s="3" t="s">
        <v>14</v>
      </c>
      <c r="B406" s="3" t="s">
        <v>1312</v>
      </c>
      <c r="C406" s="3" t="s">
        <v>1313</v>
      </c>
      <c r="D406" s="3" t="s">
        <v>1314</v>
      </c>
      <c r="E406" s="3" t="s">
        <v>1315</v>
      </c>
      <c r="F406" s="3" t="s">
        <v>262</v>
      </c>
      <c r="G406" s="3" t="s">
        <v>1316</v>
      </c>
      <c r="H406" s="43">
        <f t="shared" ref="H406:I406" si="813">LEN(D406)-LEN(B406)+1</f>
        <v>2</v>
      </c>
      <c r="I406" s="43">
        <f t="shared" si="813"/>
        <v>2</v>
      </c>
      <c r="J406" s="4">
        <v>1.0</v>
      </c>
      <c r="K406" s="4">
        <v>1.0</v>
      </c>
      <c r="L406" s="5" t="str">
        <f t="shared" ref="L406:M406" si="814">IFS(J406="-", "-", J406=H406, "Final", J406=1, "Initial", J406&gt;1, "Medial")</f>
        <v>Initial</v>
      </c>
      <c r="M406" s="44" t="str">
        <f t="shared" si="814"/>
        <v>Initial</v>
      </c>
      <c r="N406" s="5" t="str">
        <f t="shared" si="5"/>
        <v>0</v>
      </c>
      <c r="O406" s="5" t="str">
        <f t="shared" si="6"/>
        <v>ˈse</v>
      </c>
      <c r="P406" s="5" t="str">
        <f t="shared" si="7"/>
        <v>0</v>
      </c>
      <c r="Q406" s="5" t="str">
        <f t="shared" si="8"/>
        <v>ˈseɾ</v>
      </c>
      <c r="R406" s="3"/>
      <c r="S406" s="3" t="s">
        <v>1317</v>
      </c>
      <c r="T406" s="3" t="s">
        <v>1318</v>
      </c>
      <c r="U406" s="3" t="s">
        <v>22</v>
      </c>
      <c r="V406" s="5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>
      <c r="A407" s="3" t="s">
        <v>14</v>
      </c>
      <c r="B407" s="3" t="s">
        <v>1312</v>
      </c>
      <c r="C407" s="3" t="s">
        <v>1313</v>
      </c>
      <c r="D407" s="3" t="s">
        <v>1314</v>
      </c>
      <c r="E407" s="3" t="s">
        <v>1315</v>
      </c>
      <c r="F407" s="3" t="s">
        <v>615</v>
      </c>
      <c r="G407" s="3" t="s">
        <v>1299</v>
      </c>
      <c r="H407" s="43">
        <f t="shared" ref="H407:I407" si="815">LEN(D407)-LEN(B407)+1</f>
        <v>2</v>
      </c>
      <c r="I407" s="43">
        <f t="shared" si="815"/>
        <v>2</v>
      </c>
      <c r="J407" s="4">
        <v>2.0</v>
      </c>
      <c r="K407" s="4">
        <v>2.0</v>
      </c>
      <c r="L407" s="5" t="str">
        <f t="shared" ref="L407:M407" si="816">IFS(J407="-", "-", J407=H407, "Final", J407=1, "Initial", J407&gt;1, "Medial")</f>
        <v>Final</v>
      </c>
      <c r="M407" s="44" t="str">
        <f t="shared" si="816"/>
        <v>Final</v>
      </c>
      <c r="N407" s="5" t="str">
        <f t="shared" si="5"/>
        <v>ke</v>
      </c>
      <c r="O407" s="5">
        <f t="shared" si="6"/>
        <v>2</v>
      </c>
      <c r="P407" s="5" t="str">
        <f t="shared" si="7"/>
        <v>kɾɨʃ</v>
      </c>
      <c r="Q407" s="5">
        <f t="shared" si="8"/>
        <v>2</v>
      </c>
      <c r="R407" s="3"/>
      <c r="S407" s="3" t="s">
        <v>1317</v>
      </c>
      <c r="T407" s="3" t="s">
        <v>1318</v>
      </c>
      <c r="U407" s="3" t="s">
        <v>22</v>
      </c>
      <c r="V407" s="5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>
      <c r="A408" s="15" t="s">
        <v>14</v>
      </c>
      <c r="B408" s="15" t="s">
        <v>411</v>
      </c>
      <c r="C408" s="15" t="s">
        <v>1319</v>
      </c>
      <c r="D408" s="15" t="s">
        <v>413</v>
      </c>
      <c r="E408" s="15" t="s">
        <v>1320</v>
      </c>
      <c r="F408" s="15"/>
      <c r="G408" s="15"/>
      <c r="H408" s="43">
        <f t="shared" ref="H408:I408" si="817">LEN(D408)-LEN(B408)+1</f>
        <v>2</v>
      </c>
      <c r="I408" s="43">
        <f t="shared" si="817"/>
        <v>2</v>
      </c>
      <c r="J408" s="18"/>
      <c r="K408" s="18"/>
      <c r="L408" s="5" t="str">
        <f t="shared" ref="L408:M408" si="818">IFS(J408="-", "-", J408=H408, "Final", J408=1, "Initial", J408&gt;1, "Medial")</f>
        <v>#N/A</v>
      </c>
      <c r="M408" s="44" t="str">
        <f t="shared" si="818"/>
        <v>#N/A</v>
      </c>
      <c r="N408" s="5" t="str">
        <f t="shared" si="5"/>
        <v>0</v>
      </c>
      <c r="O408" s="5" t="str">
        <f t="shared" si="6"/>
        <v/>
      </c>
      <c r="P408" s="5" t="str">
        <f t="shared" si="7"/>
        <v>0</v>
      </c>
      <c r="Q408" s="5" t="str">
        <f t="shared" si="8"/>
        <v/>
      </c>
      <c r="R408" s="15"/>
      <c r="S408" s="15" t="s">
        <v>1321</v>
      </c>
      <c r="T408" s="15" t="s">
        <v>1322</v>
      </c>
      <c r="U408" s="15" t="s">
        <v>22</v>
      </c>
      <c r="V408" s="15" t="s">
        <v>560</v>
      </c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</row>
    <row r="409">
      <c r="A409" s="15" t="s">
        <v>14</v>
      </c>
      <c r="B409" s="15" t="s">
        <v>1323</v>
      </c>
      <c r="C409" s="15" t="s">
        <v>1324</v>
      </c>
      <c r="D409" s="15" t="s">
        <v>1325</v>
      </c>
      <c r="E409" s="15" t="s">
        <v>1326</v>
      </c>
      <c r="F409" s="15" t="s">
        <v>36</v>
      </c>
      <c r="G409" s="15" t="s">
        <v>301</v>
      </c>
      <c r="H409" s="43">
        <f t="shared" ref="H409:I409" si="819">LEN(D409)-LEN(B409)+1</f>
        <v>2</v>
      </c>
      <c r="I409" s="43">
        <f t="shared" si="819"/>
        <v>3</v>
      </c>
      <c r="J409" s="18" t="s">
        <v>36</v>
      </c>
      <c r="K409" s="18">
        <v>1.0</v>
      </c>
      <c r="L409" s="5" t="str">
        <f t="shared" ref="L409:M409" si="820">IFS(J409="-", "-", J409=H409, "Final", J409=1, "Initial", J409&gt;1, "Medial")</f>
        <v>-</v>
      </c>
      <c r="M409" s="44" t="str">
        <f t="shared" si="820"/>
        <v>Initial</v>
      </c>
      <c r="N409" s="5" t="str">
        <f t="shared" si="5"/>
        <v>0</v>
      </c>
      <c r="O409" s="5" t="str">
        <f t="shared" si="6"/>
        <v>kõ</v>
      </c>
      <c r="P409" s="5" t="str">
        <f t="shared" si="7"/>
        <v>0</v>
      </c>
      <c r="Q409" s="5" t="str">
        <f t="shared" si="8"/>
        <v>kõ</v>
      </c>
      <c r="R409" s="15" t="s">
        <v>80</v>
      </c>
      <c r="S409" s="15" t="s">
        <v>1327</v>
      </c>
      <c r="T409" s="15" t="s">
        <v>1328</v>
      </c>
      <c r="U409" s="15" t="s">
        <v>22</v>
      </c>
      <c r="V409" s="20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</row>
    <row r="410">
      <c r="A410" s="15" t="s">
        <v>14</v>
      </c>
      <c r="B410" s="15" t="s">
        <v>1323</v>
      </c>
      <c r="C410" s="15" t="s">
        <v>1324</v>
      </c>
      <c r="D410" s="15" t="s">
        <v>1325</v>
      </c>
      <c r="E410" s="15" t="s">
        <v>1326</v>
      </c>
      <c r="F410" s="15" t="s">
        <v>1329</v>
      </c>
      <c r="G410" s="15" t="s">
        <v>1330</v>
      </c>
      <c r="H410" s="43">
        <f t="shared" ref="H410:I410" si="821">LEN(D410)-LEN(B410)+1</f>
        <v>2</v>
      </c>
      <c r="I410" s="43">
        <f t="shared" si="821"/>
        <v>3</v>
      </c>
      <c r="J410" s="18">
        <v>1.0</v>
      </c>
      <c r="K410" s="18">
        <v>2.0</v>
      </c>
      <c r="L410" s="5" t="str">
        <f t="shared" ref="L410:M410" si="822">IFS(J410="-", "-", J410=H410, "Final", J410=1, "Initial", J410&gt;1, "Medial")</f>
        <v>Initial</v>
      </c>
      <c r="M410" s="44" t="str">
        <f t="shared" si="822"/>
        <v>Medial</v>
      </c>
      <c r="N410" s="5" t="str">
        <f t="shared" si="5"/>
        <v>-</v>
      </c>
      <c r="O410" s="5" t="str">
        <f t="shared" si="6"/>
        <v>ˈde</v>
      </c>
      <c r="P410" s="5" t="str">
        <f t="shared" si="7"/>
        <v>ʃ</v>
      </c>
      <c r="Q410" s="5" t="str">
        <f t="shared" si="8"/>
        <v>ˈdeɾ</v>
      </c>
      <c r="R410" s="15"/>
      <c r="S410" s="15" t="s">
        <v>1327</v>
      </c>
      <c r="T410" s="15" t="s">
        <v>1328</v>
      </c>
      <c r="U410" s="15" t="s">
        <v>22</v>
      </c>
      <c r="V410" s="20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</row>
    <row r="411">
      <c r="A411" s="15" t="s">
        <v>14</v>
      </c>
      <c r="B411" s="15" t="s">
        <v>1323</v>
      </c>
      <c r="C411" s="15" t="s">
        <v>1324</v>
      </c>
      <c r="D411" s="15" t="s">
        <v>1325</v>
      </c>
      <c r="E411" s="15" t="s">
        <v>1326</v>
      </c>
      <c r="F411" s="15" t="s">
        <v>1331</v>
      </c>
      <c r="G411" s="15" t="s">
        <v>1181</v>
      </c>
      <c r="H411" s="43">
        <f t="shared" ref="H411:I411" si="823">LEN(D411)-LEN(B411)+1</f>
        <v>2</v>
      </c>
      <c r="I411" s="43">
        <f t="shared" si="823"/>
        <v>3</v>
      </c>
      <c r="J411" s="18">
        <v>2.0</v>
      </c>
      <c r="K411" s="18">
        <v>3.0</v>
      </c>
      <c r="L411" s="5" t="str">
        <f t="shared" ref="L411:M411" si="824">IFS(J411="-", "-", J411=H411, "Final", J411=1, "Initial", J411&gt;1, "Medial")</f>
        <v>Final</v>
      </c>
      <c r="M411" s="44" t="str">
        <f t="shared" si="824"/>
        <v>Final</v>
      </c>
      <c r="N411" s="5" t="str">
        <f t="shared" si="5"/>
        <v>kõ</v>
      </c>
      <c r="O411" s="5">
        <f t="shared" si="6"/>
        <v>2</v>
      </c>
      <c r="P411" s="5" t="str">
        <f t="shared" si="7"/>
        <v>kõ</v>
      </c>
      <c r="Q411" s="5">
        <f t="shared" si="8"/>
        <v>3</v>
      </c>
      <c r="R411" s="15"/>
      <c r="S411" s="15" t="s">
        <v>1327</v>
      </c>
      <c r="T411" s="15" t="s">
        <v>1328</v>
      </c>
      <c r="U411" s="15" t="s">
        <v>22</v>
      </c>
      <c r="V411" s="20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</row>
    <row r="412">
      <c r="A412" s="3" t="s">
        <v>14</v>
      </c>
      <c r="B412" s="3" t="s">
        <v>1332</v>
      </c>
      <c r="C412" s="3" t="s">
        <v>1333</v>
      </c>
      <c r="D412" s="3" t="s">
        <v>1334</v>
      </c>
      <c r="E412" s="3" t="s">
        <v>1335</v>
      </c>
      <c r="F412" s="3" t="s">
        <v>1336</v>
      </c>
      <c r="G412" s="3" t="s">
        <v>1113</v>
      </c>
      <c r="H412" s="43">
        <f t="shared" ref="H412:I412" si="825">LEN(D412)-LEN(B412)+1</f>
        <v>2</v>
      </c>
      <c r="I412" s="43">
        <f t="shared" si="825"/>
        <v>3</v>
      </c>
      <c r="J412" s="4">
        <v>1.0</v>
      </c>
      <c r="K412" s="4">
        <v>1.0</v>
      </c>
      <c r="L412" s="5" t="str">
        <f t="shared" ref="L412:M412" si="826">IFS(J412="-", "-", J412=H412, "Final", J412=1, "Initial", J412&gt;1, "Medial")</f>
        <v>Initial</v>
      </c>
      <c r="M412" s="44" t="str">
        <f t="shared" si="826"/>
        <v>Initial</v>
      </c>
      <c r="N412" s="5" t="str">
        <f t="shared" si="5"/>
        <v>0</v>
      </c>
      <c r="O412" s="5" t="str">
        <f t="shared" si="6"/>
        <v>-</v>
      </c>
      <c r="P412" s="5" t="str">
        <f t="shared" si="7"/>
        <v>0</v>
      </c>
      <c r="Q412" s="5" t="str">
        <f t="shared" si="8"/>
        <v>kõ</v>
      </c>
      <c r="R412" s="3" t="s">
        <v>80</v>
      </c>
      <c r="S412" s="3" t="s">
        <v>1337</v>
      </c>
      <c r="T412" s="3" t="s">
        <v>1338</v>
      </c>
      <c r="U412" s="3" t="s">
        <v>22</v>
      </c>
      <c r="V412" s="5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>
      <c r="A413" s="3" t="s">
        <v>14</v>
      </c>
      <c r="B413" s="3" t="s">
        <v>1332</v>
      </c>
      <c r="C413" s="3" t="s">
        <v>1333</v>
      </c>
      <c r="D413" s="3" t="s">
        <v>1334</v>
      </c>
      <c r="E413" s="3" t="s">
        <v>1335</v>
      </c>
      <c r="F413" s="3" t="s">
        <v>36</v>
      </c>
      <c r="G413" s="3" t="s">
        <v>1330</v>
      </c>
      <c r="H413" s="43">
        <f t="shared" ref="H413:I413" si="827">LEN(D413)-LEN(B413)+1</f>
        <v>2</v>
      </c>
      <c r="I413" s="43">
        <f t="shared" si="827"/>
        <v>3</v>
      </c>
      <c r="J413" s="4" t="s">
        <v>36</v>
      </c>
      <c r="K413" s="4">
        <v>2.0</v>
      </c>
      <c r="L413" s="5" t="str">
        <f t="shared" ref="L413:M413" si="828">IFS(J413="-", "-", J413=H413, "Final", J413=1, "Initial", J413&gt;1, "Medial")</f>
        <v>-</v>
      </c>
      <c r="M413" s="44" t="str">
        <f t="shared" si="828"/>
        <v>Medial</v>
      </c>
      <c r="N413" s="5" t="str">
        <f t="shared" si="5"/>
        <v>kɔ̃</v>
      </c>
      <c r="O413" s="5" t="str">
        <f t="shared" si="6"/>
        <v>ˈta</v>
      </c>
      <c r="P413" s="5" t="str">
        <f t="shared" si="7"/>
        <v>ẽ</v>
      </c>
      <c r="Q413" s="5" t="str">
        <f t="shared" si="8"/>
        <v>ˈtɾaɾ</v>
      </c>
      <c r="R413" s="3"/>
      <c r="S413" s="3" t="s">
        <v>1337</v>
      </c>
      <c r="T413" s="3" t="s">
        <v>1338</v>
      </c>
      <c r="U413" s="3" t="s">
        <v>22</v>
      </c>
      <c r="V413" s="5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>
      <c r="A414" s="3" t="s">
        <v>14</v>
      </c>
      <c r="B414" s="3" t="s">
        <v>1332</v>
      </c>
      <c r="C414" s="3" t="s">
        <v>1333</v>
      </c>
      <c r="D414" s="3" t="s">
        <v>1334</v>
      </c>
      <c r="E414" s="3" t="s">
        <v>1335</v>
      </c>
      <c r="F414" s="3" t="s">
        <v>1075</v>
      </c>
      <c r="G414" s="3" t="s">
        <v>1339</v>
      </c>
      <c r="H414" s="43">
        <f t="shared" ref="H414:I414" si="829">LEN(D414)-LEN(B414)+1</f>
        <v>2</v>
      </c>
      <c r="I414" s="43">
        <f t="shared" si="829"/>
        <v>3</v>
      </c>
      <c r="J414" s="4">
        <v>2.0</v>
      </c>
      <c r="K414" s="4">
        <v>3.0</v>
      </c>
      <c r="L414" s="5" t="str">
        <f t="shared" ref="L414:M414" si="830">IFS(J414="-", "-", J414=H414, "Final", J414=1, "Initial", J414&gt;1, "Medial")</f>
        <v>Final</v>
      </c>
      <c r="M414" s="44" t="str">
        <f t="shared" si="830"/>
        <v>Final</v>
      </c>
      <c r="N414" s="5" t="str">
        <f t="shared" si="5"/>
        <v>-</v>
      </c>
      <c r="O414" s="5">
        <f t="shared" si="6"/>
        <v>2</v>
      </c>
      <c r="P414" s="5" t="str">
        <f t="shared" si="7"/>
        <v>kõ</v>
      </c>
      <c r="Q414" s="5">
        <f t="shared" si="8"/>
        <v>3</v>
      </c>
      <c r="R414" s="3"/>
      <c r="S414" s="3" t="s">
        <v>1337</v>
      </c>
      <c r="T414" s="3" t="s">
        <v>1338</v>
      </c>
      <c r="U414" s="3" t="s">
        <v>22</v>
      </c>
      <c r="V414" s="5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>
      <c r="A415" s="3" t="s">
        <v>14</v>
      </c>
      <c r="B415" s="3" t="s">
        <v>1340</v>
      </c>
      <c r="C415" s="3" t="s">
        <v>1341</v>
      </c>
      <c r="D415" s="3" t="s">
        <v>1342</v>
      </c>
      <c r="E415" s="3" t="s">
        <v>1343</v>
      </c>
      <c r="F415" s="3" t="s">
        <v>419</v>
      </c>
      <c r="G415" s="3" t="s">
        <v>425</v>
      </c>
      <c r="H415" s="43">
        <f t="shared" ref="H415:I415" si="831">LEN(D415)-LEN(B415)+1</f>
        <v>2</v>
      </c>
      <c r="I415" s="43">
        <f t="shared" si="831"/>
        <v>2</v>
      </c>
      <c r="J415" s="4">
        <v>1.0</v>
      </c>
      <c r="K415" s="4">
        <v>1.0</v>
      </c>
      <c r="L415" s="5" t="str">
        <f t="shared" ref="L415:M415" si="832">IFS(J415="-", "-", J415=H415, "Final", J415=1, "Initial", J415&gt;1, "Medial")</f>
        <v>Initial</v>
      </c>
      <c r="M415" s="44" t="str">
        <f t="shared" si="832"/>
        <v>Initial</v>
      </c>
      <c r="N415" s="5" t="str">
        <f t="shared" si="5"/>
        <v>0</v>
      </c>
      <c r="O415" s="5" t="str">
        <f t="shared" si="6"/>
        <v>ˈre</v>
      </c>
      <c r="P415" s="5" t="str">
        <f t="shared" si="7"/>
        <v>0</v>
      </c>
      <c r="Q415" s="5" t="str">
        <f t="shared" si="8"/>
        <v>ʀeɾ</v>
      </c>
      <c r="R415" s="3"/>
      <c r="S415" s="3" t="s">
        <v>1344</v>
      </c>
      <c r="T415" s="3" t="s">
        <v>1345</v>
      </c>
      <c r="U415" s="3" t="s">
        <v>22</v>
      </c>
      <c r="V415" s="5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>
      <c r="A416" s="3" t="s">
        <v>14</v>
      </c>
      <c r="B416" s="3" t="s">
        <v>1340</v>
      </c>
      <c r="C416" s="3" t="s">
        <v>1341</v>
      </c>
      <c r="D416" s="3" t="s">
        <v>1342</v>
      </c>
      <c r="E416" s="3" t="s">
        <v>1343</v>
      </c>
      <c r="F416" s="3" t="s">
        <v>1346</v>
      </c>
      <c r="G416" s="8" t="s">
        <v>1347</v>
      </c>
      <c r="H416" s="43">
        <f t="shared" ref="H416:I416" si="833">LEN(D416)-LEN(B416)+1</f>
        <v>2</v>
      </c>
      <c r="I416" s="43">
        <f t="shared" si="833"/>
        <v>2</v>
      </c>
      <c r="J416" s="4">
        <v>2.0</v>
      </c>
      <c r="K416" s="4">
        <v>2.0</v>
      </c>
      <c r="L416" s="5" t="str">
        <f t="shared" ref="L416:M416" si="834">IFS(J416="-", "-", J416=H416, "Final", J416=1, "Initial", J416&gt;1, "Medial")</f>
        <v>Final</v>
      </c>
      <c r="M416" s="44" t="str">
        <f t="shared" si="834"/>
        <v>Final</v>
      </c>
      <c r="N416" s="5" t="str">
        <f t="shared" si="5"/>
        <v>ko</v>
      </c>
      <c r="O416" s="5">
        <f t="shared" si="6"/>
        <v>2</v>
      </c>
      <c r="P416" s="5" t="str">
        <f t="shared" si="7"/>
        <v>ku</v>
      </c>
      <c r="Q416" s="5">
        <f t="shared" si="8"/>
        <v>2</v>
      </c>
      <c r="R416" s="3"/>
      <c r="S416" s="3" t="s">
        <v>1344</v>
      </c>
      <c r="T416" s="3" t="s">
        <v>1345</v>
      </c>
      <c r="U416" s="3" t="s">
        <v>22</v>
      </c>
      <c r="V416" s="5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>
      <c r="A417" s="3" t="s">
        <v>14</v>
      </c>
      <c r="B417" s="3" t="s">
        <v>1348</v>
      </c>
      <c r="C417" s="3" t="s">
        <v>1349</v>
      </c>
      <c r="D417" s="3" t="s">
        <v>1350</v>
      </c>
      <c r="E417" s="3" t="s">
        <v>1351</v>
      </c>
      <c r="F417" s="3" t="s">
        <v>174</v>
      </c>
      <c r="G417" s="3" t="s">
        <v>1352</v>
      </c>
      <c r="H417" s="43">
        <f t="shared" ref="H417:I417" si="835">LEN(D417)-LEN(B417)+1</f>
        <v>2</v>
      </c>
      <c r="I417" s="43">
        <f t="shared" si="835"/>
        <v>2</v>
      </c>
      <c r="J417" s="4">
        <v>1.0</v>
      </c>
      <c r="K417" s="4">
        <v>1.0</v>
      </c>
      <c r="L417" s="5" t="str">
        <f t="shared" ref="L417:M417" si="836">IFS(J417="-", "-", J417=H417, "Final", J417=1, "Initial", J417&gt;1, "Medial")</f>
        <v>Initial</v>
      </c>
      <c r="M417" s="44" t="str">
        <f t="shared" si="836"/>
        <v>Initial</v>
      </c>
      <c r="N417" s="5" t="str">
        <f t="shared" si="5"/>
        <v>0</v>
      </c>
      <c r="O417" s="5" t="str">
        <f t="shared" si="6"/>
        <v>ˈta</v>
      </c>
      <c r="P417" s="5" t="str">
        <f t="shared" si="7"/>
        <v>0</v>
      </c>
      <c r="Q417" s="5" t="str">
        <f t="shared" si="8"/>
        <v>ˈtaɾ</v>
      </c>
      <c r="R417" s="3"/>
      <c r="S417" s="3" t="s">
        <v>1353</v>
      </c>
      <c r="T417" s="3" t="s">
        <v>1354</v>
      </c>
      <c r="U417" s="3" t="s">
        <v>22</v>
      </c>
      <c r="V417" s="5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>
      <c r="A418" s="3" t="s">
        <v>14</v>
      </c>
      <c r="B418" s="3" t="s">
        <v>1348</v>
      </c>
      <c r="C418" s="3" t="s">
        <v>1349</v>
      </c>
      <c r="D418" s="3" t="s">
        <v>1350</v>
      </c>
      <c r="E418" s="3" t="s">
        <v>1351</v>
      </c>
      <c r="F418" s="3" t="s">
        <v>1075</v>
      </c>
      <c r="G418" s="3" t="s">
        <v>1076</v>
      </c>
      <c r="H418" s="43">
        <f t="shared" ref="H418:I418" si="837">LEN(D418)-LEN(B418)+1</f>
        <v>2</v>
      </c>
      <c r="I418" s="43">
        <f t="shared" si="837"/>
        <v>2</v>
      </c>
      <c r="J418" s="4">
        <v>2.0</v>
      </c>
      <c r="K418" s="4">
        <v>2.0</v>
      </c>
      <c r="L418" s="5" t="str">
        <f t="shared" ref="L418:M418" si="838">IFS(J418="-", "-", J418=H418, "Final", J418=1, "Initial", J418&gt;1, "Medial")</f>
        <v>Final</v>
      </c>
      <c r="M418" s="44" t="str">
        <f t="shared" si="838"/>
        <v>Final</v>
      </c>
      <c r="N418" s="5" t="str">
        <f t="shared" si="5"/>
        <v>kɔ</v>
      </c>
      <c r="O418" s="5">
        <f t="shared" si="6"/>
        <v>2</v>
      </c>
      <c r="P418" s="5" t="str">
        <f t="shared" si="7"/>
        <v>kuɾ</v>
      </c>
      <c r="Q418" s="5">
        <f t="shared" si="8"/>
        <v>2</v>
      </c>
      <c r="R418" s="3"/>
      <c r="S418" s="3" t="s">
        <v>1353</v>
      </c>
      <c r="T418" s="3" t="s">
        <v>1354</v>
      </c>
      <c r="U418" s="3" t="s">
        <v>22</v>
      </c>
      <c r="V418" s="5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>
      <c r="A419" s="3" t="s">
        <v>14</v>
      </c>
      <c r="B419" s="3" t="s">
        <v>1355</v>
      </c>
      <c r="C419" s="3" t="s">
        <v>1356</v>
      </c>
      <c r="D419" s="3" t="s">
        <v>1357</v>
      </c>
      <c r="E419" s="3" t="s">
        <v>1358</v>
      </c>
      <c r="F419" s="3" t="s">
        <v>174</v>
      </c>
      <c r="G419" s="3" t="s">
        <v>425</v>
      </c>
      <c r="H419" s="43">
        <f t="shared" ref="H419:I419" si="839">LEN(D419)-LEN(B419)+1</f>
        <v>2</v>
      </c>
      <c r="I419" s="43">
        <f t="shared" si="839"/>
        <v>2</v>
      </c>
      <c r="J419" s="4">
        <v>1.0</v>
      </c>
      <c r="K419" s="4">
        <v>1.0</v>
      </c>
      <c r="L419" s="5" t="str">
        <f t="shared" ref="L419:M419" si="840">IFS(J419="-", "-", J419=H419, "Final", J419=1, "Initial", J419&gt;1, "Medial")</f>
        <v>Initial</v>
      </c>
      <c r="M419" s="44" t="str">
        <f t="shared" si="840"/>
        <v>Initial</v>
      </c>
      <c r="N419" s="5" t="str">
        <f t="shared" si="5"/>
        <v>0</v>
      </c>
      <c r="O419" s="5" t="str">
        <f t="shared" si="6"/>
        <v>ˈsa</v>
      </c>
      <c r="P419" s="5" t="str">
        <f t="shared" si="7"/>
        <v>0</v>
      </c>
      <c r="Q419" s="5" t="str">
        <f t="shared" si="8"/>
        <v>ˈsaɾ</v>
      </c>
      <c r="R419" s="3"/>
      <c r="S419" s="3" t="s">
        <v>1359</v>
      </c>
      <c r="T419" s="3" t="s">
        <v>1360</v>
      </c>
      <c r="U419" s="3" t="s">
        <v>22</v>
      </c>
      <c r="V419" s="5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>
      <c r="A420" s="3" t="s">
        <v>14</v>
      </c>
      <c r="B420" s="3" t="s">
        <v>1355</v>
      </c>
      <c r="C420" s="3" t="s">
        <v>1356</v>
      </c>
      <c r="D420" s="3" t="s">
        <v>1357</v>
      </c>
      <c r="E420" s="3" t="s">
        <v>1358</v>
      </c>
      <c r="F420" s="3" t="s">
        <v>1032</v>
      </c>
      <c r="G420" s="3" t="s">
        <v>1129</v>
      </c>
      <c r="H420" s="43">
        <f t="shared" ref="H420:I420" si="841">LEN(D420)-LEN(B420)+1</f>
        <v>2</v>
      </c>
      <c r="I420" s="43">
        <f t="shared" si="841"/>
        <v>2</v>
      </c>
      <c r="J420" s="4">
        <v>2.0</v>
      </c>
      <c r="K420" s="4">
        <v>2.0</v>
      </c>
      <c r="L420" s="5" t="str">
        <f t="shared" ref="L420:M420" si="842">IFS(J420="-", "-", J420=H420, "Final", J420=1, "Initial", J420&gt;1, "Medial")</f>
        <v>Final</v>
      </c>
      <c r="M420" s="44" t="str">
        <f t="shared" si="842"/>
        <v>Final</v>
      </c>
      <c r="N420" s="5" t="str">
        <f t="shared" si="5"/>
        <v>kɔ</v>
      </c>
      <c r="O420" s="5">
        <f t="shared" si="6"/>
        <v>2</v>
      </c>
      <c r="P420" s="5" t="str">
        <f t="shared" si="7"/>
        <v>ku</v>
      </c>
      <c r="Q420" s="5">
        <f t="shared" si="8"/>
        <v>2</v>
      </c>
      <c r="R420" s="3"/>
      <c r="S420" s="3" t="s">
        <v>1359</v>
      </c>
      <c r="T420" s="3" t="s">
        <v>1360</v>
      </c>
      <c r="U420" s="3" t="s">
        <v>22</v>
      </c>
      <c r="V420" s="5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>
      <c r="A421" s="3" t="s">
        <v>14</v>
      </c>
      <c r="B421" s="3" t="s">
        <v>1361</v>
      </c>
      <c r="C421" s="3" t="s">
        <v>1362</v>
      </c>
      <c r="D421" s="3" t="s">
        <v>1363</v>
      </c>
      <c r="E421" s="3" t="s">
        <v>1364</v>
      </c>
      <c r="F421" s="3" t="s">
        <v>419</v>
      </c>
      <c r="G421" s="3" t="s">
        <v>425</v>
      </c>
      <c r="H421" s="43">
        <f t="shared" ref="H421:I421" si="843">LEN(D421)-LEN(B421)+1</f>
        <v>2</v>
      </c>
      <c r="I421" s="43">
        <f t="shared" si="843"/>
        <v>2</v>
      </c>
      <c r="J421" s="4">
        <v>1.0</v>
      </c>
      <c r="K421" s="4">
        <v>1.0</v>
      </c>
      <c r="L421" s="5" t="str">
        <f t="shared" ref="L421:M421" si="844">IFS(J421="-", "-", J421=H421, "Final", J421=1, "Initial", J421&gt;1, "Medial")</f>
        <v>Initial</v>
      </c>
      <c r="M421" s="44" t="str">
        <f t="shared" si="844"/>
        <v>Initial</v>
      </c>
      <c r="N421" s="5" t="str">
        <f t="shared" si="5"/>
        <v>0</v>
      </c>
      <c r="O421" s="5" t="str">
        <f t="shared" si="6"/>
        <v>ˈze</v>
      </c>
      <c r="P421" s="5" t="str">
        <f t="shared" si="7"/>
        <v>0</v>
      </c>
      <c r="Q421" s="5" t="str">
        <f t="shared" si="8"/>
        <v>ˈzeɾ</v>
      </c>
      <c r="R421" s="3"/>
      <c r="S421" s="3" t="s">
        <v>1365</v>
      </c>
      <c r="T421" s="3" t="s">
        <v>1366</v>
      </c>
      <c r="U421" s="3" t="s">
        <v>22</v>
      </c>
      <c r="V421" s="5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>
      <c r="A422" s="3" t="s">
        <v>14</v>
      </c>
      <c r="B422" s="3" t="s">
        <v>1361</v>
      </c>
      <c r="C422" s="3" t="s">
        <v>1362</v>
      </c>
      <c r="D422" s="3" t="s">
        <v>1363</v>
      </c>
      <c r="E422" s="3" t="s">
        <v>1364</v>
      </c>
      <c r="F422" s="3" t="s">
        <v>290</v>
      </c>
      <c r="G422" s="3" t="s">
        <v>1367</v>
      </c>
      <c r="H422" s="43">
        <f t="shared" ref="H422:I422" si="845">LEN(D422)-LEN(B422)+1</f>
        <v>2</v>
      </c>
      <c r="I422" s="43">
        <f t="shared" si="845"/>
        <v>2</v>
      </c>
      <c r="J422" s="4">
        <v>2.0</v>
      </c>
      <c r="K422" s="4">
        <v>2.0</v>
      </c>
      <c r="L422" s="5" t="str">
        <f t="shared" ref="L422:M422" si="846">IFS(J422="-", "-", J422=H422, "Final", J422=1, "Initial", J422&gt;1, "Medial")</f>
        <v>Final</v>
      </c>
      <c r="M422" s="44" t="str">
        <f t="shared" si="846"/>
        <v>Final</v>
      </c>
      <c r="N422" s="5" t="str">
        <f t="shared" si="5"/>
        <v>ko</v>
      </c>
      <c r="O422" s="5">
        <f t="shared" si="6"/>
        <v>2</v>
      </c>
      <c r="P422" s="5" t="str">
        <f t="shared" si="7"/>
        <v>ku</v>
      </c>
      <c r="Q422" s="5">
        <f t="shared" si="8"/>
        <v>2</v>
      </c>
      <c r="R422" s="3"/>
      <c r="S422" s="3" t="s">
        <v>1365</v>
      </c>
      <c r="T422" s="3" t="s">
        <v>1366</v>
      </c>
      <c r="U422" s="3" t="s">
        <v>22</v>
      </c>
      <c r="V422" s="5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>
      <c r="A423" s="3" t="s">
        <v>14</v>
      </c>
      <c r="B423" s="3" t="s">
        <v>1368</v>
      </c>
      <c r="C423" s="3" t="s">
        <v>1369</v>
      </c>
      <c r="D423" s="3" t="s">
        <v>1370</v>
      </c>
      <c r="E423" s="3" t="s">
        <v>1371</v>
      </c>
      <c r="F423" s="3" t="s">
        <v>425</v>
      </c>
      <c r="G423" s="3" t="s">
        <v>425</v>
      </c>
      <c r="H423" s="43">
        <f t="shared" ref="H423:I423" si="847">LEN(D423)-LEN(B423)+1</f>
        <v>2</v>
      </c>
      <c r="I423" s="43">
        <f t="shared" si="847"/>
        <v>2</v>
      </c>
      <c r="J423" s="4">
        <v>1.0</v>
      </c>
      <c r="K423" s="4">
        <v>1.0</v>
      </c>
      <c r="L423" s="5" t="str">
        <f t="shared" ref="L423:M423" si="848">IFS(J423="-", "-", J423=H423, "Final", J423=1, "Initial", J423&gt;1, "Medial")</f>
        <v>Initial</v>
      </c>
      <c r="M423" s="44" t="str">
        <f t="shared" si="848"/>
        <v>Initial</v>
      </c>
      <c r="N423" s="5" t="str">
        <f t="shared" si="5"/>
        <v>0</v>
      </c>
      <c r="O423" s="5" t="str">
        <f t="shared" si="6"/>
        <v>ˈbi</v>
      </c>
      <c r="P423" s="5" t="str">
        <f t="shared" si="7"/>
        <v>0</v>
      </c>
      <c r="Q423" s="5" t="str">
        <f t="shared" si="8"/>
        <v>ˈbɾiɾ</v>
      </c>
      <c r="R423" s="3"/>
      <c r="S423" s="3" t="s">
        <v>1372</v>
      </c>
      <c r="T423" s="3" t="s">
        <v>1373</v>
      </c>
      <c r="U423" s="3" t="s">
        <v>22</v>
      </c>
      <c r="V423" s="5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>
      <c r="A424" s="3" t="s">
        <v>14</v>
      </c>
      <c r="B424" s="3" t="s">
        <v>1368</v>
      </c>
      <c r="C424" s="3" t="s">
        <v>1369</v>
      </c>
      <c r="D424" s="3" t="s">
        <v>1370</v>
      </c>
      <c r="E424" s="3" t="s">
        <v>1371</v>
      </c>
      <c r="F424" s="3" t="s">
        <v>466</v>
      </c>
      <c r="G424" s="3" t="s">
        <v>1081</v>
      </c>
      <c r="H424" s="43">
        <f t="shared" ref="H424:I424" si="849">LEN(D424)-LEN(B424)+1</f>
        <v>2</v>
      </c>
      <c r="I424" s="43">
        <f t="shared" si="849"/>
        <v>2</v>
      </c>
      <c r="J424" s="4">
        <v>2.0</v>
      </c>
      <c r="K424" s="4">
        <v>2.0</v>
      </c>
      <c r="L424" s="5" t="str">
        <f t="shared" ref="L424:M424" si="850">IFS(J424="-", "-", J424=H424, "Final", J424=1, "Initial", J424&gt;1, "Medial")</f>
        <v>Final</v>
      </c>
      <c r="M424" s="44" t="str">
        <f t="shared" si="850"/>
        <v>Final</v>
      </c>
      <c r="N424" s="5" t="str">
        <f t="shared" si="5"/>
        <v>ku</v>
      </c>
      <c r="O424" s="5">
        <f t="shared" si="6"/>
        <v>2</v>
      </c>
      <c r="P424" s="5" t="str">
        <f t="shared" si="7"/>
        <v>ku</v>
      </c>
      <c r="Q424" s="5">
        <f t="shared" si="8"/>
        <v>2</v>
      </c>
      <c r="R424" s="3"/>
      <c r="S424" s="3" t="s">
        <v>1372</v>
      </c>
      <c r="T424" s="3" t="s">
        <v>1373</v>
      </c>
      <c r="U424" s="3" t="s">
        <v>22</v>
      </c>
      <c r="V424" s="5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>
      <c r="A425" s="3" t="s">
        <v>14</v>
      </c>
      <c r="B425" s="3" t="s">
        <v>1374</v>
      </c>
      <c r="C425" s="3" t="s">
        <v>1375</v>
      </c>
      <c r="D425" s="3" t="s">
        <v>1376</v>
      </c>
      <c r="E425" s="3" t="s">
        <v>1377</v>
      </c>
      <c r="F425" s="3" t="s">
        <v>425</v>
      </c>
      <c r="G425" s="3" t="s">
        <v>1378</v>
      </c>
      <c r="H425" s="43">
        <f t="shared" ref="H425:I425" si="851">LEN(D425)-LEN(B425)+1</f>
        <v>2</v>
      </c>
      <c r="I425" s="43">
        <f t="shared" si="851"/>
        <v>2</v>
      </c>
      <c r="J425" s="4">
        <v>1.0</v>
      </c>
      <c r="K425" s="4">
        <v>1.0</v>
      </c>
      <c r="L425" s="5" t="str">
        <f t="shared" ref="L425:M425" si="852">IFS(J425="-", "-", J425=H425, "Final", J425=1, "Initial", J425&gt;1, "Medial")</f>
        <v>Initial</v>
      </c>
      <c r="M425" s="44" t="str">
        <f t="shared" si="852"/>
        <v>Initial</v>
      </c>
      <c r="N425" s="5" t="str">
        <f t="shared" si="5"/>
        <v>0</v>
      </c>
      <c r="O425" s="5" t="str">
        <f t="shared" si="6"/>
        <v>ˈda</v>
      </c>
      <c r="P425" s="5" t="str">
        <f t="shared" si="7"/>
        <v>0</v>
      </c>
      <c r="Q425" s="5" t="str">
        <f t="shared" si="8"/>
        <v>ˈdaɾ</v>
      </c>
      <c r="R425" s="3"/>
      <c r="S425" s="3" t="s">
        <v>1379</v>
      </c>
      <c r="T425" s="3" t="s">
        <v>1380</v>
      </c>
      <c r="U425" s="3" t="s">
        <v>22</v>
      </c>
      <c r="V425" s="5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>
      <c r="A426" s="3" t="s">
        <v>14</v>
      </c>
      <c r="B426" s="3" t="s">
        <v>1374</v>
      </c>
      <c r="C426" s="3" t="s">
        <v>1375</v>
      </c>
      <c r="D426" s="3" t="s">
        <v>1376</v>
      </c>
      <c r="E426" s="3" t="s">
        <v>1377</v>
      </c>
      <c r="F426" s="3" t="s">
        <v>1118</v>
      </c>
      <c r="G426" s="3" t="s">
        <v>1119</v>
      </c>
      <c r="H426" s="43">
        <f t="shared" ref="H426:I426" si="853">LEN(D426)-LEN(B426)+1</f>
        <v>2</v>
      </c>
      <c r="I426" s="43">
        <f t="shared" si="853"/>
        <v>2</v>
      </c>
      <c r="J426" s="4">
        <v>2.0</v>
      </c>
      <c r="K426" s="4">
        <v>2.0</v>
      </c>
      <c r="L426" s="5" t="str">
        <f t="shared" ref="L426:M426" si="854">IFS(J426="-", "-", J426=H426, "Final", J426=1, "Initial", J426&gt;1, "Medial")</f>
        <v>Final</v>
      </c>
      <c r="M426" s="44" t="str">
        <f t="shared" si="854"/>
        <v>Final</v>
      </c>
      <c r="N426" s="5" t="str">
        <f t="shared" si="5"/>
        <v>ku</v>
      </c>
      <c r="O426" s="5">
        <f t="shared" si="6"/>
        <v>2</v>
      </c>
      <c r="P426" s="5" t="str">
        <f t="shared" si="7"/>
        <v>kuj</v>
      </c>
      <c r="Q426" s="5">
        <f t="shared" si="8"/>
        <v>2</v>
      </c>
      <c r="R426" s="3"/>
      <c r="S426" s="3" t="s">
        <v>1379</v>
      </c>
      <c r="T426" s="3" t="s">
        <v>1380</v>
      </c>
      <c r="U426" s="3" t="s">
        <v>22</v>
      </c>
      <c r="V426" s="5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>
      <c r="A427" s="15" t="s">
        <v>14</v>
      </c>
      <c r="B427" s="15" t="s">
        <v>1381</v>
      </c>
      <c r="C427" s="15" t="s">
        <v>1382</v>
      </c>
      <c r="D427" s="15" t="s">
        <v>1383</v>
      </c>
      <c r="E427" s="15" t="s">
        <v>1384</v>
      </c>
      <c r="F427" s="15" t="s">
        <v>36</v>
      </c>
      <c r="G427" s="15" t="s">
        <v>49</v>
      </c>
      <c r="H427" s="43">
        <f t="shared" ref="H427:I427" si="855">LEN(D427)-LEN(B427)+1</f>
        <v>2</v>
      </c>
      <c r="I427" s="43">
        <f t="shared" si="855"/>
        <v>3</v>
      </c>
      <c r="J427" s="18" t="s">
        <v>36</v>
      </c>
      <c r="K427" s="18">
        <v>1.0</v>
      </c>
      <c r="L427" s="5" t="str">
        <f t="shared" ref="L427:M427" si="856">IFS(J427="-", "-", J427=H427, "Final", J427=1, "Initial", J427&gt;1, "Medial")</f>
        <v>-</v>
      </c>
      <c r="M427" s="44" t="str">
        <f t="shared" si="856"/>
        <v>Initial</v>
      </c>
      <c r="N427" s="5" t="str">
        <f t="shared" si="5"/>
        <v>0</v>
      </c>
      <c r="O427" s="5" t="str">
        <f t="shared" si="6"/>
        <v>ku</v>
      </c>
      <c r="P427" s="5" t="str">
        <f t="shared" si="7"/>
        <v>0</v>
      </c>
      <c r="Q427" s="5" t="str">
        <f t="shared" si="8"/>
        <v>ku</v>
      </c>
      <c r="R427" s="15" t="s">
        <v>80</v>
      </c>
      <c r="S427" s="15" t="s">
        <v>1385</v>
      </c>
      <c r="T427" s="15" t="s">
        <v>1386</v>
      </c>
      <c r="U427" s="15" t="s">
        <v>22</v>
      </c>
      <c r="V427" s="20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</row>
    <row r="428">
      <c r="A428" s="15" t="s">
        <v>14</v>
      </c>
      <c r="B428" s="15" t="s">
        <v>1381</v>
      </c>
      <c r="C428" s="15" t="s">
        <v>1382</v>
      </c>
      <c r="D428" s="15" t="s">
        <v>1383</v>
      </c>
      <c r="E428" s="15" t="s">
        <v>1384</v>
      </c>
      <c r="F428" s="15" t="s">
        <v>425</v>
      </c>
      <c r="G428" s="15" t="s">
        <v>425</v>
      </c>
      <c r="H428" s="43">
        <f t="shared" ref="H428:I428" si="857">LEN(D428)-LEN(B428)+1</f>
        <v>2</v>
      </c>
      <c r="I428" s="43">
        <f t="shared" si="857"/>
        <v>3</v>
      </c>
      <c r="J428" s="18">
        <v>1.0</v>
      </c>
      <c r="K428" s="18">
        <v>2.0</v>
      </c>
      <c r="L428" s="5" t="str">
        <f t="shared" ref="L428:M428" si="858">IFS(J428="-", "-", J428=H428, "Final", J428=1, "Initial", J428&gt;1, "Medial")</f>
        <v>Initial</v>
      </c>
      <c r="M428" s="44" t="str">
        <f t="shared" si="858"/>
        <v>Medial</v>
      </c>
      <c r="N428" s="5" t="str">
        <f t="shared" si="5"/>
        <v>-</v>
      </c>
      <c r="O428" s="5" t="str">
        <f t="shared" si="6"/>
        <v>ˈdi</v>
      </c>
      <c r="P428" s="5" t="str">
        <f t="shared" si="7"/>
        <v>ɐ</v>
      </c>
      <c r="Q428" s="5" t="str">
        <f t="shared" si="8"/>
        <v>ˈdiɾ</v>
      </c>
      <c r="R428" s="15"/>
      <c r="S428" s="15" t="s">
        <v>1385</v>
      </c>
      <c r="T428" s="15" t="s">
        <v>1386</v>
      </c>
      <c r="U428" s="15" t="s">
        <v>22</v>
      </c>
      <c r="V428" s="20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</row>
    <row r="429">
      <c r="A429" s="15" t="s">
        <v>14</v>
      </c>
      <c r="B429" s="15" t="s">
        <v>1381</v>
      </c>
      <c r="C429" s="15" t="s">
        <v>1382</v>
      </c>
      <c r="D429" s="15" t="s">
        <v>1383</v>
      </c>
      <c r="E429" s="15" t="s">
        <v>1384</v>
      </c>
      <c r="F429" s="15" t="s">
        <v>1387</v>
      </c>
      <c r="G429" s="15" t="s">
        <v>1388</v>
      </c>
      <c r="H429" s="43">
        <f t="shared" ref="H429:I429" si="859">LEN(D429)-LEN(B429)+1</f>
        <v>2</v>
      </c>
      <c r="I429" s="43">
        <f t="shared" si="859"/>
        <v>3</v>
      </c>
      <c r="J429" s="18">
        <v>2.0</v>
      </c>
      <c r="K429" s="18">
        <v>3.0</v>
      </c>
      <c r="L429" s="5" t="str">
        <f t="shared" ref="L429:M429" si="860">IFS(J429="-", "-", J429=H429, "Final", J429=1, "Initial", J429&gt;1, "Medial")</f>
        <v>Final</v>
      </c>
      <c r="M429" s="44" t="str">
        <f t="shared" si="860"/>
        <v>Final</v>
      </c>
      <c r="N429" s="5" t="str">
        <f t="shared" si="5"/>
        <v>ku</v>
      </c>
      <c r="O429" s="5">
        <f t="shared" si="6"/>
        <v>2</v>
      </c>
      <c r="P429" s="5" t="str">
        <f t="shared" si="7"/>
        <v>ku</v>
      </c>
      <c r="Q429" s="5">
        <f t="shared" si="8"/>
        <v>3</v>
      </c>
      <c r="R429" s="15"/>
      <c r="S429" s="15" t="s">
        <v>1385</v>
      </c>
      <c r="T429" s="15" t="s">
        <v>1386</v>
      </c>
      <c r="U429" s="15" t="s">
        <v>22</v>
      </c>
      <c r="V429" s="20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</row>
    <row r="430">
      <c r="A430" s="3" t="s">
        <v>14</v>
      </c>
      <c r="B430" s="3" t="s">
        <v>1389</v>
      </c>
      <c r="C430" s="3" t="s">
        <v>1390</v>
      </c>
      <c r="D430" s="3" t="s">
        <v>1391</v>
      </c>
      <c r="E430" s="3" t="s">
        <v>1392</v>
      </c>
      <c r="F430" s="3" t="s">
        <v>425</v>
      </c>
      <c r="G430" s="3" t="s">
        <v>1393</v>
      </c>
      <c r="H430" s="43">
        <f t="shared" ref="H430:I430" si="861">LEN(D430)-LEN(B430)+1</f>
        <v>2</v>
      </c>
      <c r="I430" s="43">
        <f t="shared" si="861"/>
        <v>2</v>
      </c>
      <c r="J430" s="4">
        <v>1.0</v>
      </c>
      <c r="K430" s="4">
        <v>1.0</v>
      </c>
      <c r="L430" s="5" t="str">
        <f t="shared" ref="L430:M430" si="862">IFS(J430="-", "-", J430=H430, "Final", J430=1, "Initial", J430&gt;1, "Medial")</f>
        <v>Initial</v>
      </c>
      <c r="M430" s="44" t="str">
        <f t="shared" si="862"/>
        <v>Initial</v>
      </c>
      <c r="N430" s="5" t="str">
        <f t="shared" si="5"/>
        <v>0</v>
      </c>
      <c r="O430" s="5" t="str">
        <f t="shared" si="6"/>
        <v>ˈpa</v>
      </c>
      <c r="P430" s="5" t="str">
        <f t="shared" si="7"/>
        <v>0</v>
      </c>
      <c r="Q430" s="5" t="str">
        <f t="shared" si="8"/>
        <v>ˈpaɾ</v>
      </c>
      <c r="R430" s="3"/>
      <c r="S430" s="3" t="s">
        <v>1394</v>
      </c>
      <c r="T430" s="3" t="s">
        <v>1395</v>
      </c>
      <c r="U430" s="3" t="s">
        <v>22</v>
      </c>
      <c r="V430" s="5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>
      <c r="A431" s="3" t="s">
        <v>14</v>
      </c>
      <c r="B431" s="3" t="s">
        <v>1389</v>
      </c>
      <c r="C431" s="3" t="s">
        <v>1390</v>
      </c>
      <c r="D431" s="3" t="s">
        <v>1391</v>
      </c>
      <c r="E431" s="3" t="s">
        <v>1392</v>
      </c>
      <c r="F431" s="3" t="s">
        <v>1396</v>
      </c>
      <c r="G431" s="3" t="s">
        <v>1397</v>
      </c>
      <c r="H431" s="43">
        <f t="shared" ref="H431:I431" si="863">LEN(D431)-LEN(B431)+1</f>
        <v>2</v>
      </c>
      <c r="I431" s="43">
        <f t="shared" si="863"/>
        <v>2</v>
      </c>
      <c r="J431" s="4">
        <v>2.0</v>
      </c>
      <c r="K431" s="4">
        <v>2.0</v>
      </c>
      <c r="L431" s="5" t="str">
        <f t="shared" ref="L431:M431" si="864">IFS(J431="-", "-", J431=H431, "Final", J431=1, "Initial", J431&gt;1, "Medial")</f>
        <v>Final</v>
      </c>
      <c r="M431" s="44" t="str">
        <f t="shared" si="864"/>
        <v>Final</v>
      </c>
      <c r="N431" s="5" t="str">
        <f t="shared" si="5"/>
        <v>ku</v>
      </c>
      <c r="O431" s="5">
        <f t="shared" si="6"/>
        <v>2</v>
      </c>
      <c r="P431" s="5" t="str">
        <f t="shared" si="7"/>
        <v>kul</v>
      </c>
      <c r="Q431" s="5">
        <f t="shared" si="8"/>
        <v>2</v>
      </c>
      <c r="R431" s="3"/>
      <c r="S431" s="3" t="s">
        <v>1394</v>
      </c>
      <c r="T431" s="3" t="s">
        <v>1395</v>
      </c>
      <c r="U431" s="3" t="s">
        <v>22</v>
      </c>
      <c r="V431" s="5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>
      <c r="A432" s="3" t="s">
        <v>14</v>
      </c>
      <c r="B432" s="3" t="s">
        <v>1398</v>
      </c>
      <c r="C432" s="3" t="s">
        <v>1399</v>
      </c>
      <c r="D432" s="3" t="s">
        <v>1400</v>
      </c>
      <c r="E432" s="3" t="s">
        <v>1401</v>
      </c>
      <c r="F432" s="3" t="s">
        <v>425</v>
      </c>
      <c r="G432" s="3" t="s">
        <v>425</v>
      </c>
      <c r="H432" s="43">
        <f t="shared" ref="H432:I432" si="865">LEN(D432)-LEN(B432)+1</f>
        <v>2</v>
      </c>
      <c r="I432" s="43">
        <f t="shared" si="865"/>
        <v>2</v>
      </c>
      <c r="J432" s="4">
        <v>1.0</v>
      </c>
      <c r="K432" s="4">
        <v>1.0</v>
      </c>
      <c r="L432" s="5" t="str">
        <f t="shared" ref="L432:M432" si="866">IFS(J432="-", "-", J432=H432, "Final", J432=1, "Initial", J432&gt;1, "Medial")</f>
        <v>Initial</v>
      </c>
      <c r="M432" s="44" t="str">
        <f t="shared" si="866"/>
        <v>Initial</v>
      </c>
      <c r="N432" s="5" t="str">
        <f t="shared" si="5"/>
        <v>0</v>
      </c>
      <c r="O432" s="5" t="str">
        <f t="shared" si="6"/>
        <v>ˈmɛ</v>
      </c>
      <c r="P432" s="5" t="str">
        <f t="shared" si="7"/>
        <v>0</v>
      </c>
      <c r="Q432" s="5" t="str">
        <f t="shared" si="8"/>
        <v>ˈmeɾ</v>
      </c>
      <c r="R432" s="3"/>
      <c r="S432" s="3" t="s">
        <v>1402</v>
      </c>
      <c r="T432" s="3" t="s">
        <v>1403</v>
      </c>
      <c r="U432" s="3" t="s">
        <v>22</v>
      </c>
      <c r="V432" s="5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>
      <c r="A433" s="3" t="s">
        <v>14</v>
      </c>
      <c r="B433" s="3" t="s">
        <v>1398</v>
      </c>
      <c r="C433" s="3" t="s">
        <v>1399</v>
      </c>
      <c r="D433" s="3" t="s">
        <v>1400</v>
      </c>
      <c r="E433" s="3" t="s">
        <v>1401</v>
      </c>
      <c r="F433" s="3" t="s">
        <v>194</v>
      </c>
      <c r="G433" s="3" t="s">
        <v>1404</v>
      </c>
      <c r="H433" s="43">
        <f t="shared" ref="H433:I433" si="867">LEN(D433)-LEN(B433)+1</f>
        <v>2</v>
      </c>
      <c r="I433" s="43">
        <f t="shared" si="867"/>
        <v>2</v>
      </c>
      <c r="J433" s="4">
        <v>2.0</v>
      </c>
      <c r="K433" s="4">
        <v>2.0</v>
      </c>
      <c r="L433" s="5" t="str">
        <f t="shared" ref="L433:M433" si="868">IFS(J433="-", "-", J433=H433, "Final", J433=1, "Initial", J433&gt;1, "Medial")</f>
        <v>Final</v>
      </c>
      <c r="M433" s="44" t="str">
        <f t="shared" si="868"/>
        <v>Final</v>
      </c>
      <c r="N433" s="5" t="str">
        <f t="shared" si="5"/>
        <v>ku</v>
      </c>
      <c r="O433" s="5">
        <f t="shared" si="6"/>
        <v>2</v>
      </c>
      <c r="P433" s="5" t="str">
        <f t="shared" si="7"/>
        <v>ku</v>
      </c>
      <c r="Q433" s="5">
        <f t="shared" si="8"/>
        <v>2</v>
      </c>
      <c r="R433" s="3"/>
      <c r="S433" s="3" t="s">
        <v>1402</v>
      </c>
      <c r="T433" s="3" t="s">
        <v>1403</v>
      </c>
      <c r="U433" s="3" t="s">
        <v>22</v>
      </c>
      <c r="V433" s="5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>
      <c r="A434" s="3" t="s">
        <v>14</v>
      </c>
      <c r="B434" s="3" t="s">
        <v>429</v>
      </c>
      <c r="C434" s="3" t="s">
        <v>1405</v>
      </c>
      <c r="D434" s="3" t="s">
        <v>431</v>
      </c>
      <c r="E434" s="3" t="s">
        <v>1406</v>
      </c>
      <c r="F434" s="3" t="s">
        <v>425</v>
      </c>
      <c r="G434" s="3" t="s">
        <v>1407</v>
      </c>
      <c r="H434" s="43">
        <f t="shared" ref="H434:I434" si="869">LEN(D434)-LEN(B434)+1</f>
        <v>2</v>
      </c>
      <c r="I434" s="43">
        <f t="shared" si="869"/>
        <v>2</v>
      </c>
      <c r="J434" s="4">
        <v>1.0</v>
      </c>
      <c r="K434" s="4">
        <v>1.0</v>
      </c>
      <c r="L434" s="5" t="str">
        <f t="shared" ref="L434:M434" si="870">IFS(J434="-", "-", J434=H434, "Final", J434=1, "Initial", J434&gt;1, "Medial")</f>
        <v>Initial</v>
      </c>
      <c r="M434" s="44" t="str">
        <f t="shared" si="870"/>
        <v>Initial</v>
      </c>
      <c r="N434" s="5" t="str">
        <f t="shared" si="5"/>
        <v>0</v>
      </c>
      <c r="O434" s="5" t="str">
        <f t="shared" si="6"/>
        <v>ˈpi</v>
      </c>
      <c r="P434" s="5" t="str">
        <f t="shared" si="7"/>
        <v>0</v>
      </c>
      <c r="Q434" s="5" t="str">
        <f t="shared" si="8"/>
        <v>ˈpiɾ</v>
      </c>
      <c r="R434" s="3"/>
      <c r="S434" s="3" t="s">
        <v>1408</v>
      </c>
      <c r="T434" s="3" t="s">
        <v>1409</v>
      </c>
      <c r="U434" s="3" t="s">
        <v>22</v>
      </c>
      <c r="V434" s="5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>
      <c r="A435" s="3" t="s">
        <v>14</v>
      </c>
      <c r="B435" s="3" t="s">
        <v>429</v>
      </c>
      <c r="C435" s="3" t="s">
        <v>1405</v>
      </c>
      <c r="D435" s="3" t="s">
        <v>431</v>
      </c>
      <c r="E435" s="3" t="s">
        <v>1406</v>
      </c>
      <c r="F435" s="3" t="s">
        <v>436</v>
      </c>
      <c r="G435" s="3" t="s">
        <v>1410</v>
      </c>
      <c r="H435" s="43">
        <f t="shared" ref="H435:I435" si="871">LEN(D435)-LEN(B435)+1</f>
        <v>2</v>
      </c>
      <c r="I435" s="43">
        <f t="shared" si="871"/>
        <v>2</v>
      </c>
      <c r="J435" s="4">
        <v>2.0</v>
      </c>
      <c r="K435" s="4">
        <v>2.0</v>
      </c>
      <c r="L435" s="5" t="str">
        <f t="shared" ref="L435:M435" si="872">IFS(J435="-", "-", J435=H435, "Final", J435=1, "Initial", J435&gt;1, "Medial")</f>
        <v>Final</v>
      </c>
      <c r="M435" s="44" t="str">
        <f t="shared" si="872"/>
        <v>Final</v>
      </c>
      <c r="N435" s="5" t="str">
        <f t="shared" si="5"/>
        <v>ku</v>
      </c>
      <c r="O435" s="5">
        <f t="shared" si="6"/>
        <v>2</v>
      </c>
      <c r="P435" s="5" t="str">
        <f t="shared" si="7"/>
        <v>kuʃ</v>
      </c>
      <c r="Q435" s="5">
        <f t="shared" si="8"/>
        <v>2</v>
      </c>
      <c r="R435" s="3"/>
      <c r="S435" s="3" t="s">
        <v>1408</v>
      </c>
      <c r="T435" s="3" t="s">
        <v>1409</v>
      </c>
      <c r="U435" s="3" t="s">
        <v>22</v>
      </c>
      <c r="V435" s="5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>
      <c r="A436" s="3" t="s">
        <v>14</v>
      </c>
      <c r="B436" s="3" t="s">
        <v>1411</v>
      </c>
      <c r="C436" s="3" t="s">
        <v>1412</v>
      </c>
      <c r="D436" s="3" t="s">
        <v>1413</v>
      </c>
      <c r="E436" s="3" t="s">
        <v>1414</v>
      </c>
      <c r="F436" s="3" t="s">
        <v>425</v>
      </c>
      <c r="G436" s="3" t="s">
        <v>425</v>
      </c>
      <c r="H436" s="43">
        <f t="shared" ref="H436:I436" si="873">LEN(D436)-LEN(B436)+1</f>
        <v>2</v>
      </c>
      <c r="I436" s="43">
        <f t="shared" si="873"/>
        <v>2</v>
      </c>
      <c r="J436" s="4">
        <v>1.0</v>
      </c>
      <c r="K436" s="4">
        <v>1.0</v>
      </c>
      <c r="L436" s="5" t="str">
        <f t="shared" ref="L436:M436" si="874">IFS(J436="-", "-", J436=H436, "Final", J436=1, "Initial", J436&gt;1, "Medial")</f>
        <v>Initial</v>
      </c>
      <c r="M436" s="44" t="str">
        <f t="shared" si="874"/>
        <v>Initial</v>
      </c>
      <c r="N436" s="5" t="str">
        <f t="shared" si="5"/>
        <v>0</v>
      </c>
      <c r="O436" s="5" t="str">
        <f t="shared" si="6"/>
        <v>ˈra</v>
      </c>
      <c r="P436" s="5" t="str">
        <f t="shared" si="7"/>
        <v>0</v>
      </c>
      <c r="Q436" s="5" t="str">
        <f t="shared" si="8"/>
        <v>ˈɾaɾ</v>
      </c>
      <c r="R436" s="3"/>
      <c r="S436" s="3" t="s">
        <v>1415</v>
      </c>
      <c r="T436" s="3" t="s">
        <v>1416</v>
      </c>
      <c r="U436" s="3" t="s">
        <v>22</v>
      </c>
      <c r="V436" s="5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>
      <c r="A437" s="3" t="s">
        <v>14</v>
      </c>
      <c r="B437" s="3" t="s">
        <v>1411</v>
      </c>
      <c r="C437" s="3" t="s">
        <v>1412</v>
      </c>
      <c r="D437" s="3" t="s">
        <v>1413</v>
      </c>
      <c r="E437" s="3" t="s">
        <v>1414</v>
      </c>
      <c r="F437" s="3" t="s">
        <v>326</v>
      </c>
      <c r="G437" s="3" t="s">
        <v>1235</v>
      </c>
      <c r="H437" s="43">
        <f t="shared" ref="H437:I437" si="875">LEN(D437)-LEN(B437)+1</f>
        <v>2</v>
      </c>
      <c r="I437" s="43">
        <f t="shared" si="875"/>
        <v>2</v>
      </c>
      <c r="J437" s="4">
        <v>2.0</v>
      </c>
      <c r="K437" s="4">
        <v>2.0</v>
      </c>
      <c r="L437" s="5" t="str">
        <f t="shared" ref="L437:M437" si="876">IFS(J437="-", "-", J437=H437, "Final", J437=1, "Initial", J437&gt;1, "Medial")</f>
        <v>Final</v>
      </c>
      <c r="M437" s="44" t="str">
        <f t="shared" si="876"/>
        <v>Final</v>
      </c>
      <c r="N437" s="5" t="str">
        <f t="shared" si="5"/>
        <v>ku</v>
      </c>
      <c r="O437" s="5">
        <f t="shared" si="6"/>
        <v>2</v>
      </c>
      <c r="P437" s="5" t="str">
        <f t="shared" si="7"/>
        <v>ku</v>
      </c>
      <c r="Q437" s="5">
        <f t="shared" si="8"/>
        <v>2</v>
      </c>
      <c r="R437" s="3"/>
      <c r="S437" s="3" t="s">
        <v>1415</v>
      </c>
      <c r="T437" s="3" t="s">
        <v>1416</v>
      </c>
      <c r="U437" s="3" t="s">
        <v>22</v>
      </c>
      <c r="V437" s="5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>
      <c r="A438" s="3" t="s">
        <v>14</v>
      </c>
      <c r="B438" s="3" t="s">
        <v>1417</v>
      </c>
      <c r="C438" s="3" t="s">
        <v>1362</v>
      </c>
      <c r="D438" s="3" t="s">
        <v>1418</v>
      </c>
      <c r="E438" s="3" t="s">
        <v>1364</v>
      </c>
      <c r="F438" s="3" t="s">
        <v>425</v>
      </c>
      <c r="G438" s="3" t="s">
        <v>425</v>
      </c>
      <c r="H438" s="43">
        <f t="shared" ref="H438:I438" si="877">LEN(D438)-LEN(B438)+1</f>
        <v>2</v>
      </c>
      <c r="I438" s="43">
        <f t="shared" si="877"/>
        <v>2</v>
      </c>
      <c r="J438" s="4">
        <v>1.0</v>
      </c>
      <c r="K438" s="4">
        <v>1.0</v>
      </c>
      <c r="L438" s="5" t="str">
        <f t="shared" ref="L438:M438" si="878">IFS(J438="-", "-", J438=H438, "Final", J438=1, "Initial", J438&gt;1, "Medial")</f>
        <v>Initial</v>
      </c>
      <c r="M438" s="44" t="str">
        <f t="shared" si="878"/>
        <v>Initial</v>
      </c>
      <c r="N438" s="5" t="str">
        <f t="shared" si="5"/>
        <v>0</v>
      </c>
      <c r="O438" s="5" t="str">
        <f t="shared" si="6"/>
        <v>ˈʒi</v>
      </c>
      <c r="P438" s="5" t="str">
        <f t="shared" si="7"/>
        <v>0</v>
      </c>
      <c r="Q438" s="5" t="str">
        <f t="shared" si="8"/>
        <v>ˈzeɾ</v>
      </c>
      <c r="R438" s="3"/>
      <c r="S438" s="3" t="s">
        <v>1419</v>
      </c>
      <c r="T438" s="3" t="s">
        <v>1094</v>
      </c>
      <c r="U438" s="3" t="s">
        <v>22</v>
      </c>
      <c r="V438" s="5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>
      <c r="A439" s="3" t="s">
        <v>14</v>
      </c>
      <c r="B439" s="3" t="s">
        <v>1417</v>
      </c>
      <c r="C439" s="3" t="s">
        <v>1362</v>
      </c>
      <c r="D439" s="3" t="s">
        <v>1418</v>
      </c>
      <c r="E439" s="3" t="s">
        <v>1364</v>
      </c>
      <c r="F439" s="3" t="s">
        <v>1420</v>
      </c>
      <c r="G439" s="3" t="s">
        <v>1367</v>
      </c>
      <c r="H439" s="43">
        <f t="shared" ref="H439:I439" si="879">LEN(D439)-LEN(B439)+1</f>
        <v>2</v>
      </c>
      <c r="I439" s="43">
        <f t="shared" si="879"/>
        <v>2</v>
      </c>
      <c r="J439" s="4">
        <v>2.0</v>
      </c>
      <c r="K439" s="4">
        <v>2.0</v>
      </c>
      <c r="L439" s="5" t="str">
        <f t="shared" ref="L439:M439" si="880">IFS(J439="-", "-", J439=H439, "Final", J439=1, "Initial", J439&gt;1, "Medial")</f>
        <v>Final</v>
      </c>
      <c r="M439" s="44" t="str">
        <f t="shared" si="880"/>
        <v>Final</v>
      </c>
      <c r="N439" s="5" t="str">
        <f t="shared" si="5"/>
        <v>ku</v>
      </c>
      <c r="O439" s="5">
        <f t="shared" si="6"/>
        <v>2</v>
      </c>
      <c r="P439" s="5" t="str">
        <f t="shared" si="7"/>
        <v>ku</v>
      </c>
      <c r="Q439" s="5">
        <f t="shared" si="8"/>
        <v>2</v>
      </c>
      <c r="R439" s="3"/>
      <c r="S439" s="3" t="s">
        <v>1419</v>
      </c>
      <c r="T439" s="3" t="s">
        <v>1094</v>
      </c>
      <c r="U439" s="3" t="s">
        <v>22</v>
      </c>
      <c r="V439" s="5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>
      <c r="A440" s="3" t="s">
        <v>14</v>
      </c>
      <c r="B440" s="3" t="s">
        <v>1421</v>
      </c>
      <c r="C440" s="3" t="s">
        <v>1422</v>
      </c>
      <c r="D440" s="3" t="s">
        <v>1423</v>
      </c>
      <c r="E440" s="3" t="s">
        <v>1424</v>
      </c>
      <c r="F440" s="3" t="s">
        <v>1425</v>
      </c>
      <c r="G440" s="3" t="s">
        <v>1426</v>
      </c>
      <c r="H440" s="43">
        <f t="shared" ref="H440:I440" si="881">LEN(D440)-LEN(B440)+1</f>
        <v>2</v>
      </c>
      <c r="I440" s="43">
        <f t="shared" si="881"/>
        <v>2</v>
      </c>
      <c r="J440" s="4">
        <v>1.0</v>
      </c>
      <c r="K440" s="4">
        <v>1.0</v>
      </c>
      <c r="L440" s="5" t="str">
        <f t="shared" ref="L440:M440" si="882">IFS(J440="-", "-", J440=H440, "Final", J440=1, "Initial", J440&gt;1, "Medial")</f>
        <v>Initial</v>
      </c>
      <c r="M440" s="44" t="str">
        <f t="shared" si="882"/>
        <v>Initial</v>
      </c>
      <c r="N440" s="5" t="str">
        <f t="shared" si="5"/>
        <v>0</v>
      </c>
      <c r="O440" s="5" t="str">
        <f t="shared" si="6"/>
        <v>ˈva</v>
      </c>
      <c r="P440" s="5" t="str">
        <f t="shared" si="7"/>
        <v>0</v>
      </c>
      <c r="Q440" s="5" t="str">
        <f t="shared" si="8"/>
        <v>ˈvaɾ</v>
      </c>
      <c r="R440" s="3"/>
      <c r="S440" s="3" t="s">
        <v>1427</v>
      </c>
      <c r="T440" s="3" t="s">
        <v>1428</v>
      </c>
      <c r="U440" s="3" t="s">
        <v>22</v>
      </c>
      <c r="V440" s="5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>
      <c r="A441" s="3" t="s">
        <v>14</v>
      </c>
      <c r="B441" s="3" t="s">
        <v>1421</v>
      </c>
      <c r="C441" s="3" t="s">
        <v>1422</v>
      </c>
      <c r="D441" s="3" t="s">
        <v>1423</v>
      </c>
      <c r="E441" s="3" t="s">
        <v>1424</v>
      </c>
      <c r="F441" s="3" t="s">
        <v>1429</v>
      </c>
      <c r="G441" s="3" t="s">
        <v>1430</v>
      </c>
      <c r="H441" s="43">
        <f t="shared" ref="H441:I441" si="883">LEN(D441)-LEN(B441)+1</f>
        <v>2</v>
      </c>
      <c r="I441" s="43">
        <f t="shared" si="883"/>
        <v>2</v>
      </c>
      <c r="J441" s="4">
        <v>2.0</v>
      </c>
      <c r="K441" s="4">
        <v>2.0</v>
      </c>
      <c r="L441" s="5" t="str">
        <f t="shared" ref="L441:M441" si="884">IFS(J441="-", "-", J441=H441, "Final", J441=1, "Initial", J441&gt;1, "Medial")</f>
        <v>Final</v>
      </c>
      <c r="M441" s="44" t="str">
        <f t="shared" si="884"/>
        <v>Final</v>
      </c>
      <c r="N441" s="5" t="str">
        <f t="shared" si="5"/>
        <v>la</v>
      </c>
      <c r="O441" s="5">
        <f t="shared" si="6"/>
        <v>2</v>
      </c>
      <c r="P441" s="5" t="str">
        <f t="shared" si="7"/>
        <v>lɐ</v>
      </c>
      <c r="Q441" s="5">
        <f t="shared" si="8"/>
        <v>2</v>
      </c>
      <c r="R441" s="3"/>
      <c r="S441" s="3" t="s">
        <v>1427</v>
      </c>
      <c r="T441" s="3" t="s">
        <v>1428</v>
      </c>
      <c r="U441" s="3" t="s">
        <v>22</v>
      </c>
      <c r="V441" s="5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>
      <c r="A442" s="3" t="s">
        <v>14</v>
      </c>
      <c r="B442" s="3" t="s">
        <v>1431</v>
      </c>
      <c r="C442" s="3" t="s">
        <v>1432</v>
      </c>
      <c r="D442" s="3" t="s">
        <v>1433</v>
      </c>
      <c r="E442" s="3" t="s">
        <v>1434</v>
      </c>
      <c r="F442" s="3" t="s">
        <v>1435</v>
      </c>
      <c r="G442" s="3" t="s">
        <v>65</v>
      </c>
      <c r="H442" s="43">
        <f t="shared" ref="H442:I442" si="885">LEN(D442)-LEN(B442)+1</f>
        <v>2</v>
      </c>
      <c r="I442" s="43">
        <f t="shared" si="885"/>
        <v>2</v>
      </c>
      <c r="J442" s="4">
        <v>1.0</v>
      </c>
      <c r="K442" s="4">
        <v>1.0</v>
      </c>
      <c r="L442" s="5" t="str">
        <f t="shared" ref="L442:M442" si="886">IFS(J442="-", "-", J442=H442, "Final", J442=1, "Initial", J442&gt;1, "Medial")</f>
        <v>Initial</v>
      </c>
      <c r="M442" s="44" t="str">
        <f t="shared" si="886"/>
        <v>Initial</v>
      </c>
      <c r="N442" s="5" t="str">
        <f t="shared" si="5"/>
        <v>0</v>
      </c>
      <c r="O442" s="5" t="str">
        <f t="shared" si="6"/>
        <v>ˈda</v>
      </c>
      <c r="P442" s="5" t="str">
        <f t="shared" si="7"/>
        <v>0</v>
      </c>
      <c r="Q442" s="5" t="str">
        <f t="shared" si="8"/>
        <v>ˈdaɾ</v>
      </c>
      <c r="R442" s="3"/>
      <c r="S442" s="3" t="s">
        <v>1436</v>
      </c>
      <c r="T442" s="3" t="s">
        <v>1437</v>
      </c>
      <c r="U442" s="3" t="s">
        <v>22</v>
      </c>
      <c r="V442" s="5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>
      <c r="A443" s="3" t="s">
        <v>14</v>
      </c>
      <c r="B443" s="3" t="s">
        <v>1431</v>
      </c>
      <c r="C443" s="3" t="s">
        <v>1432</v>
      </c>
      <c r="D443" s="3" t="s">
        <v>1433</v>
      </c>
      <c r="E443" s="3" t="s">
        <v>1434</v>
      </c>
      <c r="F443" s="3" t="s">
        <v>1118</v>
      </c>
      <c r="G443" s="3" t="s">
        <v>1119</v>
      </c>
      <c r="H443" s="43">
        <f t="shared" ref="H443:I443" si="887">LEN(D443)-LEN(B443)+1</f>
        <v>2</v>
      </c>
      <c r="I443" s="43">
        <f t="shared" si="887"/>
        <v>2</v>
      </c>
      <c r="J443" s="4">
        <v>2.0</v>
      </c>
      <c r="K443" s="4">
        <v>2.0</v>
      </c>
      <c r="L443" s="5" t="str">
        <f t="shared" ref="L443:M443" si="888">IFS(J443="-", "-", J443=H443, "Final", J443=1, "Initial", J443&gt;1, "Medial")</f>
        <v>Final</v>
      </c>
      <c r="M443" s="44" t="str">
        <f t="shared" si="888"/>
        <v>Final</v>
      </c>
      <c r="N443" s="5" t="str">
        <f t="shared" si="5"/>
        <v>lɐ̃</v>
      </c>
      <c r="O443" s="5">
        <f t="shared" si="6"/>
        <v>2</v>
      </c>
      <c r="P443" s="5" t="str">
        <f t="shared" si="7"/>
        <v>nɐ</v>
      </c>
      <c r="Q443" s="5">
        <f t="shared" si="8"/>
        <v>2</v>
      </c>
      <c r="R443" s="3"/>
      <c r="S443" s="3" t="s">
        <v>1436</v>
      </c>
      <c r="T443" s="3" t="s">
        <v>1437</v>
      </c>
      <c r="U443" s="3" t="s">
        <v>22</v>
      </c>
      <c r="V443" s="5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>
      <c r="A444" s="3" t="s">
        <v>14</v>
      </c>
      <c r="B444" s="3" t="s">
        <v>1438</v>
      </c>
      <c r="C444" s="3" t="s">
        <v>1439</v>
      </c>
      <c r="D444" s="3" t="s">
        <v>1440</v>
      </c>
      <c r="E444" s="3" t="s">
        <v>1441</v>
      </c>
      <c r="F444" s="3" t="s">
        <v>1435</v>
      </c>
      <c r="G444" s="3" t="s">
        <v>1435</v>
      </c>
      <c r="H444" s="43">
        <f t="shared" ref="H444:I444" si="889">LEN(D444)-LEN(B444)+1</f>
        <v>2</v>
      </c>
      <c r="I444" s="43">
        <f t="shared" si="889"/>
        <v>2</v>
      </c>
      <c r="J444" s="4">
        <v>1.0</v>
      </c>
      <c r="K444" s="4">
        <v>1.0</v>
      </c>
      <c r="L444" s="5" t="str">
        <f t="shared" ref="L444:M444" si="890">IFS(J444="-", "-", J444=H444, "Final", J444=1, "Initial", J444&gt;1, "Medial")</f>
        <v>Initial</v>
      </c>
      <c r="M444" s="44" t="str">
        <f t="shared" si="890"/>
        <v>Initial</v>
      </c>
      <c r="N444" s="5" t="str">
        <f t="shared" si="5"/>
        <v>0</v>
      </c>
      <c r="O444" s="5" t="str">
        <f t="shared" si="6"/>
        <v>ˈsa</v>
      </c>
      <c r="P444" s="5" t="str">
        <f t="shared" si="7"/>
        <v>0</v>
      </c>
      <c r="Q444" s="5" t="str">
        <f t="shared" si="8"/>
        <v>ˈsaɾ</v>
      </c>
      <c r="R444" s="3"/>
      <c r="S444" s="3" t="s">
        <v>1442</v>
      </c>
      <c r="T444" s="3" t="s">
        <v>1443</v>
      </c>
      <c r="U444" s="3" t="s">
        <v>22</v>
      </c>
      <c r="V444" s="5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>
      <c r="A445" s="3" t="s">
        <v>14</v>
      </c>
      <c r="B445" s="3" t="s">
        <v>1438</v>
      </c>
      <c r="C445" s="3" t="s">
        <v>1439</v>
      </c>
      <c r="D445" s="3" t="s">
        <v>1440</v>
      </c>
      <c r="E445" s="3" t="s">
        <v>1441</v>
      </c>
      <c r="F445" s="3" t="s">
        <v>1032</v>
      </c>
      <c r="G445" s="3" t="s">
        <v>1129</v>
      </c>
      <c r="H445" s="43">
        <f t="shared" ref="H445:I445" si="891">LEN(D445)-LEN(B445)+1</f>
        <v>2</v>
      </c>
      <c r="I445" s="43">
        <f t="shared" si="891"/>
        <v>2</v>
      </c>
      <c r="J445" s="4">
        <v>2.0</v>
      </c>
      <c r="K445" s="4">
        <v>2.0</v>
      </c>
      <c r="L445" s="5" t="str">
        <f t="shared" ref="L445:M445" si="892">IFS(J445="-", "-", J445=H445, "Final", J445=1, "Initial", J445&gt;1, "Medial")</f>
        <v>Final</v>
      </c>
      <c r="M445" s="44" t="str">
        <f t="shared" si="892"/>
        <v>Final</v>
      </c>
      <c r="N445" s="5" t="str">
        <f t="shared" si="5"/>
        <v>lɐ̃</v>
      </c>
      <c r="O445" s="5">
        <f t="shared" si="6"/>
        <v>2</v>
      </c>
      <c r="P445" s="5" t="str">
        <f t="shared" si="7"/>
        <v>lɐ̃</v>
      </c>
      <c r="Q445" s="5">
        <f t="shared" si="8"/>
        <v>2</v>
      </c>
      <c r="R445" s="3"/>
      <c r="S445" s="3" t="s">
        <v>1442</v>
      </c>
      <c r="T445" s="3" t="s">
        <v>1443</v>
      </c>
      <c r="U445" s="3" t="s">
        <v>22</v>
      </c>
      <c r="V445" s="5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>
      <c r="A446" s="3" t="s">
        <v>14</v>
      </c>
      <c r="B446" s="3" t="s">
        <v>1444</v>
      </c>
      <c r="C446" s="3" t="s">
        <v>1445</v>
      </c>
      <c r="D446" s="3" t="s">
        <v>1446</v>
      </c>
      <c r="E446" s="3" t="s">
        <v>1447</v>
      </c>
      <c r="F446" s="3" t="s">
        <v>1425</v>
      </c>
      <c r="G446" s="3" t="s">
        <v>503</v>
      </c>
      <c r="H446" s="43">
        <f t="shared" ref="H446:I446" si="893">LEN(D446)-LEN(B446)+1</f>
        <v>2</v>
      </c>
      <c r="I446" s="43">
        <f t="shared" si="893"/>
        <v>3</v>
      </c>
      <c r="J446" s="4">
        <v>1.0</v>
      </c>
      <c r="K446" s="4">
        <v>1.0</v>
      </c>
      <c r="L446" s="5" t="str">
        <f t="shared" ref="L446:M446" si="894">IFS(J446="-", "-", J446=H446, "Final", J446=1, "Initial", J446&gt;1, "Medial")</f>
        <v>Initial</v>
      </c>
      <c r="M446" s="44" t="str">
        <f t="shared" si="894"/>
        <v>Initial</v>
      </c>
      <c r="N446" s="5" t="str">
        <f t="shared" si="5"/>
        <v>0</v>
      </c>
      <c r="O446" s="5" t="str">
        <f t="shared" si="6"/>
        <v>-</v>
      </c>
      <c r="P446" s="5" t="str">
        <f t="shared" si="7"/>
        <v>0</v>
      </c>
      <c r="Q446" s="5" t="str">
        <f t="shared" si="8"/>
        <v>vɐ̃</v>
      </c>
      <c r="R446" s="3" t="s">
        <v>80</v>
      </c>
      <c r="S446" s="3" t="s">
        <v>1448</v>
      </c>
      <c r="T446" s="3" t="s">
        <v>1449</v>
      </c>
      <c r="U446" s="3" t="s">
        <v>22</v>
      </c>
      <c r="V446" s="5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>
      <c r="A447" s="3" t="s">
        <v>14</v>
      </c>
      <c r="B447" s="3" t="s">
        <v>1444</v>
      </c>
      <c r="C447" s="3" t="s">
        <v>1445</v>
      </c>
      <c r="D447" s="3" t="s">
        <v>1446</v>
      </c>
      <c r="E447" s="3" t="s">
        <v>1447</v>
      </c>
      <c r="F447" s="3" t="s">
        <v>36</v>
      </c>
      <c r="G447" s="3" t="s">
        <v>1450</v>
      </c>
      <c r="H447" s="43">
        <f t="shared" ref="H447:I447" si="895">LEN(D447)-LEN(B447)+1</f>
        <v>2</v>
      </c>
      <c r="I447" s="43">
        <f t="shared" si="895"/>
        <v>3</v>
      </c>
      <c r="J447" s="4" t="s">
        <v>36</v>
      </c>
      <c r="K447" s="4">
        <v>2.0</v>
      </c>
      <c r="L447" s="5" t="str">
        <f t="shared" ref="L447:M447" si="896">IFS(J447="-", "-", J447=H447, "Final", J447=1, "Initial", J447&gt;1, "Medial")</f>
        <v>-</v>
      </c>
      <c r="M447" s="44" t="str">
        <f t="shared" si="896"/>
        <v>Medial</v>
      </c>
      <c r="N447" s="5" t="str">
        <f t="shared" si="5"/>
        <v>la</v>
      </c>
      <c r="O447" s="5" t="str">
        <f t="shared" si="6"/>
        <v>ˈta</v>
      </c>
      <c r="P447" s="5" t="str">
        <f t="shared" si="7"/>
        <v>lɨ</v>
      </c>
      <c r="Q447" s="5" t="str">
        <f t="shared" si="8"/>
        <v>ˈtaɾ</v>
      </c>
      <c r="R447" s="3"/>
      <c r="S447" s="3" t="s">
        <v>1448</v>
      </c>
      <c r="T447" s="3" t="s">
        <v>1449</v>
      </c>
      <c r="U447" s="3" t="s">
        <v>22</v>
      </c>
      <c r="V447" s="5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>
      <c r="A448" s="3" t="s">
        <v>14</v>
      </c>
      <c r="B448" s="3" t="s">
        <v>1444</v>
      </c>
      <c r="C448" s="3" t="s">
        <v>1445</v>
      </c>
      <c r="D448" s="3" t="s">
        <v>1446</v>
      </c>
      <c r="E448" s="3" t="s">
        <v>1447</v>
      </c>
      <c r="F448" s="3" t="s">
        <v>1075</v>
      </c>
      <c r="G448" s="3" t="s">
        <v>1076</v>
      </c>
      <c r="H448" s="43">
        <f t="shared" ref="H448:I448" si="897">LEN(D448)-LEN(B448)+1</f>
        <v>2</v>
      </c>
      <c r="I448" s="43">
        <f t="shared" si="897"/>
        <v>3</v>
      </c>
      <c r="J448" s="4">
        <v>2.0</v>
      </c>
      <c r="K448" s="4">
        <v>3.0</v>
      </c>
      <c r="L448" s="5" t="str">
        <f t="shared" ref="L448:M448" si="898">IFS(J448="-", "-", J448=H448, "Final", J448=1, "Initial", J448&gt;1, "Medial")</f>
        <v>Final</v>
      </c>
      <c r="M448" s="44" t="str">
        <f t="shared" si="898"/>
        <v>Final</v>
      </c>
      <c r="N448" s="5" t="str">
        <f t="shared" si="5"/>
        <v>-</v>
      </c>
      <c r="O448" s="5">
        <f t="shared" si="6"/>
        <v>2</v>
      </c>
      <c r="P448" s="5" t="str">
        <f t="shared" si="7"/>
        <v>vɐ̃</v>
      </c>
      <c r="Q448" s="5">
        <f t="shared" si="8"/>
        <v>3</v>
      </c>
      <c r="R448" s="3"/>
      <c r="S448" s="3" t="s">
        <v>1448</v>
      </c>
      <c r="T448" s="3" t="s">
        <v>1449</v>
      </c>
      <c r="U448" s="3" t="s">
        <v>22</v>
      </c>
      <c r="V448" s="5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>
      <c r="A449" s="15" t="s">
        <v>14</v>
      </c>
      <c r="B449" s="15" t="s">
        <v>1451</v>
      </c>
      <c r="C449" s="15" t="s">
        <v>1452</v>
      </c>
      <c r="D449" s="15" t="s">
        <v>1453</v>
      </c>
      <c r="E449" s="15" t="s">
        <v>1454</v>
      </c>
      <c r="F449" s="15"/>
      <c r="G449" s="15"/>
      <c r="H449" s="43">
        <f t="shared" ref="H449:I449" si="899">LEN(D449)-LEN(B449)+1</f>
        <v>2</v>
      </c>
      <c r="I449" s="43">
        <f t="shared" si="899"/>
        <v>2</v>
      </c>
      <c r="J449" s="18"/>
      <c r="K449" s="18"/>
      <c r="L449" s="5" t="str">
        <f t="shared" ref="L449:M449" si="900">IFS(J449="-", "-", J449=H449, "Final", J449=1, "Initial", J449&gt;1, "Medial")</f>
        <v>#N/A</v>
      </c>
      <c r="M449" s="44" t="str">
        <f t="shared" si="900"/>
        <v>#N/A</v>
      </c>
      <c r="N449" s="5" t="str">
        <f t="shared" si="5"/>
        <v>0</v>
      </c>
      <c r="O449" s="5" t="str">
        <f t="shared" si="6"/>
        <v/>
      </c>
      <c r="P449" s="5" t="str">
        <f t="shared" si="7"/>
        <v>0</v>
      </c>
      <c r="Q449" s="5" t="str">
        <f t="shared" si="8"/>
        <v/>
      </c>
      <c r="R449" s="15"/>
      <c r="S449" s="15" t="s">
        <v>1455</v>
      </c>
      <c r="T449" s="15" t="s">
        <v>1456</v>
      </c>
      <c r="U449" s="15" t="s">
        <v>22</v>
      </c>
      <c r="V449" s="15" t="s">
        <v>560</v>
      </c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</row>
    <row r="450">
      <c r="A450" s="3" t="s">
        <v>14</v>
      </c>
      <c r="B450" s="3" t="s">
        <v>1457</v>
      </c>
      <c r="C450" s="3" t="s">
        <v>1458</v>
      </c>
      <c r="D450" s="3" t="s">
        <v>1459</v>
      </c>
      <c r="E450" s="3" t="s">
        <v>1460</v>
      </c>
      <c r="F450" s="3" t="s">
        <v>245</v>
      </c>
      <c r="G450" s="3" t="s">
        <v>245</v>
      </c>
      <c r="H450" s="43">
        <f t="shared" ref="H450:I450" si="901">LEN(D450)-LEN(B450)+1</f>
        <v>2</v>
      </c>
      <c r="I450" s="43">
        <f t="shared" si="901"/>
        <v>2</v>
      </c>
      <c r="J450" s="4">
        <v>1.0</v>
      </c>
      <c r="K450" s="4">
        <v>1.0</v>
      </c>
      <c r="L450" s="5" t="str">
        <f t="shared" ref="L450:M450" si="902">IFS(J450="-", "-", J450=H450, "Final", J450=1, "Initial", J450&gt;1, "Medial")</f>
        <v>Initial</v>
      </c>
      <c r="M450" s="44" t="str">
        <f t="shared" si="902"/>
        <v>Initial</v>
      </c>
      <c r="N450" s="5" t="str">
        <f t="shared" si="5"/>
        <v>0</v>
      </c>
      <c r="O450" s="5" t="str">
        <f t="shared" si="6"/>
        <v>ˈʒi</v>
      </c>
      <c r="P450" s="5" t="str">
        <f t="shared" si="7"/>
        <v>0</v>
      </c>
      <c r="Q450" s="5" t="str">
        <f t="shared" si="8"/>
        <v>ˈziɾ</v>
      </c>
      <c r="R450" s="3"/>
      <c r="S450" s="3" t="s">
        <v>1461</v>
      </c>
      <c r="T450" s="3" t="s">
        <v>1462</v>
      </c>
      <c r="U450" s="3" t="s">
        <v>22</v>
      </c>
      <c r="V450" s="5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>
      <c r="A451" s="3" t="s">
        <v>14</v>
      </c>
      <c r="B451" s="3" t="s">
        <v>1457</v>
      </c>
      <c r="C451" s="3" t="s">
        <v>1458</v>
      </c>
      <c r="D451" s="3" t="s">
        <v>1459</v>
      </c>
      <c r="E451" s="3" t="s">
        <v>1460</v>
      </c>
      <c r="F451" s="3" t="s">
        <v>1420</v>
      </c>
      <c r="G451" s="3" t="s">
        <v>1463</v>
      </c>
      <c r="H451" s="43">
        <f t="shared" ref="H451:I451" si="903">LEN(D451)-LEN(B451)+1</f>
        <v>2</v>
      </c>
      <c r="I451" s="43">
        <f t="shared" si="903"/>
        <v>2</v>
      </c>
      <c r="J451" s="4">
        <v>2.0</v>
      </c>
      <c r="K451" s="4">
        <v>2.0</v>
      </c>
      <c r="L451" s="5" t="str">
        <f t="shared" ref="L451:M451" si="904">IFS(J451="-", "-", J451=H451, "Final", J451=1, "Initial", J451&gt;1, "Medial")</f>
        <v>Final</v>
      </c>
      <c r="M451" s="44" t="str">
        <f t="shared" si="904"/>
        <v>Final</v>
      </c>
      <c r="N451" s="5" t="str">
        <f t="shared" si="5"/>
        <v>lu</v>
      </c>
      <c r="O451" s="5">
        <f t="shared" si="6"/>
        <v>2</v>
      </c>
      <c r="P451" s="5" t="str">
        <f t="shared" si="7"/>
        <v>lu</v>
      </c>
      <c r="Q451" s="5">
        <f t="shared" si="8"/>
        <v>2</v>
      </c>
      <c r="R451" s="3"/>
      <c r="S451" s="3" t="s">
        <v>1461</v>
      </c>
      <c r="T451" s="3" t="s">
        <v>1462</v>
      </c>
      <c r="U451" s="3" t="s">
        <v>22</v>
      </c>
      <c r="V451" s="5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>
      <c r="A452" s="15" t="s">
        <v>14</v>
      </c>
      <c r="B452" s="15" t="s">
        <v>1464</v>
      </c>
      <c r="C452" s="15" t="s">
        <v>1465</v>
      </c>
      <c r="D452" s="15" t="s">
        <v>1466</v>
      </c>
      <c r="E452" s="15" t="s">
        <v>1467</v>
      </c>
      <c r="F452" s="15" t="s">
        <v>36</v>
      </c>
      <c r="G452" s="15" t="s">
        <v>49</v>
      </c>
      <c r="H452" s="43">
        <f t="shared" ref="H452:I452" si="905">LEN(D452)-LEN(B452)+1</f>
        <v>2</v>
      </c>
      <c r="I452" s="43">
        <f t="shared" si="905"/>
        <v>3</v>
      </c>
      <c r="J452" s="18" t="s">
        <v>36</v>
      </c>
      <c r="K452" s="18">
        <v>1.0</v>
      </c>
      <c r="L452" s="5" t="str">
        <f t="shared" ref="L452:M452" si="906">IFS(J452="-", "-", J452=H452, "Final", J452=1, "Initial", J452&gt;1, "Medial")</f>
        <v>-</v>
      </c>
      <c r="M452" s="44" t="str">
        <f t="shared" si="906"/>
        <v>Initial</v>
      </c>
      <c r="N452" s="5" t="str">
        <f t="shared" si="5"/>
        <v>0</v>
      </c>
      <c r="O452" s="5" t="str">
        <f t="shared" si="6"/>
        <v>ma</v>
      </c>
      <c r="P452" s="5" t="str">
        <f t="shared" si="7"/>
        <v>0</v>
      </c>
      <c r="Q452" s="5" t="str">
        <f t="shared" si="8"/>
        <v>ma</v>
      </c>
      <c r="R452" s="15" t="s">
        <v>80</v>
      </c>
      <c r="S452" s="15" t="s">
        <v>1468</v>
      </c>
      <c r="T452" s="15" t="s">
        <v>1469</v>
      </c>
      <c r="U452" s="15" t="s">
        <v>22</v>
      </c>
      <c r="V452" s="20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</row>
    <row r="453">
      <c r="A453" s="15" t="s">
        <v>14</v>
      </c>
      <c r="B453" s="15" t="s">
        <v>1464</v>
      </c>
      <c r="C453" s="15" t="s">
        <v>1465</v>
      </c>
      <c r="D453" s="15" t="s">
        <v>1466</v>
      </c>
      <c r="E453" s="15" t="s">
        <v>1467</v>
      </c>
      <c r="F453" s="15" t="s">
        <v>157</v>
      </c>
      <c r="G453" s="15" t="s">
        <v>157</v>
      </c>
      <c r="H453" s="43">
        <f t="shared" ref="H453:I453" si="907">LEN(D453)-LEN(B453)+1</f>
        <v>2</v>
      </c>
      <c r="I453" s="43">
        <f t="shared" si="907"/>
        <v>3</v>
      </c>
      <c r="J453" s="18">
        <v>1.0</v>
      </c>
      <c r="K453" s="18">
        <v>2.0</v>
      </c>
      <c r="L453" s="5" t="str">
        <f t="shared" ref="L453:M453" si="908">IFS(J453="-", "-", J453=H453, "Final", J453=1, "Initial", J453&gt;1, "Medial")</f>
        <v>Initial</v>
      </c>
      <c r="M453" s="44" t="str">
        <f t="shared" si="908"/>
        <v>Medial</v>
      </c>
      <c r="N453" s="5" t="str">
        <f t="shared" si="5"/>
        <v>-</v>
      </c>
      <c r="O453" s="5" t="str">
        <f t="shared" si="6"/>
        <v>ˈra</v>
      </c>
      <c r="P453" s="5" t="str">
        <f t="shared" si="7"/>
        <v>ɐ</v>
      </c>
      <c r="Q453" s="5" t="str">
        <f t="shared" si="8"/>
        <v>ˈʀaɾ</v>
      </c>
      <c r="R453" s="15"/>
      <c r="S453" s="15" t="s">
        <v>1468</v>
      </c>
      <c r="T453" s="15" t="s">
        <v>1469</v>
      </c>
      <c r="U453" s="15" t="s">
        <v>22</v>
      </c>
      <c r="V453" s="20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</row>
    <row r="454">
      <c r="A454" s="15" t="s">
        <v>14</v>
      </c>
      <c r="B454" s="15" t="s">
        <v>1464</v>
      </c>
      <c r="C454" s="15" t="s">
        <v>1465</v>
      </c>
      <c r="D454" s="15" t="s">
        <v>1466</v>
      </c>
      <c r="E454" s="15" t="s">
        <v>1467</v>
      </c>
      <c r="F454" s="15" t="s">
        <v>326</v>
      </c>
      <c r="G454" s="15" t="s">
        <v>1470</v>
      </c>
      <c r="H454" s="43">
        <f t="shared" ref="H454:I454" si="909">LEN(D454)-LEN(B454)+1</f>
        <v>2</v>
      </c>
      <c r="I454" s="43">
        <f t="shared" si="909"/>
        <v>3</v>
      </c>
      <c r="J454" s="18">
        <v>2.0</v>
      </c>
      <c r="K454" s="18">
        <v>3.0</v>
      </c>
      <c r="L454" s="5" t="str">
        <f t="shared" ref="L454:M454" si="910">IFS(J454="-", "-", J454=H454, "Final", J454=1, "Initial", J454&gt;1, "Medial")</f>
        <v>Final</v>
      </c>
      <c r="M454" s="44" t="str">
        <f t="shared" si="910"/>
        <v>Final</v>
      </c>
      <c r="N454" s="5" t="str">
        <f t="shared" si="5"/>
        <v>ma</v>
      </c>
      <c r="O454" s="5">
        <f t="shared" si="6"/>
        <v>2</v>
      </c>
      <c r="P454" s="5" t="str">
        <f t="shared" si="7"/>
        <v>ma</v>
      </c>
      <c r="Q454" s="5">
        <f t="shared" si="8"/>
        <v>3</v>
      </c>
      <c r="R454" s="15"/>
      <c r="S454" s="15" t="s">
        <v>1468</v>
      </c>
      <c r="T454" s="15" t="s">
        <v>1469</v>
      </c>
      <c r="U454" s="15" t="s">
        <v>22</v>
      </c>
      <c r="V454" s="20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</row>
    <row r="455">
      <c r="A455" s="15" t="s">
        <v>14</v>
      </c>
      <c r="B455" s="15" t="s">
        <v>1471</v>
      </c>
      <c r="C455" s="15" t="s">
        <v>1472</v>
      </c>
      <c r="D455" s="15" t="s">
        <v>1473</v>
      </c>
      <c r="E455" s="15" t="s">
        <v>1474</v>
      </c>
      <c r="F455" s="15" t="s">
        <v>236</v>
      </c>
      <c r="G455" s="15" t="s">
        <v>1475</v>
      </c>
      <c r="H455" s="43">
        <f t="shared" ref="H455:I455" si="911">LEN(D455)-LEN(B455)+1</f>
        <v>2</v>
      </c>
      <c r="I455" s="43">
        <f t="shared" si="911"/>
        <v>3</v>
      </c>
      <c r="J455" s="18" t="s">
        <v>36</v>
      </c>
      <c r="K455" s="18">
        <v>1.0</v>
      </c>
      <c r="L455" s="5" t="str">
        <f t="shared" ref="L455:M455" si="912">IFS(J455="-", "-", J455=H455, "Final", J455=1, "Initial", J455&gt;1, "Medial")</f>
        <v>-</v>
      </c>
      <c r="M455" s="44" t="str">
        <f t="shared" si="912"/>
        <v>Initial</v>
      </c>
      <c r="N455" s="5" t="str">
        <f t="shared" si="5"/>
        <v>0</v>
      </c>
      <c r="O455" s="5" t="str">
        <f t="shared" si="6"/>
        <v>ˈmɛ̃</v>
      </c>
      <c r="P455" s="5" t="str">
        <f t="shared" si="7"/>
        <v>0</v>
      </c>
      <c r="Q455" s="5" t="str">
        <f t="shared" si="8"/>
        <v>ˈmẽ</v>
      </c>
      <c r="R455" s="15" t="s">
        <v>80</v>
      </c>
      <c r="S455" s="15" t="s">
        <v>1476</v>
      </c>
      <c r="T455" s="15" t="s">
        <v>1477</v>
      </c>
      <c r="U455" s="15" t="s">
        <v>22</v>
      </c>
      <c r="V455" s="20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</row>
    <row r="456">
      <c r="A456" s="15" t="s">
        <v>14</v>
      </c>
      <c r="B456" s="15" t="s">
        <v>1471</v>
      </c>
      <c r="C456" s="15" t="s">
        <v>1472</v>
      </c>
      <c r="D456" s="15" t="s">
        <v>1473</v>
      </c>
      <c r="E456" s="15" t="s">
        <v>1474</v>
      </c>
      <c r="F456" s="15" t="s">
        <v>236</v>
      </c>
      <c r="G456" s="15" t="s">
        <v>1478</v>
      </c>
      <c r="H456" s="43">
        <f t="shared" ref="H456:I456" si="913">LEN(D456)-LEN(B456)+1</f>
        <v>2</v>
      </c>
      <c r="I456" s="43">
        <f t="shared" si="913"/>
        <v>3</v>
      </c>
      <c r="J456" s="18">
        <v>1.0</v>
      </c>
      <c r="K456" s="18">
        <v>2.0</v>
      </c>
      <c r="L456" s="5" t="str">
        <f t="shared" ref="L456:M456" si="914">IFS(J456="-", "-", J456=H456, "Final", J456=1, "Initial", J456&gt;1, "Medial")</f>
        <v>Initial</v>
      </c>
      <c r="M456" s="44" t="str">
        <f t="shared" si="914"/>
        <v>Medial</v>
      </c>
      <c r="N456" s="5" t="str">
        <f t="shared" si="5"/>
        <v>ˈmɛ̃</v>
      </c>
      <c r="O456" s="5" t="str">
        <f t="shared" si="6"/>
        <v>du</v>
      </c>
      <c r="P456" s="5" t="str">
        <f t="shared" si="7"/>
        <v>tɾɨ</v>
      </c>
      <c r="Q456" s="5" t="str">
        <f t="shared" si="8"/>
        <v>du</v>
      </c>
      <c r="R456" s="15"/>
      <c r="S456" s="15" t="s">
        <v>1476</v>
      </c>
      <c r="T456" s="15" t="s">
        <v>1477</v>
      </c>
      <c r="U456" s="15" t="s">
        <v>22</v>
      </c>
      <c r="V456" s="20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</row>
    <row r="457">
      <c r="A457" s="15" t="s">
        <v>14</v>
      </c>
      <c r="B457" s="15" t="s">
        <v>1471</v>
      </c>
      <c r="C457" s="15" t="s">
        <v>1472</v>
      </c>
      <c r="D457" s="15" t="s">
        <v>1473</v>
      </c>
      <c r="E457" s="15" t="s">
        <v>1474</v>
      </c>
      <c r="F457" s="15" t="s">
        <v>387</v>
      </c>
      <c r="G457" s="15" t="s">
        <v>387</v>
      </c>
      <c r="H457" s="43">
        <f t="shared" ref="H457:I457" si="915">LEN(D457)-LEN(B457)+1</f>
        <v>2</v>
      </c>
      <c r="I457" s="43">
        <f t="shared" si="915"/>
        <v>3</v>
      </c>
      <c r="J457" s="18">
        <v>2.0</v>
      </c>
      <c r="K457" s="18">
        <v>3.0</v>
      </c>
      <c r="L457" s="5" t="str">
        <f t="shared" ref="L457:M457" si="916">IFS(J457="-", "-", J457=H457, "Final", J457=1, "Initial", J457&gt;1, "Medial")</f>
        <v>Final</v>
      </c>
      <c r="M457" s="44" t="str">
        <f t="shared" si="916"/>
        <v>Final</v>
      </c>
      <c r="N457" s="5" t="str">
        <f t="shared" si="5"/>
        <v>ˈmɛ̃</v>
      </c>
      <c r="O457" s="5">
        <f t="shared" si="6"/>
        <v>2</v>
      </c>
      <c r="P457" s="5" t="str">
        <f t="shared" si="7"/>
        <v>ˈmẽ</v>
      </c>
      <c r="Q457" s="5">
        <f t="shared" si="8"/>
        <v>3</v>
      </c>
      <c r="R457" s="15"/>
      <c r="S457" s="15" t="s">
        <v>1476</v>
      </c>
      <c r="T457" s="15" t="s">
        <v>1477</v>
      </c>
      <c r="U457" s="15" t="s">
        <v>22</v>
      </c>
      <c r="V457" s="20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</row>
    <row r="458">
      <c r="A458" s="3" t="s">
        <v>14</v>
      </c>
      <c r="B458" s="3" t="s">
        <v>1479</v>
      </c>
      <c r="C458" s="3" t="s">
        <v>1480</v>
      </c>
      <c r="D458" s="3" t="s">
        <v>1481</v>
      </c>
      <c r="E458" s="3" t="s">
        <v>1482</v>
      </c>
      <c r="F458" s="3" t="s">
        <v>1483</v>
      </c>
      <c r="G458" s="3" t="s">
        <v>739</v>
      </c>
      <c r="H458" s="43">
        <f t="shared" ref="H458:I458" si="917">LEN(D458)-LEN(B458)+1</f>
        <v>2</v>
      </c>
      <c r="I458" s="43">
        <f t="shared" si="917"/>
        <v>3</v>
      </c>
      <c r="J458" s="4">
        <v>1.0</v>
      </c>
      <c r="K458" s="4">
        <v>1.0</v>
      </c>
      <c r="L458" s="5" t="str">
        <f t="shared" ref="L458:M458" si="918">IFS(J458="-", "-", J458=H458, "Final", J458=1, "Initial", J458&gt;1, "Medial")</f>
        <v>Initial</v>
      </c>
      <c r="M458" s="44" t="str">
        <f t="shared" si="918"/>
        <v>Initial</v>
      </c>
      <c r="N458" s="5" t="str">
        <f t="shared" si="5"/>
        <v>0</v>
      </c>
      <c r="O458" s="5" t="str">
        <f t="shared" si="6"/>
        <v>-</v>
      </c>
      <c r="P458" s="5" t="str">
        <f t="shared" si="7"/>
        <v>0</v>
      </c>
      <c r="Q458" s="5" t="str">
        <f t="shared" si="8"/>
        <v>ɾɨ</v>
      </c>
      <c r="R458" s="3" t="s">
        <v>80</v>
      </c>
      <c r="S458" s="3" t="s">
        <v>1484</v>
      </c>
      <c r="T458" s="3" t="s">
        <v>1485</v>
      </c>
      <c r="U458" s="3" t="s">
        <v>22</v>
      </c>
      <c r="V458" s="5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>
      <c r="A459" s="3" t="s">
        <v>14</v>
      </c>
      <c r="B459" s="3" t="s">
        <v>1479</v>
      </c>
      <c r="C459" s="3" t="s">
        <v>1480</v>
      </c>
      <c r="D459" s="3" t="s">
        <v>1481</v>
      </c>
      <c r="E459" s="3" t="s">
        <v>1482</v>
      </c>
      <c r="F459" s="3" t="s">
        <v>36</v>
      </c>
      <c r="G459" s="3" t="s">
        <v>1486</v>
      </c>
      <c r="H459" s="43">
        <f t="shared" ref="H459:I459" si="919">LEN(D459)-LEN(B459)+1</f>
        <v>2</v>
      </c>
      <c r="I459" s="43">
        <f t="shared" si="919"/>
        <v>3</v>
      </c>
      <c r="J459" s="4" t="s">
        <v>36</v>
      </c>
      <c r="K459" s="4">
        <v>2.0</v>
      </c>
      <c r="L459" s="5" t="str">
        <f t="shared" ref="L459:M459" si="920">IFS(J459="-", "-", J459=H459, "Final", J459=1, "Initial", J459&gt;1, "Medial")</f>
        <v>-</v>
      </c>
      <c r="M459" s="44" t="str">
        <f t="shared" si="920"/>
        <v>Medial</v>
      </c>
      <c r="N459" s="5" t="str">
        <f t="shared" si="5"/>
        <v>me</v>
      </c>
      <c r="O459" s="5" t="str">
        <f t="shared" si="6"/>
        <v>ˈse</v>
      </c>
      <c r="P459" s="5" t="str">
        <f t="shared" si="7"/>
        <v>mɨ</v>
      </c>
      <c r="Q459" s="5" t="str">
        <f t="shared" si="8"/>
        <v>ˈseɾ</v>
      </c>
      <c r="R459" s="3"/>
      <c r="S459" s="3" t="s">
        <v>1484</v>
      </c>
      <c r="T459" s="3" t="s">
        <v>1485</v>
      </c>
      <c r="U459" s="3" t="s">
        <v>22</v>
      </c>
      <c r="V459" s="5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>
      <c r="A460" s="3" t="s">
        <v>14</v>
      </c>
      <c r="B460" s="3" t="s">
        <v>1479</v>
      </c>
      <c r="C460" s="3" t="s">
        <v>1480</v>
      </c>
      <c r="D460" s="3" t="s">
        <v>1481</v>
      </c>
      <c r="E460" s="3" t="s">
        <v>1482</v>
      </c>
      <c r="F460" s="3" t="s">
        <v>615</v>
      </c>
      <c r="G460" s="3" t="s">
        <v>1299</v>
      </c>
      <c r="H460" s="43">
        <f t="shared" ref="H460:I460" si="921">LEN(D460)-LEN(B460)+1</f>
        <v>2</v>
      </c>
      <c r="I460" s="43">
        <f t="shared" si="921"/>
        <v>3</v>
      </c>
      <c r="J460" s="4">
        <v>2.0</v>
      </c>
      <c r="K460" s="4">
        <v>3.0</v>
      </c>
      <c r="L460" s="5" t="str">
        <f t="shared" ref="L460:M460" si="922">IFS(J460="-", "-", J460=H460, "Final", J460=1, "Initial", J460&gt;1, "Medial")</f>
        <v>Final</v>
      </c>
      <c r="M460" s="44" t="str">
        <f t="shared" si="922"/>
        <v>Final</v>
      </c>
      <c r="N460" s="5" t="str">
        <f t="shared" si="5"/>
        <v>-</v>
      </c>
      <c r="O460" s="5">
        <f t="shared" si="6"/>
        <v>2</v>
      </c>
      <c r="P460" s="5" t="str">
        <f t="shared" si="7"/>
        <v>ɾɨ</v>
      </c>
      <c r="Q460" s="5">
        <f t="shared" si="8"/>
        <v>3</v>
      </c>
      <c r="R460" s="3"/>
      <c r="S460" s="3" t="s">
        <v>1484</v>
      </c>
      <c r="T460" s="3" t="s">
        <v>1485</v>
      </c>
      <c r="U460" s="3" t="s">
        <v>22</v>
      </c>
      <c r="V460" s="5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>
      <c r="A461" s="3" t="s">
        <v>14</v>
      </c>
      <c r="B461" s="3" t="s">
        <v>1487</v>
      </c>
      <c r="C461" s="3" t="s">
        <v>1488</v>
      </c>
      <c r="D461" s="3" t="s">
        <v>1489</v>
      </c>
      <c r="E461" s="3" t="s">
        <v>1490</v>
      </c>
      <c r="F461" s="3" t="s">
        <v>1491</v>
      </c>
      <c r="G461" s="3" t="s">
        <v>1491</v>
      </c>
      <c r="H461" s="43">
        <f t="shared" ref="H461:I461" si="923">LEN(D461)-LEN(B461)+1</f>
        <v>2</v>
      </c>
      <c r="I461" s="43">
        <f t="shared" si="923"/>
        <v>2</v>
      </c>
      <c r="J461" s="4">
        <v>1.0</v>
      </c>
      <c r="K461" s="4">
        <v>1.0</v>
      </c>
      <c r="L461" s="5" t="str">
        <f t="shared" ref="L461:M461" si="924">IFS(J461="-", "-", J461=H461, "Final", J461=1, "Initial", J461&gt;1, "Medial")</f>
        <v>Initial</v>
      </c>
      <c r="M461" s="44" t="str">
        <f t="shared" si="924"/>
        <v>Initial</v>
      </c>
      <c r="N461" s="5" t="str">
        <f t="shared" si="5"/>
        <v>0</v>
      </c>
      <c r="O461" s="5" t="str">
        <f t="shared" si="6"/>
        <v>ˈgwa</v>
      </c>
      <c r="P461" s="5" t="str">
        <f t="shared" si="7"/>
        <v>0</v>
      </c>
      <c r="Q461" s="5" t="str">
        <f t="shared" si="8"/>
        <v>ˈgwaɾ</v>
      </c>
      <c r="R461" s="3"/>
      <c r="S461" s="3" t="s">
        <v>1492</v>
      </c>
      <c r="T461" s="3" t="s">
        <v>1493</v>
      </c>
      <c r="U461" s="3" t="s">
        <v>22</v>
      </c>
      <c r="V461" s="5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>
      <c r="A462" s="3" t="s">
        <v>14</v>
      </c>
      <c r="B462" s="3" t="s">
        <v>1487</v>
      </c>
      <c r="C462" s="3" t="s">
        <v>1488</v>
      </c>
      <c r="D462" s="3" t="s">
        <v>1489</v>
      </c>
      <c r="E462" s="3" t="s">
        <v>1490</v>
      </c>
      <c r="F462" s="3" t="s">
        <v>1494</v>
      </c>
      <c r="G462" s="3" t="s">
        <v>1495</v>
      </c>
      <c r="H462" s="43">
        <f t="shared" ref="H462:I462" si="925">LEN(D462)-LEN(B462)+1</f>
        <v>2</v>
      </c>
      <c r="I462" s="43">
        <f t="shared" si="925"/>
        <v>2</v>
      </c>
      <c r="J462" s="4">
        <v>2.0</v>
      </c>
      <c r="K462" s="4">
        <v>2.0</v>
      </c>
      <c r="L462" s="5" t="str">
        <f t="shared" ref="L462:M462" si="926">IFS(J462="-", "-", J462=H462, "Final", J462=1, "Initial", J462&gt;1, "Medial")</f>
        <v>Final</v>
      </c>
      <c r="M462" s="44" t="str">
        <f t="shared" si="926"/>
        <v>Final</v>
      </c>
      <c r="N462" s="5" t="str">
        <f t="shared" si="5"/>
        <v>mĩ</v>
      </c>
      <c r="O462" s="5">
        <f t="shared" si="6"/>
        <v>2</v>
      </c>
      <c r="P462" s="5" t="str">
        <f t="shared" si="7"/>
        <v>mĩ</v>
      </c>
      <c r="Q462" s="5">
        <f t="shared" si="8"/>
        <v>2</v>
      </c>
      <c r="R462" s="3"/>
      <c r="S462" s="3" t="s">
        <v>1492</v>
      </c>
      <c r="T462" s="3" t="s">
        <v>1493</v>
      </c>
      <c r="U462" s="3" t="s">
        <v>22</v>
      </c>
      <c r="V462" s="5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>
      <c r="A463" s="3" t="s">
        <v>14</v>
      </c>
      <c r="B463" s="3" t="s">
        <v>1496</v>
      </c>
      <c r="C463" s="3" t="s">
        <v>1497</v>
      </c>
      <c r="D463" s="3" t="s">
        <v>1498</v>
      </c>
      <c r="E463" s="3" t="s">
        <v>1499</v>
      </c>
      <c r="F463" s="3" t="s">
        <v>1500</v>
      </c>
      <c r="G463" s="3" t="s">
        <v>611</v>
      </c>
      <c r="H463" s="43">
        <f t="shared" ref="H463:I463" si="927">LEN(D463)-LEN(B463)+1</f>
        <v>2</v>
      </c>
      <c r="I463" s="43">
        <f t="shared" si="927"/>
        <v>2</v>
      </c>
      <c r="J463" s="4">
        <v>1.0</v>
      </c>
      <c r="K463" s="4">
        <v>1.0</v>
      </c>
      <c r="L463" s="5" t="str">
        <f t="shared" ref="L463:M463" si="928">IFS(J463="-", "-", J463=H463, "Final", J463=1, "Initial", J463&gt;1, "Medial")</f>
        <v>Initial</v>
      </c>
      <c r="M463" s="44" t="str">
        <f t="shared" si="928"/>
        <v>Initial</v>
      </c>
      <c r="N463" s="5" t="str">
        <f t="shared" si="5"/>
        <v>0</v>
      </c>
      <c r="O463" s="5" t="str">
        <f t="shared" si="6"/>
        <v>ˈde</v>
      </c>
      <c r="P463" s="5" t="str">
        <f t="shared" si="7"/>
        <v>0</v>
      </c>
      <c r="Q463" s="5" t="str">
        <f t="shared" si="8"/>
        <v>ˈdeɾ</v>
      </c>
      <c r="R463" s="3"/>
      <c r="S463" s="3" t="s">
        <v>1501</v>
      </c>
      <c r="T463" s="3" t="s">
        <v>1502</v>
      </c>
      <c r="U463" s="3" t="s">
        <v>22</v>
      </c>
      <c r="V463" s="5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>
      <c r="A464" s="3" t="s">
        <v>14</v>
      </c>
      <c r="B464" s="3" t="s">
        <v>1496</v>
      </c>
      <c r="C464" s="3" t="s">
        <v>1497</v>
      </c>
      <c r="D464" s="3" t="s">
        <v>1498</v>
      </c>
      <c r="E464" s="3" t="s">
        <v>1499</v>
      </c>
      <c r="F464" s="3" t="s">
        <v>1331</v>
      </c>
      <c r="G464" s="3" t="s">
        <v>1181</v>
      </c>
      <c r="H464" s="43">
        <f t="shared" ref="H464:I464" si="929">LEN(D464)-LEN(B464)+1</f>
        <v>2</v>
      </c>
      <c r="I464" s="43">
        <f t="shared" si="929"/>
        <v>2</v>
      </c>
      <c r="J464" s="4">
        <v>2.0</v>
      </c>
      <c r="K464" s="4">
        <v>2.0</v>
      </c>
      <c r="L464" s="5" t="str">
        <f t="shared" ref="L464:M464" si="930">IFS(J464="-", "-", J464=H464, "Final", J464=1, "Initial", J464&gt;1, "Medial")</f>
        <v>Final</v>
      </c>
      <c r="M464" s="44" t="str">
        <f t="shared" si="930"/>
        <v>Final</v>
      </c>
      <c r="N464" s="5" t="str">
        <f t="shared" si="5"/>
        <v>mo</v>
      </c>
      <c r="O464" s="5">
        <f t="shared" si="6"/>
        <v>2</v>
      </c>
      <c r="P464" s="5" t="str">
        <f t="shared" si="7"/>
        <v>muɾ</v>
      </c>
      <c r="Q464" s="5">
        <f t="shared" si="8"/>
        <v>2</v>
      </c>
      <c r="R464" s="3"/>
      <c r="S464" s="3" t="s">
        <v>1501</v>
      </c>
      <c r="T464" s="3" t="s">
        <v>1502</v>
      </c>
      <c r="U464" s="3" t="s">
        <v>22</v>
      </c>
      <c r="V464" s="5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>
      <c r="A465" s="3" t="s">
        <v>14</v>
      </c>
      <c r="B465" s="3" t="s">
        <v>1503</v>
      </c>
      <c r="C465" s="3" t="s">
        <v>1504</v>
      </c>
      <c r="D465" s="3" t="s">
        <v>1503</v>
      </c>
      <c r="E465" s="3" t="s">
        <v>1505</v>
      </c>
      <c r="F465" s="3" t="s">
        <v>1503</v>
      </c>
      <c r="G465" s="3" t="s">
        <v>190</v>
      </c>
      <c r="H465" s="43">
        <f t="shared" ref="H465:I465" si="931">LEN(D465)-LEN(B465)+1</f>
        <v>1</v>
      </c>
      <c r="I465" s="43">
        <f t="shared" si="931"/>
        <v>2</v>
      </c>
      <c r="J465" s="4">
        <v>1.0</v>
      </c>
      <c r="K465" s="4">
        <v>1.0</v>
      </c>
      <c r="L465" s="5" t="str">
        <f t="shared" ref="L465:M465" si="932">IFS(J465="-", "-", J465=H465, "Final", J465=1, "Initial", J465&gt;1, "Medial")</f>
        <v>Final</v>
      </c>
      <c r="M465" s="44" t="str">
        <f t="shared" si="932"/>
        <v>Initial</v>
      </c>
      <c r="N465" s="5" t="str">
        <f t="shared" si="5"/>
        <v>0</v>
      </c>
      <c r="O465" s="5" t="str">
        <f t="shared" si="6"/>
        <v>-</v>
      </c>
      <c r="P465" s="5" t="str">
        <f t="shared" si="7"/>
        <v>0</v>
      </c>
      <c r="Q465" s="5" t="str">
        <f t="shared" si="8"/>
        <v>ˈɲaɾ</v>
      </c>
      <c r="R465" s="3" t="s">
        <v>80</v>
      </c>
      <c r="S465" s="3" t="s">
        <v>1506</v>
      </c>
      <c r="T465" s="3" t="s">
        <v>1507</v>
      </c>
      <c r="U465" s="3" t="s">
        <v>22</v>
      </c>
      <c r="V465" s="5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>
      <c r="A466" s="3" t="s">
        <v>14</v>
      </c>
      <c r="B466" s="3" t="s">
        <v>1503</v>
      </c>
      <c r="C466" s="3" t="s">
        <v>1504</v>
      </c>
      <c r="D466" s="3" t="s">
        <v>1503</v>
      </c>
      <c r="E466" s="3" t="s">
        <v>1505</v>
      </c>
      <c r="F466" s="3" t="s">
        <v>36</v>
      </c>
      <c r="G466" s="3" t="s">
        <v>1508</v>
      </c>
      <c r="H466" s="43">
        <f t="shared" ref="H466:I466" si="933">LEN(D466)-LEN(B466)+1</f>
        <v>1</v>
      </c>
      <c r="I466" s="43">
        <f t="shared" si="933"/>
        <v>2</v>
      </c>
      <c r="J466" s="4" t="s">
        <v>36</v>
      </c>
      <c r="K466" s="4">
        <v>2.0</v>
      </c>
      <c r="L466" s="5" t="str">
        <f t="shared" ref="L466:M466" si="934">IFS(J466="-", "-", J466=H466, "Final", J466=1, "Initial", J466&gt;1, "Medial")</f>
        <v>-</v>
      </c>
      <c r="M466" s="44" t="str">
        <f t="shared" si="934"/>
        <v>Final</v>
      </c>
      <c r="N466" s="5" t="str">
        <f t="shared" si="5"/>
        <v>ˈgɐ̃</v>
      </c>
      <c r="O466" s="5" t="str">
        <f t="shared" si="6"/>
        <v>-</v>
      </c>
      <c r="P466" s="5" t="str">
        <f t="shared" si="7"/>
        <v>gɐ</v>
      </c>
      <c r="Q466" s="5">
        <f t="shared" si="8"/>
        <v>2</v>
      </c>
      <c r="R466" s="3" t="s">
        <v>80</v>
      </c>
      <c r="S466" s="3" t="s">
        <v>1506</v>
      </c>
      <c r="T466" s="3" t="s">
        <v>1507</v>
      </c>
      <c r="U466" s="3" t="s">
        <v>22</v>
      </c>
      <c r="V466" s="5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>
      <c r="A467" s="3" t="s">
        <v>14</v>
      </c>
      <c r="B467" s="3" t="s">
        <v>1509</v>
      </c>
      <c r="C467" s="3" t="s">
        <v>1510</v>
      </c>
      <c r="D467" s="3" t="s">
        <v>1511</v>
      </c>
      <c r="E467" s="3" t="s">
        <v>1512</v>
      </c>
      <c r="F467" s="17" t="s">
        <v>36</v>
      </c>
      <c r="G467" s="3" t="s">
        <v>1113</v>
      </c>
      <c r="H467" s="43">
        <f t="shared" ref="H467:I467" si="935">LEN(D467)-LEN(B467)+1</f>
        <v>2</v>
      </c>
      <c r="I467" s="43">
        <f t="shared" si="935"/>
        <v>3</v>
      </c>
      <c r="J467" s="4" t="s">
        <v>36</v>
      </c>
      <c r="K467" s="4">
        <v>1.0</v>
      </c>
      <c r="L467" s="5" t="str">
        <f t="shared" ref="L467:M467" si="936">IFS(J467="-", "-", J467=H467, "Final", J467=1, "Initial", J467&gt;1, "Medial")</f>
        <v>-</v>
      </c>
      <c r="M467" s="44" t="str">
        <f t="shared" si="936"/>
        <v>Initial</v>
      </c>
      <c r="N467" s="5" t="str">
        <f t="shared" si="5"/>
        <v>0</v>
      </c>
      <c r="O467" s="5" t="str">
        <f t="shared" si="6"/>
        <v>ŋgɔ</v>
      </c>
      <c r="P467" s="5" t="str">
        <f t="shared" si="7"/>
        <v>0</v>
      </c>
      <c r="Q467" s="5" t="str">
        <f t="shared" si="8"/>
        <v>gu</v>
      </c>
      <c r="R467" s="3"/>
      <c r="S467" s="3" t="s">
        <v>1513</v>
      </c>
      <c r="T467" s="3" t="s">
        <v>1514</v>
      </c>
      <c r="U467" s="3" t="s">
        <v>22</v>
      </c>
      <c r="V467" s="5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>
      <c r="A468" s="3" t="s">
        <v>14</v>
      </c>
      <c r="B468" s="3" t="s">
        <v>1509</v>
      </c>
      <c r="C468" s="3" t="s">
        <v>1510</v>
      </c>
      <c r="D468" s="3" t="s">
        <v>1511</v>
      </c>
      <c r="E468" s="3" t="s">
        <v>1512</v>
      </c>
      <c r="F468" s="3" t="s">
        <v>1515</v>
      </c>
      <c r="G468" s="3" t="s">
        <v>98</v>
      </c>
      <c r="H468" s="43">
        <f t="shared" ref="H468:I468" si="937">LEN(D468)-LEN(B468)+1</f>
        <v>2</v>
      </c>
      <c r="I468" s="43">
        <f t="shared" si="937"/>
        <v>3</v>
      </c>
      <c r="J468" s="4">
        <v>1.0</v>
      </c>
      <c r="K468" s="4">
        <v>2.0</v>
      </c>
      <c r="L468" s="5" t="str">
        <f t="shared" ref="L468:M468" si="938">IFS(J468="-", "-", J468=H468, "Final", J468=1, "Initial", J468&gt;1, "Medial")</f>
        <v>Initial</v>
      </c>
      <c r="M468" s="44" t="str">
        <f t="shared" si="938"/>
        <v>Medial</v>
      </c>
      <c r="N468" s="5" t="str">
        <f t="shared" si="5"/>
        <v>-</v>
      </c>
      <c r="O468" s="5" t="str">
        <f t="shared" si="6"/>
        <v>ˈma</v>
      </c>
      <c r="P468" s="5" t="str">
        <f t="shared" si="7"/>
        <v>ẽ</v>
      </c>
      <c r="Q468" s="5" t="str">
        <f t="shared" si="8"/>
        <v>ˈmaɾ</v>
      </c>
      <c r="R468" s="3" t="s">
        <v>80</v>
      </c>
      <c r="S468" s="3" t="s">
        <v>1513</v>
      </c>
      <c r="T468" s="3" t="s">
        <v>1514</v>
      </c>
      <c r="U468" s="3" t="s">
        <v>22</v>
      </c>
      <c r="V468" s="5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>
      <c r="A469" s="3" t="s">
        <v>14</v>
      </c>
      <c r="B469" s="3" t="s">
        <v>1509</v>
      </c>
      <c r="C469" s="3" t="s">
        <v>1510</v>
      </c>
      <c r="D469" s="3" t="s">
        <v>1511</v>
      </c>
      <c r="E469" s="3" t="s">
        <v>1512</v>
      </c>
      <c r="F469" s="3" t="s">
        <v>451</v>
      </c>
      <c r="G469" s="3" t="s">
        <v>1211</v>
      </c>
      <c r="H469" s="43">
        <f t="shared" ref="H469:I469" si="939">LEN(D469)-LEN(B469)+1</f>
        <v>2</v>
      </c>
      <c r="I469" s="43">
        <f t="shared" si="939"/>
        <v>3</v>
      </c>
      <c r="J469" s="4">
        <v>2.0</v>
      </c>
      <c r="K469" s="4">
        <v>3.0</v>
      </c>
      <c r="L469" s="5" t="str">
        <f t="shared" ref="L469:M469" si="940">IFS(J469="-", "-", J469=H469, "Final", J469=1, "Initial", J469&gt;1, "Medial")</f>
        <v>Final</v>
      </c>
      <c r="M469" s="44" t="str">
        <f t="shared" si="940"/>
        <v>Final</v>
      </c>
      <c r="N469" s="5" t="str">
        <f t="shared" si="5"/>
        <v>ŋgɔ</v>
      </c>
      <c r="O469" s="5">
        <f t="shared" si="6"/>
        <v>2</v>
      </c>
      <c r="P469" s="5" t="str">
        <f t="shared" si="7"/>
        <v>gu</v>
      </c>
      <c r="Q469" s="5">
        <f t="shared" si="8"/>
        <v>3</v>
      </c>
      <c r="R469" s="3"/>
      <c r="S469" s="3" t="s">
        <v>1513</v>
      </c>
      <c r="T469" s="3" t="s">
        <v>1514</v>
      </c>
      <c r="U469" s="3" t="s">
        <v>22</v>
      </c>
      <c r="V469" s="5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>
      <c r="A470" s="3" t="s">
        <v>14</v>
      </c>
      <c r="B470" s="3" t="s">
        <v>1516</v>
      </c>
      <c r="C470" s="3" t="s">
        <v>1517</v>
      </c>
      <c r="D470" s="3" t="s">
        <v>1518</v>
      </c>
      <c r="E470" s="3" t="s">
        <v>1519</v>
      </c>
      <c r="F470" s="3" t="s">
        <v>98</v>
      </c>
      <c r="G470" s="3" t="s">
        <v>222</v>
      </c>
      <c r="H470" s="43">
        <f t="shared" ref="H470:I470" si="941">LEN(D470)-LEN(B470)+1</f>
        <v>3</v>
      </c>
      <c r="I470" s="43">
        <f t="shared" si="941"/>
        <v>3</v>
      </c>
      <c r="J470" s="4">
        <v>1.0</v>
      </c>
      <c r="K470" s="4">
        <v>1.0</v>
      </c>
      <c r="L470" s="5" t="str">
        <f t="shared" ref="L470:M470" si="942">IFS(J470="-", "-", J470=H470, "Final", J470=1, "Initial", J470&gt;1, "Medial")</f>
        <v>Initial</v>
      </c>
      <c r="M470" s="44" t="str">
        <f t="shared" si="942"/>
        <v>Initial</v>
      </c>
      <c r="N470" s="5" t="str">
        <f t="shared" si="5"/>
        <v>0</v>
      </c>
      <c r="O470" s="5" t="str">
        <f t="shared" si="6"/>
        <v>mi</v>
      </c>
      <c r="P470" s="5" t="str">
        <f t="shared" si="7"/>
        <v>0</v>
      </c>
      <c r="Q470" s="5" t="str">
        <f t="shared" si="8"/>
        <v>mi</v>
      </c>
      <c r="R470" s="3"/>
      <c r="S470" s="3" t="s">
        <v>1520</v>
      </c>
      <c r="T470" s="3" t="s">
        <v>1443</v>
      </c>
      <c r="U470" s="3" t="s">
        <v>22</v>
      </c>
      <c r="V470" s="5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>
      <c r="A471" s="3" t="s">
        <v>14</v>
      </c>
      <c r="B471" s="3" t="s">
        <v>1516</v>
      </c>
      <c r="C471" s="3" t="s">
        <v>1517</v>
      </c>
      <c r="D471" s="3" t="s">
        <v>1518</v>
      </c>
      <c r="E471" s="3" t="s">
        <v>1519</v>
      </c>
      <c r="F471" s="3" t="s">
        <v>575</v>
      </c>
      <c r="G471" s="3" t="s">
        <v>575</v>
      </c>
      <c r="H471" s="43">
        <f t="shared" ref="H471:I471" si="943">LEN(D471)-LEN(B471)+1</f>
        <v>3</v>
      </c>
      <c r="I471" s="43">
        <f t="shared" si="943"/>
        <v>3</v>
      </c>
      <c r="J471" s="4">
        <v>2.0</v>
      </c>
      <c r="K471" s="4">
        <v>2.0</v>
      </c>
      <c r="L471" s="5" t="str">
        <f t="shared" ref="L471:M471" si="944">IFS(J471="-", "-", J471=H471, "Final", J471=1, "Initial", J471&gt;1, "Medial")</f>
        <v>Medial</v>
      </c>
      <c r="M471" s="44" t="str">
        <f t="shared" si="944"/>
        <v>Medial</v>
      </c>
      <c r="N471" s="5" t="str">
        <f t="shared" si="5"/>
        <v>gu</v>
      </c>
      <c r="O471" s="5" t="str">
        <f t="shared" si="6"/>
        <v>ˈta</v>
      </c>
      <c r="P471" s="5" t="str">
        <f t="shared" si="7"/>
        <v>vu</v>
      </c>
      <c r="Q471" s="5" t="str">
        <f t="shared" si="8"/>
        <v>ˈtaɾ</v>
      </c>
      <c r="R471" s="3"/>
      <c r="S471" s="3" t="s">
        <v>1520</v>
      </c>
      <c r="T471" s="3" t="s">
        <v>1443</v>
      </c>
      <c r="U471" s="3" t="s">
        <v>22</v>
      </c>
      <c r="V471" s="5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>
      <c r="A472" s="3" t="s">
        <v>14</v>
      </c>
      <c r="B472" s="3" t="s">
        <v>1516</v>
      </c>
      <c r="C472" s="3" t="s">
        <v>1517</v>
      </c>
      <c r="D472" s="3" t="s">
        <v>1518</v>
      </c>
      <c r="E472" s="3" t="s">
        <v>1519</v>
      </c>
      <c r="F472" s="3" t="s">
        <v>1075</v>
      </c>
      <c r="G472" s="3" t="s">
        <v>1076</v>
      </c>
      <c r="H472" s="43">
        <f t="shared" ref="H472:I472" si="945">LEN(D472)-LEN(B472)+1</f>
        <v>3</v>
      </c>
      <c r="I472" s="43">
        <f t="shared" si="945"/>
        <v>3</v>
      </c>
      <c r="J472" s="4">
        <v>3.0</v>
      </c>
      <c r="K472" s="4">
        <v>3.0</v>
      </c>
      <c r="L472" s="5" t="str">
        <f t="shared" ref="L472:M472" si="946">IFS(J472="-", "-", J472=H472, "Final", J472=1, "Initial", J472&gt;1, "Medial")</f>
        <v>Final</v>
      </c>
      <c r="M472" s="44" t="str">
        <f t="shared" si="946"/>
        <v>Final</v>
      </c>
      <c r="N472" s="5" t="str">
        <f t="shared" si="5"/>
        <v>mi</v>
      </c>
      <c r="O472" s="5">
        <f t="shared" si="6"/>
        <v>3</v>
      </c>
      <c r="P472" s="5" t="str">
        <f t="shared" si="7"/>
        <v>mi</v>
      </c>
      <c r="Q472" s="5">
        <f t="shared" si="8"/>
        <v>3</v>
      </c>
      <c r="R472" s="3"/>
      <c r="S472" s="3" t="s">
        <v>1520</v>
      </c>
      <c r="T472" s="3" t="s">
        <v>1443</v>
      </c>
      <c r="U472" s="3" t="s">
        <v>22</v>
      </c>
      <c r="V472" s="5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>
      <c r="A473" s="3" t="s">
        <v>14</v>
      </c>
      <c r="B473" s="3" t="s">
        <v>1521</v>
      </c>
      <c r="C473" s="3" t="s">
        <v>1522</v>
      </c>
      <c r="D473" s="3" t="s">
        <v>1523</v>
      </c>
      <c r="E473" s="3" t="s">
        <v>1524</v>
      </c>
      <c r="F473" s="3" t="s">
        <v>1525</v>
      </c>
      <c r="G473" s="3" t="s">
        <v>1113</v>
      </c>
      <c r="H473" s="43">
        <f t="shared" ref="H473:I473" si="947">LEN(D473)-LEN(B473)+1</f>
        <v>2</v>
      </c>
      <c r="I473" s="43">
        <f t="shared" si="947"/>
        <v>3</v>
      </c>
      <c r="J473" s="4">
        <v>1.0</v>
      </c>
      <c r="K473" s="4">
        <v>1.0</v>
      </c>
      <c r="L473" s="5" t="str">
        <f t="shared" ref="L473:M473" si="948">IFS(J473="-", "-", J473=H473, "Final", J473=1, "Initial", J473&gt;1, "Medial")</f>
        <v>Initial</v>
      </c>
      <c r="M473" s="44" t="str">
        <f t="shared" si="948"/>
        <v>Initial</v>
      </c>
      <c r="N473" s="5" t="str">
        <f t="shared" si="5"/>
        <v>0</v>
      </c>
      <c r="O473" s="5" t="str">
        <f t="shared" si="6"/>
        <v>-</v>
      </c>
      <c r="P473" s="5" t="str">
        <f t="shared" si="7"/>
        <v>0</v>
      </c>
      <c r="Q473" s="5" t="str">
        <f t="shared" si="8"/>
        <v>tɨ</v>
      </c>
      <c r="R473" s="3" t="s">
        <v>80</v>
      </c>
      <c r="S473" s="3" t="s">
        <v>1526</v>
      </c>
      <c r="T473" s="3" t="s">
        <v>1527</v>
      </c>
      <c r="U473" s="3" t="s">
        <v>22</v>
      </c>
      <c r="V473" s="5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>
      <c r="A474" s="3" t="s">
        <v>14</v>
      </c>
      <c r="B474" s="3" t="s">
        <v>1521</v>
      </c>
      <c r="C474" s="3" t="s">
        <v>1522</v>
      </c>
      <c r="D474" s="3" t="s">
        <v>1523</v>
      </c>
      <c r="E474" s="3" t="s">
        <v>1524</v>
      </c>
      <c r="F474" s="3" t="s">
        <v>36</v>
      </c>
      <c r="G474" s="3" t="s">
        <v>56</v>
      </c>
      <c r="H474" s="43">
        <f t="shared" ref="H474:I474" si="949">LEN(D474)-LEN(B474)+1</f>
        <v>2</v>
      </c>
      <c r="I474" s="43">
        <f t="shared" si="949"/>
        <v>3</v>
      </c>
      <c r="J474" s="4" t="s">
        <v>36</v>
      </c>
      <c r="K474" s="4">
        <v>2.0</v>
      </c>
      <c r="L474" s="5" t="str">
        <f t="shared" ref="L474:M474" si="950">IFS(J474="-", "-", J474=H474, "Final", J474=1, "Initial", J474&gt;1, "Medial")</f>
        <v>-</v>
      </c>
      <c r="M474" s="44" t="str">
        <f t="shared" si="950"/>
        <v>Medial</v>
      </c>
      <c r="N474" s="5" t="str">
        <f t="shared" si="5"/>
        <v>ntɛ</v>
      </c>
      <c r="O474" s="5" t="str">
        <f t="shared" si="6"/>
        <v>ˈra</v>
      </c>
      <c r="P474" s="5" t="str">
        <f t="shared" si="7"/>
        <v>ẽ</v>
      </c>
      <c r="Q474" s="5" t="str">
        <f t="shared" si="8"/>
        <v>ˈʀaɾ</v>
      </c>
      <c r="R474" s="3"/>
      <c r="S474" s="3" t="s">
        <v>1526</v>
      </c>
      <c r="T474" s="3" t="s">
        <v>1527</v>
      </c>
      <c r="U474" s="3" t="s">
        <v>22</v>
      </c>
      <c r="V474" s="5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>
      <c r="A475" s="3" t="s">
        <v>14</v>
      </c>
      <c r="B475" s="3" t="s">
        <v>1521</v>
      </c>
      <c r="C475" s="3" t="s">
        <v>1522</v>
      </c>
      <c r="D475" s="3" t="s">
        <v>1523</v>
      </c>
      <c r="E475" s="3" t="s">
        <v>1524</v>
      </c>
      <c r="F475" s="3" t="s">
        <v>326</v>
      </c>
      <c r="G475" s="3" t="s">
        <v>1470</v>
      </c>
      <c r="H475" s="43">
        <f t="shared" ref="H475:I475" si="951">LEN(D475)-LEN(B475)+1</f>
        <v>2</v>
      </c>
      <c r="I475" s="43">
        <f t="shared" si="951"/>
        <v>3</v>
      </c>
      <c r="J475" s="4">
        <v>2.0</v>
      </c>
      <c r="K475" s="4">
        <v>3.0</v>
      </c>
      <c r="L475" s="5" t="str">
        <f t="shared" ref="L475:M475" si="952">IFS(J475="-", "-", J475=H475, "Final", J475=1, "Initial", J475&gt;1, "Medial")</f>
        <v>Final</v>
      </c>
      <c r="M475" s="44" t="str">
        <f t="shared" si="952"/>
        <v>Final</v>
      </c>
      <c r="N475" s="5" t="str">
        <f t="shared" si="5"/>
        <v>-</v>
      </c>
      <c r="O475" s="5">
        <f t="shared" si="6"/>
        <v>2</v>
      </c>
      <c r="P475" s="5" t="str">
        <f t="shared" si="7"/>
        <v>tɨ</v>
      </c>
      <c r="Q475" s="5">
        <f t="shared" si="8"/>
        <v>3</v>
      </c>
      <c r="R475" s="3"/>
      <c r="S475" s="3" t="s">
        <v>1526</v>
      </c>
      <c r="T475" s="3" t="s">
        <v>1527</v>
      </c>
      <c r="U475" s="3" t="s">
        <v>22</v>
      </c>
      <c r="V475" s="5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>
      <c r="A476" s="3" t="s">
        <v>14</v>
      </c>
      <c r="B476" s="3" t="s">
        <v>1528</v>
      </c>
      <c r="C476" s="3" t="s">
        <v>1529</v>
      </c>
      <c r="D476" s="3" t="s">
        <v>1530</v>
      </c>
      <c r="E476" s="3" t="s">
        <v>1531</v>
      </c>
      <c r="F476" s="3" t="s">
        <v>29</v>
      </c>
      <c r="G476" s="3" t="s">
        <v>29</v>
      </c>
      <c r="H476" s="43">
        <f t="shared" ref="H476:I476" si="953">LEN(D476)-LEN(B476)+1</f>
        <v>3</v>
      </c>
      <c r="I476" s="43">
        <f t="shared" si="953"/>
        <v>3</v>
      </c>
      <c r="J476" s="4">
        <v>1.0</v>
      </c>
      <c r="K476" s="4">
        <v>1.0</v>
      </c>
      <c r="L476" s="5" t="str">
        <f t="shared" ref="L476:M476" si="954">IFS(J476="-", "-", J476=H476, "Final", J476=1, "Initial", J476&gt;1, "Medial")</f>
        <v>Initial</v>
      </c>
      <c r="M476" s="44" t="str">
        <f t="shared" si="954"/>
        <v>Initial</v>
      </c>
      <c r="N476" s="5" t="str">
        <f t="shared" si="5"/>
        <v>0</v>
      </c>
      <c r="O476" s="5" t="str">
        <f t="shared" si="6"/>
        <v>bi</v>
      </c>
      <c r="P476" s="5" t="str">
        <f t="shared" si="7"/>
        <v>0</v>
      </c>
      <c r="Q476" s="5" t="str">
        <f t="shared" si="8"/>
        <v>bɾi</v>
      </c>
      <c r="R476" s="3" t="s">
        <v>80</v>
      </c>
      <c r="S476" s="3" t="s">
        <v>1532</v>
      </c>
      <c r="T476" s="3" t="s">
        <v>1533</v>
      </c>
      <c r="U476" s="3" t="s">
        <v>22</v>
      </c>
      <c r="V476" s="5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>
      <c r="A477" s="3" t="s">
        <v>14</v>
      </c>
      <c r="B477" s="3" t="s">
        <v>1528</v>
      </c>
      <c r="C477" s="3" t="s">
        <v>1529</v>
      </c>
      <c r="D477" s="3" t="s">
        <v>1530</v>
      </c>
      <c r="E477" s="3" t="s">
        <v>1531</v>
      </c>
      <c r="F477" s="3" t="s">
        <v>349</v>
      </c>
      <c r="G477" s="3" t="s">
        <v>1534</v>
      </c>
      <c r="H477" s="43">
        <f t="shared" ref="H477:I477" si="955">LEN(D477)-LEN(B477)+1</f>
        <v>3</v>
      </c>
      <c r="I477" s="43">
        <f t="shared" si="955"/>
        <v>3</v>
      </c>
      <c r="J477" s="4">
        <v>2.0</v>
      </c>
      <c r="K477" s="4">
        <v>2.0</v>
      </c>
      <c r="L477" s="5" t="str">
        <f t="shared" ref="L477:M477" si="956">IFS(J477="-", "-", J477=H477, "Final", J477=1, "Initial", J477&gt;1, "Medial")</f>
        <v>Medial</v>
      </c>
      <c r="M477" s="44" t="str">
        <f t="shared" si="956"/>
        <v>Medial</v>
      </c>
      <c r="N477" s="5" t="str">
        <f t="shared" si="5"/>
        <v>o</v>
      </c>
      <c r="O477" s="5" t="str">
        <f t="shared" si="6"/>
        <v>ˈga</v>
      </c>
      <c r="P477" s="5" t="str">
        <f t="shared" si="7"/>
        <v>o</v>
      </c>
      <c r="Q477" s="5" t="str">
        <f t="shared" si="8"/>
        <v>ˈgaɾ</v>
      </c>
      <c r="R477" s="3"/>
      <c r="S477" s="3" t="s">
        <v>1532</v>
      </c>
      <c r="T477" s="3" t="s">
        <v>1533</v>
      </c>
      <c r="U477" s="3" t="s">
        <v>22</v>
      </c>
      <c r="V477" s="5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>
      <c r="A478" s="3" t="s">
        <v>14</v>
      </c>
      <c r="B478" s="3" t="s">
        <v>1528</v>
      </c>
      <c r="C478" s="3" t="s">
        <v>1529</v>
      </c>
      <c r="D478" s="3" t="s">
        <v>1530</v>
      </c>
      <c r="E478" s="3" t="s">
        <v>1531</v>
      </c>
      <c r="F478" s="3" t="s">
        <v>629</v>
      </c>
      <c r="G478" s="3" t="s">
        <v>630</v>
      </c>
      <c r="H478" s="43">
        <f t="shared" ref="H478:I478" si="957">LEN(D478)-LEN(B478)+1</f>
        <v>3</v>
      </c>
      <c r="I478" s="43">
        <f t="shared" si="957"/>
        <v>3</v>
      </c>
      <c r="J478" s="4">
        <v>3.0</v>
      </c>
      <c r="K478" s="4">
        <v>3.0</v>
      </c>
      <c r="L478" s="5" t="str">
        <f t="shared" ref="L478:M478" si="958">IFS(J478="-", "-", J478=H478, "Final", J478=1, "Initial", J478&gt;1, "Medial")</f>
        <v>Final</v>
      </c>
      <c r="M478" s="44" t="str">
        <f t="shared" si="958"/>
        <v>Final</v>
      </c>
      <c r="N478" s="5" t="str">
        <f t="shared" si="5"/>
        <v>bi</v>
      </c>
      <c r="O478" s="5">
        <f t="shared" si="6"/>
        <v>3</v>
      </c>
      <c r="P478" s="5" t="str">
        <f t="shared" si="7"/>
        <v>bɾi</v>
      </c>
      <c r="Q478" s="5">
        <f t="shared" si="8"/>
        <v>3</v>
      </c>
      <c r="R478" s="3"/>
      <c r="S478" s="3" t="s">
        <v>1532</v>
      </c>
      <c r="T478" s="3" t="s">
        <v>1533</v>
      </c>
      <c r="U478" s="3" t="s">
        <v>22</v>
      </c>
      <c r="V478" s="5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>
      <c r="A479" s="15" t="s">
        <v>14</v>
      </c>
      <c r="B479" s="15" t="s">
        <v>1535</v>
      </c>
      <c r="C479" s="15" t="s">
        <v>1536</v>
      </c>
      <c r="D479" s="15" t="s">
        <v>1537</v>
      </c>
      <c r="E479" s="15" t="s">
        <v>1538</v>
      </c>
      <c r="F479" s="15" t="s">
        <v>36</v>
      </c>
      <c r="G479" s="15" t="s">
        <v>49</v>
      </c>
      <c r="H479" s="43">
        <f t="shared" ref="H479:I479" si="959">LEN(D479)-LEN(B479)+1</f>
        <v>2</v>
      </c>
      <c r="I479" s="43">
        <f t="shared" si="959"/>
        <v>3</v>
      </c>
      <c r="J479" s="18" t="s">
        <v>36</v>
      </c>
      <c r="K479" s="18">
        <v>1.0</v>
      </c>
      <c r="L479" s="5" t="str">
        <f t="shared" ref="L479:M479" si="960">IFS(J479="-", "-", J479=H479, "Final", J479=1, "Initial", J479&gt;1, "Medial")</f>
        <v>-</v>
      </c>
      <c r="M479" s="44" t="str">
        <f t="shared" si="960"/>
        <v>Initial</v>
      </c>
      <c r="N479" s="5" t="str">
        <f t="shared" si="5"/>
        <v>0</v>
      </c>
      <c r="O479" s="5" t="str">
        <f t="shared" si="6"/>
        <v>pa</v>
      </c>
      <c r="P479" s="5" t="str">
        <f t="shared" si="7"/>
        <v>0</v>
      </c>
      <c r="Q479" s="5" t="str">
        <f t="shared" si="8"/>
        <v>pɐ</v>
      </c>
      <c r="R479" s="15" t="s">
        <v>80</v>
      </c>
      <c r="S479" s="15" t="s">
        <v>1539</v>
      </c>
      <c r="T479" s="15" t="s">
        <v>1540</v>
      </c>
      <c r="U479" s="15" t="s">
        <v>22</v>
      </c>
      <c r="V479" s="20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</row>
    <row r="480">
      <c r="A480" s="15" t="s">
        <v>14</v>
      </c>
      <c r="B480" s="15" t="s">
        <v>1535</v>
      </c>
      <c r="C480" s="15" t="s">
        <v>1536</v>
      </c>
      <c r="D480" s="15" t="s">
        <v>1537</v>
      </c>
      <c r="E480" s="15" t="s">
        <v>1538</v>
      </c>
      <c r="F480" s="15" t="s">
        <v>1541</v>
      </c>
      <c r="G480" s="15" t="s">
        <v>254</v>
      </c>
      <c r="H480" s="43">
        <f t="shared" ref="H480:I480" si="961">LEN(D480)-LEN(B480)+1</f>
        <v>2</v>
      </c>
      <c r="I480" s="43">
        <f t="shared" si="961"/>
        <v>3</v>
      </c>
      <c r="J480" s="18">
        <v>1.0</v>
      </c>
      <c r="K480" s="18">
        <v>2.0</v>
      </c>
      <c r="L480" s="5" t="str">
        <f t="shared" ref="L480:M480" si="962">IFS(J480="-", "-", J480=H480, "Final", J480=1, "Initial", J480&gt;1, "Medial")</f>
        <v>Initial</v>
      </c>
      <c r="M480" s="44" t="str">
        <f t="shared" si="962"/>
        <v>Medial</v>
      </c>
      <c r="N480" s="5" t="str">
        <f t="shared" si="5"/>
        <v>-</v>
      </c>
      <c r="O480" s="5" t="str">
        <f t="shared" si="6"/>
        <v>ˈga</v>
      </c>
      <c r="P480" s="5" t="str">
        <f t="shared" si="7"/>
        <v>ɐ</v>
      </c>
      <c r="Q480" s="5" t="str">
        <f t="shared" si="8"/>
        <v>ˈgaɾ</v>
      </c>
      <c r="R480" s="15"/>
      <c r="S480" s="15" t="s">
        <v>1539</v>
      </c>
      <c r="T480" s="15" t="s">
        <v>1540</v>
      </c>
      <c r="U480" s="15" t="s">
        <v>22</v>
      </c>
      <c r="V480" s="20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</row>
    <row r="481">
      <c r="A481" s="15" t="s">
        <v>14</v>
      </c>
      <c r="B481" s="15" t="s">
        <v>1535</v>
      </c>
      <c r="C481" s="15" t="s">
        <v>1536</v>
      </c>
      <c r="D481" s="15" t="s">
        <v>1537</v>
      </c>
      <c r="E481" s="15" t="s">
        <v>1538</v>
      </c>
      <c r="F481" s="15" t="s">
        <v>629</v>
      </c>
      <c r="G481" s="15" t="s">
        <v>630</v>
      </c>
      <c r="H481" s="43">
        <f t="shared" ref="H481:I481" si="963">LEN(D481)-LEN(B481)+1</f>
        <v>2</v>
      </c>
      <c r="I481" s="43">
        <f t="shared" si="963"/>
        <v>3</v>
      </c>
      <c r="J481" s="18">
        <v>2.0</v>
      </c>
      <c r="K481" s="18">
        <v>3.0</v>
      </c>
      <c r="L481" s="5" t="str">
        <f t="shared" ref="L481:M481" si="964">IFS(J481="-", "-", J481=H481, "Final", J481=1, "Initial", J481&gt;1, "Medial")</f>
        <v>Final</v>
      </c>
      <c r="M481" s="44" t="str">
        <f t="shared" si="964"/>
        <v>Final</v>
      </c>
      <c r="N481" s="5" t="str">
        <f t="shared" si="5"/>
        <v>pa</v>
      </c>
      <c r="O481" s="5">
        <f t="shared" si="6"/>
        <v>2</v>
      </c>
      <c r="P481" s="5" t="str">
        <f t="shared" si="7"/>
        <v>pɐ</v>
      </c>
      <c r="Q481" s="5">
        <f t="shared" si="8"/>
        <v>3</v>
      </c>
      <c r="R481" s="15"/>
      <c r="S481" s="15" t="s">
        <v>1539</v>
      </c>
      <c r="T481" s="15" t="s">
        <v>1540</v>
      </c>
      <c r="U481" s="15" t="s">
        <v>22</v>
      </c>
      <c r="V481" s="20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</row>
    <row r="482">
      <c r="A482" s="3" t="s">
        <v>14</v>
      </c>
      <c r="B482" s="3" t="s">
        <v>1542</v>
      </c>
      <c r="C482" s="3" t="s">
        <v>1543</v>
      </c>
      <c r="D482" s="3" t="s">
        <v>1544</v>
      </c>
      <c r="E482" s="3" t="s">
        <v>1545</v>
      </c>
      <c r="F482" s="3" t="s">
        <v>1541</v>
      </c>
      <c r="G482" s="3" t="s">
        <v>254</v>
      </c>
      <c r="H482" s="43">
        <f t="shared" ref="H482:I482" si="965">LEN(D482)-LEN(B482)+1</f>
        <v>2</v>
      </c>
      <c r="I482" s="43">
        <f t="shared" si="965"/>
        <v>2</v>
      </c>
      <c r="J482" s="4">
        <v>1.0</v>
      </c>
      <c r="K482" s="4">
        <v>1.0</v>
      </c>
      <c r="L482" s="5" t="str">
        <f t="shared" ref="L482:M482" si="966">IFS(J482="-", "-", J482=H482, "Final", J482=1, "Initial", J482&gt;1, "Medial")</f>
        <v>Initial</v>
      </c>
      <c r="M482" s="44" t="str">
        <f t="shared" si="966"/>
        <v>Initial</v>
      </c>
      <c r="N482" s="5" t="str">
        <f t="shared" si="5"/>
        <v>0</v>
      </c>
      <c r="O482" s="5" t="str">
        <f t="shared" si="6"/>
        <v>ˈpa</v>
      </c>
      <c r="P482" s="5" t="str">
        <f t="shared" si="7"/>
        <v>0</v>
      </c>
      <c r="Q482" s="5" t="str">
        <f t="shared" si="8"/>
        <v>ˈpaɾ</v>
      </c>
      <c r="R482" s="3"/>
      <c r="S482" s="3" t="s">
        <v>1546</v>
      </c>
      <c r="T482" s="3" t="s">
        <v>1547</v>
      </c>
      <c r="U482" s="3" t="s">
        <v>22</v>
      </c>
      <c r="V482" s="5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>
      <c r="A483" s="3" t="s">
        <v>14</v>
      </c>
      <c r="B483" s="3" t="s">
        <v>1542</v>
      </c>
      <c r="C483" s="3" t="s">
        <v>1543</v>
      </c>
      <c r="D483" s="3" t="s">
        <v>1544</v>
      </c>
      <c r="E483" s="3" t="s">
        <v>1545</v>
      </c>
      <c r="F483" s="3" t="s">
        <v>1396</v>
      </c>
      <c r="G483" s="3" t="s">
        <v>1397</v>
      </c>
      <c r="H483" s="43">
        <f t="shared" ref="H483:I483" si="967">LEN(D483)-LEN(B483)+1</f>
        <v>2</v>
      </c>
      <c r="I483" s="43">
        <f t="shared" si="967"/>
        <v>2</v>
      </c>
      <c r="J483" s="4">
        <v>2.0</v>
      </c>
      <c r="K483" s="4">
        <v>2.0</v>
      </c>
      <c r="L483" s="5" t="str">
        <f t="shared" ref="L483:M483" si="968">IFS(J483="-", "-", J483=H483, "Final", J483=1, "Initial", J483&gt;1, "Medial")</f>
        <v>Final</v>
      </c>
      <c r="M483" s="44" t="str">
        <f t="shared" si="968"/>
        <v>Final</v>
      </c>
      <c r="N483" s="5" t="str">
        <f t="shared" si="5"/>
        <v>pa</v>
      </c>
      <c r="O483" s="5">
        <f t="shared" si="6"/>
        <v>2</v>
      </c>
      <c r="P483" s="5" t="str">
        <f t="shared" si="7"/>
        <v>pɐ</v>
      </c>
      <c r="Q483" s="5">
        <f t="shared" si="8"/>
        <v>2</v>
      </c>
      <c r="R483" s="3"/>
      <c r="S483" s="3" t="s">
        <v>1546</v>
      </c>
      <c r="T483" s="3" t="s">
        <v>1547</v>
      </c>
      <c r="U483" s="3" t="s">
        <v>22</v>
      </c>
      <c r="V483" s="5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>
      <c r="A484" s="15" t="s">
        <v>14</v>
      </c>
      <c r="B484" s="15" t="s">
        <v>1548</v>
      </c>
      <c r="C484" s="15" t="s">
        <v>1549</v>
      </c>
      <c r="D484" s="15" t="s">
        <v>1550</v>
      </c>
      <c r="E484" s="15" t="s">
        <v>1551</v>
      </c>
      <c r="F484" s="15" t="s">
        <v>36</v>
      </c>
      <c r="G484" s="15" t="s">
        <v>49</v>
      </c>
      <c r="H484" s="43">
        <f t="shared" ref="H484:I484" si="969">LEN(D484)-LEN(B484)+1</f>
        <v>3</v>
      </c>
      <c r="I484" s="43">
        <f t="shared" si="969"/>
        <v>4</v>
      </c>
      <c r="J484" s="18" t="s">
        <v>36</v>
      </c>
      <c r="K484" s="18">
        <v>1.0</v>
      </c>
      <c r="L484" s="5" t="str">
        <f t="shared" ref="L484:M484" si="970">IFS(J484="-", "-", J484=H484, "Final", J484=1, "Initial", J484&gt;1, "Medial")</f>
        <v>-</v>
      </c>
      <c r="M484" s="44" t="str">
        <f t="shared" si="970"/>
        <v>Initial</v>
      </c>
      <c r="N484" s="5" t="str">
        <f t="shared" si="5"/>
        <v>0</v>
      </c>
      <c r="O484" s="5" t="str">
        <f t="shared" si="6"/>
        <v>pa</v>
      </c>
      <c r="P484" s="5" t="str">
        <f t="shared" si="7"/>
        <v>0</v>
      </c>
      <c r="Q484" s="5" t="str">
        <f t="shared" si="8"/>
        <v>pɐ</v>
      </c>
      <c r="R484" s="15" t="s">
        <v>80</v>
      </c>
      <c r="S484" s="15" t="s">
        <v>1552</v>
      </c>
      <c r="T484" s="15" t="s">
        <v>1553</v>
      </c>
      <c r="U484" s="15" t="s">
        <v>22</v>
      </c>
      <c r="V484" s="20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</row>
    <row r="485">
      <c r="A485" s="15" t="s">
        <v>14</v>
      </c>
      <c r="B485" s="15" t="s">
        <v>1548</v>
      </c>
      <c r="C485" s="15" t="s">
        <v>1549</v>
      </c>
      <c r="D485" s="15" t="s">
        <v>1550</v>
      </c>
      <c r="E485" s="15" t="s">
        <v>1551</v>
      </c>
      <c r="F485" s="15" t="s">
        <v>1541</v>
      </c>
      <c r="G485" s="15" t="s">
        <v>254</v>
      </c>
      <c r="H485" s="43">
        <f t="shared" ref="H485:I485" si="971">LEN(D485)-LEN(B485)+1</f>
        <v>3</v>
      </c>
      <c r="I485" s="43">
        <f t="shared" si="971"/>
        <v>4</v>
      </c>
      <c r="J485" s="18">
        <v>1.0</v>
      </c>
      <c r="K485" s="18">
        <v>2.0</v>
      </c>
      <c r="L485" s="5" t="str">
        <f t="shared" ref="L485:M485" si="972">IFS(J485="-", "-", J485=H485, "Final", J485=1, "Initial", J485&gt;1, "Medial")</f>
        <v>Initial</v>
      </c>
      <c r="M485" s="44" t="str">
        <f t="shared" si="972"/>
        <v>Medial</v>
      </c>
      <c r="N485" s="5" t="str">
        <f t="shared" si="5"/>
        <v>-</v>
      </c>
      <c r="O485" s="5" t="str">
        <f t="shared" si="6"/>
        <v>re</v>
      </c>
      <c r="P485" s="5" t="str">
        <f t="shared" si="7"/>
        <v>ɐ</v>
      </c>
      <c r="Q485" s="5" t="str">
        <f t="shared" si="8"/>
        <v>ɾɨ</v>
      </c>
      <c r="R485" s="15"/>
      <c r="S485" s="15" t="s">
        <v>1552</v>
      </c>
      <c r="T485" s="15" t="s">
        <v>1553</v>
      </c>
      <c r="U485" s="15" t="s">
        <v>22</v>
      </c>
      <c r="V485" s="20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</row>
    <row r="486">
      <c r="A486" s="15" t="s">
        <v>14</v>
      </c>
      <c r="B486" s="15" t="s">
        <v>1548</v>
      </c>
      <c r="C486" s="15" t="s">
        <v>1549</v>
      </c>
      <c r="D486" s="15" t="s">
        <v>1550</v>
      </c>
      <c r="E486" s="15" t="s">
        <v>1551</v>
      </c>
      <c r="F486" s="15" t="s">
        <v>1554</v>
      </c>
      <c r="G486" s="15" t="s">
        <v>1486</v>
      </c>
      <c r="H486" s="43">
        <f t="shared" ref="H486:I486" si="973">LEN(D486)-LEN(B486)+1</f>
        <v>3</v>
      </c>
      <c r="I486" s="43">
        <f t="shared" si="973"/>
        <v>4</v>
      </c>
      <c r="J486" s="18">
        <v>2.0</v>
      </c>
      <c r="K486" s="18">
        <v>3.0</v>
      </c>
      <c r="L486" s="5" t="str">
        <f t="shared" ref="L486:M486" si="974">IFS(J486="-", "-", J486=H486, "Final", J486=1, "Initial", J486&gt;1, "Medial")</f>
        <v>Medial</v>
      </c>
      <c r="M486" s="44" t="str">
        <f t="shared" si="974"/>
        <v>Medial</v>
      </c>
      <c r="N486" s="5" t="str">
        <f t="shared" si="5"/>
        <v>pa</v>
      </c>
      <c r="O486" s="5" t="str">
        <f t="shared" si="6"/>
        <v>ˈse</v>
      </c>
      <c r="P486" s="5" t="str">
        <f t="shared" si="7"/>
        <v>pɐ</v>
      </c>
      <c r="Q486" s="5" t="str">
        <f t="shared" si="8"/>
        <v>ˈseɾ</v>
      </c>
      <c r="R486" s="15"/>
      <c r="S486" s="15" t="s">
        <v>1552</v>
      </c>
      <c r="T486" s="15" t="s">
        <v>1553</v>
      </c>
      <c r="U486" s="15" t="s">
        <v>22</v>
      </c>
      <c r="V486" s="20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</row>
    <row r="487">
      <c r="A487" s="15" t="s">
        <v>14</v>
      </c>
      <c r="B487" s="15" t="s">
        <v>1548</v>
      </c>
      <c r="C487" s="15" t="s">
        <v>1549</v>
      </c>
      <c r="D487" s="15" t="s">
        <v>1550</v>
      </c>
      <c r="E487" s="15" t="s">
        <v>1551</v>
      </c>
      <c r="F487" s="15" t="s">
        <v>615</v>
      </c>
      <c r="G487" s="15" t="s">
        <v>1299</v>
      </c>
      <c r="H487" s="43">
        <f t="shared" ref="H487:I487" si="975">LEN(D487)-LEN(B487)+1</f>
        <v>3</v>
      </c>
      <c r="I487" s="43">
        <f t="shared" si="975"/>
        <v>4</v>
      </c>
      <c r="J487" s="18">
        <v>3.0</v>
      </c>
      <c r="K487" s="18">
        <v>4.0</v>
      </c>
      <c r="L487" s="5" t="str">
        <f t="shared" ref="L487:M487" si="976">IFS(J487="-", "-", J487=H487, "Final", J487=1, "Initial", J487&gt;1, "Medial")</f>
        <v>Final</v>
      </c>
      <c r="M487" s="44" t="str">
        <f t="shared" si="976"/>
        <v>Final</v>
      </c>
      <c r="N487" s="5" t="str">
        <f t="shared" si="5"/>
        <v>re</v>
      </c>
      <c r="O487" s="5">
        <f t="shared" si="6"/>
        <v>3</v>
      </c>
      <c r="P487" s="5" t="str">
        <f t="shared" si="7"/>
        <v>ɾɨ</v>
      </c>
      <c r="Q487" s="5">
        <f t="shared" si="8"/>
        <v>4</v>
      </c>
      <c r="R487" s="15"/>
      <c r="S487" s="15" t="s">
        <v>1552</v>
      </c>
      <c r="T487" s="15" t="s">
        <v>1553</v>
      </c>
      <c r="U487" s="15" t="s">
        <v>22</v>
      </c>
      <c r="V487" s="20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</row>
    <row r="488">
      <c r="A488" s="3" t="s">
        <v>14</v>
      </c>
      <c r="B488" s="3" t="s">
        <v>1555</v>
      </c>
      <c r="C488" s="3" t="s">
        <v>1556</v>
      </c>
      <c r="D488" s="3" t="s">
        <v>1557</v>
      </c>
      <c r="E488" s="3" t="s">
        <v>1558</v>
      </c>
      <c r="F488" s="3" t="s">
        <v>233</v>
      </c>
      <c r="G488" s="3" t="s">
        <v>1234</v>
      </c>
      <c r="H488" s="43">
        <f t="shared" ref="H488:I488" si="977">LEN(D488)-LEN(B488)+1</f>
        <v>2</v>
      </c>
      <c r="I488" s="43">
        <f t="shared" si="977"/>
        <v>2</v>
      </c>
      <c r="J488" s="4">
        <v>1.0</v>
      </c>
      <c r="K488" s="4">
        <v>1.0</v>
      </c>
      <c r="L488" s="5" t="str">
        <f t="shared" ref="L488:M488" si="978">IFS(J488="-", "-", J488=H488, "Final", J488=1, "Initial", J488&gt;1, "Medial")</f>
        <v>Initial</v>
      </c>
      <c r="M488" s="44" t="str">
        <f t="shared" si="978"/>
        <v>Initial</v>
      </c>
      <c r="N488" s="5" t="str">
        <f t="shared" si="5"/>
        <v>0</v>
      </c>
      <c r="O488" s="5" t="str">
        <f t="shared" si="6"/>
        <v>ˈdi</v>
      </c>
      <c r="P488" s="5" t="str">
        <f t="shared" si="7"/>
        <v>0</v>
      </c>
      <c r="Q488" s="5" t="str">
        <f t="shared" si="8"/>
        <v>ˈdiɾ</v>
      </c>
      <c r="R488" s="3"/>
      <c r="S488" s="3" t="s">
        <v>1559</v>
      </c>
      <c r="T488" s="3" t="s">
        <v>1560</v>
      </c>
      <c r="U488" s="3" t="s">
        <v>22</v>
      </c>
      <c r="V488" s="5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>
      <c r="A489" s="3" t="s">
        <v>14</v>
      </c>
      <c r="B489" s="3" t="s">
        <v>1555</v>
      </c>
      <c r="C489" s="3" t="s">
        <v>1556</v>
      </c>
      <c r="D489" s="3" t="s">
        <v>1557</v>
      </c>
      <c r="E489" s="3" t="s">
        <v>1558</v>
      </c>
      <c r="F489" s="3" t="s">
        <v>1387</v>
      </c>
      <c r="G489" s="3" t="s">
        <v>1388</v>
      </c>
      <c r="H489" s="43">
        <f t="shared" ref="H489:I489" si="979">LEN(D489)-LEN(B489)+1</f>
        <v>2</v>
      </c>
      <c r="I489" s="43">
        <f t="shared" si="979"/>
        <v>2</v>
      </c>
      <c r="J489" s="4">
        <v>2.0</v>
      </c>
      <c r="K489" s="4">
        <v>2.0</v>
      </c>
      <c r="L489" s="5" t="str">
        <f t="shared" ref="L489:M489" si="980">IFS(J489="-", "-", J489=H489, "Final", J489=1, "Initial", J489&gt;1, "Medial")</f>
        <v>Final</v>
      </c>
      <c r="M489" s="44" t="str">
        <f t="shared" si="980"/>
        <v>Final</v>
      </c>
      <c r="N489" s="5" t="str">
        <f t="shared" si="5"/>
        <v>pi</v>
      </c>
      <c r="O489" s="5">
        <f t="shared" si="6"/>
        <v>2</v>
      </c>
      <c r="P489" s="5" t="str">
        <f t="shared" si="7"/>
        <v>pɨ</v>
      </c>
      <c r="Q489" s="5">
        <f t="shared" si="8"/>
        <v>2</v>
      </c>
      <c r="R489" s="3"/>
      <c r="S489" s="3" t="s">
        <v>1559</v>
      </c>
      <c r="T489" s="3" t="s">
        <v>1560</v>
      </c>
      <c r="U489" s="3" t="s">
        <v>22</v>
      </c>
      <c r="V489" s="5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>
      <c r="A490" s="3" t="s">
        <v>14</v>
      </c>
      <c r="B490" s="3" t="s">
        <v>1561</v>
      </c>
      <c r="C490" s="3" t="s">
        <v>1562</v>
      </c>
      <c r="D490" s="3" t="s">
        <v>1563</v>
      </c>
      <c r="E490" s="3" t="s">
        <v>1564</v>
      </c>
      <c r="F490" s="3" t="s">
        <v>233</v>
      </c>
      <c r="G490" s="3" t="s">
        <v>233</v>
      </c>
      <c r="H490" s="43">
        <f t="shared" ref="H490:I490" si="981">LEN(D490)-LEN(B490)+1</f>
        <v>2</v>
      </c>
      <c r="I490" s="43">
        <f t="shared" si="981"/>
        <v>2</v>
      </c>
      <c r="J490" s="4">
        <v>1.0</v>
      </c>
      <c r="K490" s="4">
        <v>1.0</v>
      </c>
      <c r="L490" s="5" t="str">
        <f t="shared" ref="L490:M490" si="982">IFS(J490="-", "-", J490=H490, "Final", J490=1, "Initial", J490&gt;1, "Medial")</f>
        <v>Initial</v>
      </c>
      <c r="M490" s="44" t="str">
        <f t="shared" si="982"/>
        <v>Initial</v>
      </c>
      <c r="N490" s="5" t="str">
        <f t="shared" si="5"/>
        <v>0</v>
      </c>
      <c r="O490" s="5" t="str">
        <f t="shared" si="6"/>
        <v>ˈka</v>
      </c>
      <c r="P490" s="5" t="str">
        <f t="shared" si="7"/>
        <v>0</v>
      </c>
      <c r="Q490" s="5" t="str">
        <f t="shared" si="8"/>
        <v>ˈkaɾ</v>
      </c>
      <c r="R490" s="3"/>
      <c r="S490" s="3" t="s">
        <v>1565</v>
      </c>
      <c r="T490" s="3" t="s">
        <v>1566</v>
      </c>
      <c r="U490" s="3" t="s">
        <v>22</v>
      </c>
      <c r="V490" s="5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>
      <c r="A491" s="3" t="s">
        <v>14</v>
      </c>
      <c r="B491" s="3" t="s">
        <v>1561</v>
      </c>
      <c r="C491" s="3" t="s">
        <v>1562</v>
      </c>
      <c r="D491" s="3" t="s">
        <v>1563</v>
      </c>
      <c r="E491" s="3" t="s">
        <v>1564</v>
      </c>
      <c r="F491" s="3" t="s">
        <v>131</v>
      </c>
      <c r="G491" s="3" t="s">
        <v>132</v>
      </c>
      <c r="H491" s="43">
        <f t="shared" ref="H491:I491" si="983">LEN(D491)-LEN(B491)+1</f>
        <v>2</v>
      </c>
      <c r="I491" s="43">
        <f t="shared" si="983"/>
        <v>2</v>
      </c>
      <c r="J491" s="4">
        <v>2.0</v>
      </c>
      <c r="K491" s="4">
        <v>2.0</v>
      </c>
      <c r="L491" s="5" t="str">
        <f t="shared" ref="L491:M491" si="984">IFS(J491="-", "-", J491=H491, "Final", J491=1, "Initial", J491&gt;1, "Medial")</f>
        <v>Final</v>
      </c>
      <c r="M491" s="44" t="str">
        <f t="shared" si="984"/>
        <v>Final</v>
      </c>
      <c r="N491" s="5" t="str">
        <f t="shared" si="5"/>
        <v>pi</v>
      </c>
      <c r="O491" s="5">
        <f t="shared" si="6"/>
        <v>2</v>
      </c>
      <c r="P491" s="5" t="str">
        <f t="shared" si="7"/>
        <v>pi</v>
      </c>
      <c r="Q491" s="5">
        <f t="shared" si="8"/>
        <v>2</v>
      </c>
      <c r="R491" s="3"/>
      <c r="S491" s="3" t="s">
        <v>1565</v>
      </c>
      <c r="T491" s="3" t="s">
        <v>1566</v>
      </c>
      <c r="U491" s="3" t="s">
        <v>22</v>
      </c>
      <c r="V491" s="5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>
      <c r="A492" s="15" t="s">
        <v>14</v>
      </c>
      <c r="B492" s="15" t="s">
        <v>1567</v>
      </c>
      <c r="C492" s="15" t="s">
        <v>1568</v>
      </c>
      <c r="D492" s="15" t="s">
        <v>1569</v>
      </c>
      <c r="E492" s="15" t="s">
        <v>1570</v>
      </c>
      <c r="F492" s="15" t="s">
        <v>36</v>
      </c>
      <c r="G492" s="15" t="s">
        <v>1113</v>
      </c>
      <c r="H492" s="43">
        <f t="shared" ref="H492:I492" si="985">LEN(D492)-LEN(B492)+1</f>
        <v>2</v>
      </c>
      <c r="I492" s="43">
        <f t="shared" si="985"/>
        <v>3</v>
      </c>
      <c r="J492" s="18" t="s">
        <v>36</v>
      </c>
      <c r="K492" s="18">
        <v>1.0</v>
      </c>
      <c r="L492" s="5" t="str">
        <f t="shared" ref="L492:M492" si="986">IFS(J492="-", "-", J492=H492, "Final", J492=1, "Initial", J492&gt;1, "Medial")</f>
        <v>-</v>
      </c>
      <c r="M492" s="44" t="str">
        <f t="shared" si="986"/>
        <v>Initial</v>
      </c>
      <c r="N492" s="5" t="str">
        <f t="shared" si="5"/>
        <v>0</v>
      </c>
      <c r="O492" s="5" t="str">
        <f t="shared" si="6"/>
        <v>pĩ</v>
      </c>
      <c r="P492" s="5" t="str">
        <f t="shared" si="7"/>
        <v>0</v>
      </c>
      <c r="Q492" s="5" t="str">
        <f t="shared" si="8"/>
        <v>pu</v>
      </c>
      <c r="R492" s="15" t="s">
        <v>80</v>
      </c>
      <c r="S492" s="15" t="s">
        <v>1571</v>
      </c>
      <c r="T492" s="15" t="s">
        <v>1572</v>
      </c>
      <c r="U492" s="15" t="s">
        <v>22</v>
      </c>
      <c r="V492" s="20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</row>
    <row r="493">
      <c r="A493" s="15" t="s">
        <v>14</v>
      </c>
      <c r="B493" s="15" t="s">
        <v>1567</v>
      </c>
      <c r="C493" s="15" t="s">
        <v>1568</v>
      </c>
      <c r="D493" s="15" t="s">
        <v>1569</v>
      </c>
      <c r="E493" s="15" t="s">
        <v>1570</v>
      </c>
      <c r="F493" s="15" t="s">
        <v>1573</v>
      </c>
      <c r="G493" s="15" t="s">
        <v>437</v>
      </c>
      <c r="H493" s="43">
        <f t="shared" ref="H493:I493" si="987">LEN(D493)-LEN(B493)+1</f>
        <v>2</v>
      </c>
      <c r="I493" s="43">
        <f t="shared" si="987"/>
        <v>3</v>
      </c>
      <c r="J493" s="18">
        <v>1.0</v>
      </c>
      <c r="K493" s="18">
        <v>2.0</v>
      </c>
      <c r="L493" s="5" t="str">
        <f t="shared" ref="L493:M493" si="988">IFS(J493="-", "-", J493=H493, "Final", J493=1, "Initial", J493&gt;1, "Medial")</f>
        <v>Initial</v>
      </c>
      <c r="M493" s="44" t="str">
        <f t="shared" si="988"/>
        <v>Medial</v>
      </c>
      <c r="N493" s="5" t="str">
        <f t="shared" si="5"/>
        <v>-</v>
      </c>
      <c r="O493" s="5" t="str">
        <f t="shared" si="6"/>
        <v>ˈsa</v>
      </c>
      <c r="P493" s="5" t="str">
        <f t="shared" si="7"/>
        <v>ẽ</v>
      </c>
      <c r="Q493" s="5" t="str">
        <f t="shared" si="8"/>
        <v>ˈʀaɾ</v>
      </c>
      <c r="R493" s="15"/>
      <c r="S493" s="15" t="s">
        <v>1571</v>
      </c>
      <c r="T493" s="15" t="s">
        <v>1572</v>
      </c>
      <c r="U493" s="15" t="s">
        <v>22</v>
      </c>
      <c r="V493" s="20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</row>
    <row r="494">
      <c r="A494" s="15" t="s">
        <v>14</v>
      </c>
      <c r="B494" s="15" t="s">
        <v>1567</v>
      </c>
      <c r="C494" s="15" t="s">
        <v>1568</v>
      </c>
      <c r="D494" s="15" t="s">
        <v>1569</v>
      </c>
      <c r="E494" s="15" t="s">
        <v>1570</v>
      </c>
      <c r="F494" s="15" t="s">
        <v>1032</v>
      </c>
      <c r="G494" s="15" t="s">
        <v>1470</v>
      </c>
      <c r="H494" s="43">
        <f t="shared" ref="H494:I494" si="989">LEN(D494)-LEN(B494)+1</f>
        <v>2</v>
      </c>
      <c r="I494" s="43">
        <f t="shared" si="989"/>
        <v>3</v>
      </c>
      <c r="J494" s="18">
        <v>2.0</v>
      </c>
      <c r="K494" s="18">
        <v>3.0</v>
      </c>
      <c r="L494" s="5" t="str">
        <f t="shared" ref="L494:M494" si="990">IFS(J494="-", "-", J494=H494, "Final", J494=1, "Initial", J494&gt;1, "Medial")</f>
        <v>Final</v>
      </c>
      <c r="M494" s="44" t="str">
        <f t="shared" si="990"/>
        <v>Final</v>
      </c>
      <c r="N494" s="5" t="str">
        <f t="shared" si="5"/>
        <v>pĩ</v>
      </c>
      <c r="O494" s="5">
        <f t="shared" si="6"/>
        <v>2</v>
      </c>
      <c r="P494" s="5" t="str">
        <f t="shared" si="7"/>
        <v>pu</v>
      </c>
      <c r="Q494" s="5">
        <f t="shared" si="8"/>
        <v>3</v>
      </c>
      <c r="R494" s="15"/>
      <c r="S494" s="15" t="s">
        <v>1571</v>
      </c>
      <c r="T494" s="15" t="s">
        <v>1572</v>
      </c>
      <c r="U494" s="15" t="s">
        <v>22</v>
      </c>
      <c r="V494" s="20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</row>
    <row r="495">
      <c r="A495" s="3" t="s">
        <v>14</v>
      </c>
      <c r="B495" s="3" t="s">
        <v>1574</v>
      </c>
      <c r="C495" s="3" t="s">
        <v>1575</v>
      </c>
      <c r="D495" s="3" t="s">
        <v>1576</v>
      </c>
      <c r="E495" s="3" t="s">
        <v>1577</v>
      </c>
      <c r="F495" s="3" t="s">
        <v>702</v>
      </c>
      <c r="G495" s="3" t="s">
        <v>712</v>
      </c>
      <c r="H495" s="43">
        <f t="shared" ref="H495:I495" si="991">LEN(D495)-LEN(B495)+1</f>
        <v>2</v>
      </c>
      <c r="I495" s="43">
        <f t="shared" si="991"/>
        <v>2</v>
      </c>
      <c r="J495" s="4">
        <v>1.0</v>
      </c>
      <c r="K495" s="4">
        <v>1.0</v>
      </c>
      <c r="L495" s="5" t="str">
        <f t="shared" ref="L495:M495" si="992">IFS(J495="-", "-", J495=H495, "Final", J495=1, "Initial", J495&gt;1, "Medial")</f>
        <v>Initial</v>
      </c>
      <c r="M495" s="44" t="str">
        <f t="shared" si="992"/>
        <v>Initial</v>
      </c>
      <c r="N495" s="5" t="str">
        <f t="shared" si="5"/>
        <v>0</v>
      </c>
      <c r="O495" s="5" t="str">
        <f t="shared" si="6"/>
        <v>ˈga</v>
      </c>
      <c r="P495" s="5" t="str">
        <f t="shared" si="7"/>
        <v>0</v>
      </c>
      <c r="Q495" s="5" t="str">
        <f t="shared" si="8"/>
        <v>ˈgaɾ</v>
      </c>
      <c r="R495" s="3"/>
      <c r="S495" s="3" t="s">
        <v>1578</v>
      </c>
      <c r="T495" s="3" t="s">
        <v>1579</v>
      </c>
      <c r="U495" s="3" t="s">
        <v>22</v>
      </c>
      <c r="V495" s="5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>
      <c r="A496" s="3" t="s">
        <v>14</v>
      </c>
      <c r="B496" s="3" t="s">
        <v>1574</v>
      </c>
      <c r="C496" s="3" t="s">
        <v>1575</v>
      </c>
      <c r="D496" s="3" t="s">
        <v>1576</v>
      </c>
      <c r="E496" s="3" t="s">
        <v>1577</v>
      </c>
      <c r="F496" s="3" t="s">
        <v>629</v>
      </c>
      <c r="G496" s="3" t="s">
        <v>630</v>
      </c>
      <c r="H496" s="43">
        <f t="shared" ref="H496:I496" si="993">LEN(D496)-LEN(B496)+1</f>
        <v>2</v>
      </c>
      <c r="I496" s="43">
        <f t="shared" si="993"/>
        <v>2</v>
      </c>
      <c r="J496" s="4">
        <v>2.0</v>
      </c>
      <c r="K496" s="4">
        <v>2.0</v>
      </c>
      <c r="L496" s="5" t="str">
        <f t="shared" ref="L496:M496" si="994">IFS(J496="-", "-", J496=H496, "Final", J496=1, "Initial", J496&gt;1, "Medial")</f>
        <v>Final</v>
      </c>
      <c r="M496" s="44" t="str">
        <f t="shared" si="994"/>
        <v>Final</v>
      </c>
      <c r="N496" s="5" t="str">
        <f t="shared" si="5"/>
        <v>pɛ</v>
      </c>
      <c r="O496" s="5">
        <f t="shared" si="6"/>
        <v>2</v>
      </c>
      <c r="P496" s="5" t="str">
        <f t="shared" si="7"/>
        <v>pɾɨ</v>
      </c>
      <c r="Q496" s="5">
        <f t="shared" si="8"/>
        <v>2</v>
      </c>
      <c r="R496" s="3"/>
      <c r="S496" s="3" t="s">
        <v>1578</v>
      </c>
      <c r="T496" s="3" t="s">
        <v>1579</v>
      </c>
      <c r="U496" s="3" t="s">
        <v>22</v>
      </c>
      <c r="V496" s="5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>
      <c r="A497" s="3" t="s">
        <v>14</v>
      </c>
      <c r="B497" s="3" t="s">
        <v>1580</v>
      </c>
      <c r="C497" s="3" t="s">
        <v>1581</v>
      </c>
      <c r="D497" s="3" t="s">
        <v>1582</v>
      </c>
      <c r="E497" s="3" t="s">
        <v>1583</v>
      </c>
      <c r="F497" s="3" t="s">
        <v>1584</v>
      </c>
      <c r="G497" s="3" t="s">
        <v>703</v>
      </c>
      <c r="H497" s="43">
        <f t="shared" ref="H497:I497" si="995">LEN(D497)-LEN(B497)+1</f>
        <v>2</v>
      </c>
      <c r="I497" s="43">
        <f t="shared" si="995"/>
        <v>2</v>
      </c>
      <c r="J497" s="4">
        <v>1.0</v>
      </c>
      <c r="K497" s="4">
        <v>1.0</v>
      </c>
      <c r="L497" s="5" t="str">
        <f t="shared" ref="L497:M497" si="996">IFS(J497="-", "-", J497=H497, "Final", J497=1, "Initial", J497&gt;1, "Medial")</f>
        <v>Initial</v>
      </c>
      <c r="M497" s="44" t="str">
        <f t="shared" si="996"/>
        <v>Initial</v>
      </c>
      <c r="N497" s="5" t="str">
        <f t="shared" si="5"/>
        <v>0</v>
      </c>
      <c r="O497" s="5" t="str">
        <f t="shared" si="6"/>
        <v>ˈde</v>
      </c>
      <c r="P497" s="5" t="str">
        <f t="shared" si="7"/>
        <v>0</v>
      </c>
      <c r="Q497" s="5" t="str">
        <f t="shared" si="8"/>
        <v>ˈdeɾ</v>
      </c>
      <c r="R497" s="3"/>
      <c r="S497" s="3" t="s">
        <v>1585</v>
      </c>
      <c r="T497" s="3" t="s">
        <v>1586</v>
      </c>
      <c r="U497" s="3" t="s">
        <v>22</v>
      </c>
      <c r="V497" s="5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>
      <c r="A498" s="3" t="s">
        <v>14</v>
      </c>
      <c r="B498" s="3" t="s">
        <v>1580</v>
      </c>
      <c r="C498" s="3" t="s">
        <v>1581</v>
      </c>
      <c r="D498" s="3" t="s">
        <v>1582</v>
      </c>
      <c r="E498" s="3" t="s">
        <v>1583</v>
      </c>
      <c r="F498" s="3" t="s">
        <v>1331</v>
      </c>
      <c r="G498" s="3" t="s">
        <v>1181</v>
      </c>
      <c r="H498" s="43">
        <f t="shared" ref="H498:I498" si="997">LEN(D498)-LEN(B498)+1</f>
        <v>2</v>
      </c>
      <c r="I498" s="43">
        <f t="shared" si="997"/>
        <v>2</v>
      </c>
      <c r="J498" s="4">
        <v>2.0</v>
      </c>
      <c r="K498" s="4">
        <v>2.0</v>
      </c>
      <c r="L498" s="5" t="str">
        <f t="shared" ref="L498:M498" si="998">IFS(J498="-", "-", J498=H498, "Final", J498=1, "Initial", J498&gt;1, "Medial")</f>
        <v>Final</v>
      </c>
      <c r="M498" s="44" t="str">
        <f t="shared" si="998"/>
        <v>Final</v>
      </c>
      <c r="N498" s="5" t="str">
        <f t="shared" si="5"/>
        <v>pe</v>
      </c>
      <c r="O498" s="5">
        <f t="shared" si="6"/>
        <v>2</v>
      </c>
      <c r="P498" s="5" t="str">
        <f t="shared" si="7"/>
        <v>pɨɾ</v>
      </c>
      <c r="Q498" s="5">
        <f t="shared" si="8"/>
        <v>2</v>
      </c>
      <c r="R498" s="3"/>
      <c r="S498" s="3" t="s">
        <v>1585</v>
      </c>
      <c r="T498" s="3" t="s">
        <v>1586</v>
      </c>
      <c r="U498" s="3" t="s">
        <v>22</v>
      </c>
      <c r="V498" s="5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>
      <c r="A499" s="15" t="s">
        <v>14</v>
      </c>
      <c r="B499" s="15" t="s">
        <v>1587</v>
      </c>
      <c r="C499" s="15" t="s">
        <v>1588</v>
      </c>
      <c r="D499" s="15" t="s">
        <v>1589</v>
      </c>
      <c r="E499" s="15" t="s">
        <v>1590</v>
      </c>
      <c r="F499" s="15" t="s">
        <v>36</v>
      </c>
      <c r="G499" s="15" t="s">
        <v>1113</v>
      </c>
      <c r="H499" s="43">
        <f t="shared" ref="H499:I499" si="999">LEN(D499)-LEN(B499)+1</f>
        <v>2</v>
      </c>
      <c r="I499" s="43">
        <f t="shared" si="999"/>
        <v>3</v>
      </c>
      <c r="J499" s="18" t="s">
        <v>36</v>
      </c>
      <c r="K499" s="18">
        <v>1.0</v>
      </c>
      <c r="L499" s="5" t="str">
        <f t="shared" ref="L499:M499" si="1000">IFS(J499="-", "-", J499=H499, "Final", J499=1, "Initial", J499&gt;1, "Medial")</f>
        <v>-</v>
      </c>
      <c r="M499" s="44" t="str">
        <f t="shared" si="1000"/>
        <v>Initial</v>
      </c>
      <c r="N499" s="5" t="str">
        <f t="shared" si="5"/>
        <v>0</v>
      </c>
      <c r="O499" s="5" t="str">
        <f t="shared" si="6"/>
        <v>pɛ</v>
      </c>
      <c r="P499" s="5" t="str">
        <f t="shared" si="7"/>
        <v>0</v>
      </c>
      <c r="Q499" s="5" t="str">
        <f t="shared" si="8"/>
        <v>pɾɨʃ</v>
      </c>
      <c r="R499" s="15" t="s">
        <v>80</v>
      </c>
      <c r="S499" s="15" t="s">
        <v>1591</v>
      </c>
      <c r="T499" s="15" t="s">
        <v>1592</v>
      </c>
      <c r="U499" s="15" t="s">
        <v>22</v>
      </c>
      <c r="V499" s="20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</row>
    <row r="500">
      <c r="A500" s="15" t="s">
        <v>14</v>
      </c>
      <c r="B500" s="15" t="s">
        <v>1587</v>
      </c>
      <c r="C500" s="15" t="s">
        <v>1588</v>
      </c>
      <c r="D500" s="15" t="s">
        <v>1589</v>
      </c>
      <c r="E500" s="15" t="s">
        <v>1590</v>
      </c>
      <c r="F500" s="15" t="s">
        <v>702</v>
      </c>
      <c r="G500" s="15" t="s">
        <v>1593</v>
      </c>
      <c r="H500" s="43">
        <f t="shared" ref="H500:I500" si="1001">LEN(D500)-LEN(B500)+1</f>
        <v>2</v>
      </c>
      <c r="I500" s="43">
        <f t="shared" si="1001"/>
        <v>3</v>
      </c>
      <c r="J500" s="18">
        <v>1.0</v>
      </c>
      <c r="K500" s="18">
        <v>2.0</v>
      </c>
      <c r="L500" s="5" t="str">
        <f t="shared" ref="L500:M500" si="1002">IFS(J500="-", "-", J500=H500, "Final", J500=1, "Initial", J500&gt;1, "Medial")</f>
        <v>Initial</v>
      </c>
      <c r="M500" s="44" t="str">
        <f t="shared" si="1002"/>
        <v>Medial</v>
      </c>
      <c r="N500" s="5" t="str">
        <f t="shared" si="5"/>
        <v>-</v>
      </c>
      <c r="O500" s="5" t="str">
        <f t="shared" si="6"/>
        <v>ˈsa</v>
      </c>
      <c r="P500" s="5" t="str">
        <f t="shared" si="7"/>
        <v>ẽ</v>
      </c>
      <c r="Q500" s="5" t="str">
        <f t="shared" si="8"/>
        <v>ˈtaɾ</v>
      </c>
      <c r="R500" s="15"/>
      <c r="S500" s="15" t="s">
        <v>1591</v>
      </c>
      <c r="T500" s="15" t="s">
        <v>1592</v>
      </c>
      <c r="U500" s="15" t="s">
        <v>22</v>
      </c>
      <c r="V500" s="20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</row>
    <row r="501">
      <c r="A501" s="15" t="s">
        <v>14</v>
      </c>
      <c r="B501" s="15" t="s">
        <v>1587</v>
      </c>
      <c r="C501" s="15" t="s">
        <v>1588</v>
      </c>
      <c r="D501" s="15" t="s">
        <v>1589</v>
      </c>
      <c r="E501" s="15" t="s">
        <v>1590</v>
      </c>
      <c r="F501" s="15" t="s">
        <v>1032</v>
      </c>
      <c r="G501" s="15" t="s">
        <v>1076</v>
      </c>
      <c r="H501" s="43">
        <f t="shared" ref="H501:I501" si="1003">LEN(D501)-LEN(B501)+1</f>
        <v>2</v>
      </c>
      <c r="I501" s="43">
        <f t="shared" si="1003"/>
        <v>3</v>
      </c>
      <c r="J501" s="18">
        <v>2.0</v>
      </c>
      <c r="K501" s="18">
        <v>3.0</v>
      </c>
      <c r="L501" s="5" t="str">
        <f t="shared" ref="L501:M501" si="1004">IFS(J501="-", "-", J501=H501, "Final", J501=1, "Initial", J501&gt;1, "Medial")</f>
        <v>Final</v>
      </c>
      <c r="M501" s="44" t="str">
        <f t="shared" si="1004"/>
        <v>Final</v>
      </c>
      <c r="N501" s="5" t="str">
        <f t="shared" si="5"/>
        <v>pɛ</v>
      </c>
      <c r="O501" s="5">
        <f t="shared" si="6"/>
        <v>2</v>
      </c>
      <c r="P501" s="5" t="str">
        <f t="shared" si="7"/>
        <v>pɾɨʃ</v>
      </c>
      <c r="Q501" s="5">
        <f t="shared" si="8"/>
        <v>3</v>
      </c>
      <c r="R501" s="15"/>
      <c r="S501" s="15" t="s">
        <v>1591</v>
      </c>
      <c r="T501" s="15" t="s">
        <v>1592</v>
      </c>
      <c r="U501" s="15" t="s">
        <v>22</v>
      </c>
      <c r="V501" s="20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</row>
    <row r="502">
      <c r="A502" s="3" t="s">
        <v>14</v>
      </c>
      <c r="B502" s="3" t="s">
        <v>1594</v>
      </c>
      <c r="C502" s="3" t="s">
        <v>1595</v>
      </c>
      <c r="D502" s="3" t="s">
        <v>1596</v>
      </c>
      <c r="E502" s="3" t="s">
        <v>1597</v>
      </c>
      <c r="F502" s="3" t="s">
        <v>1598</v>
      </c>
      <c r="G502" s="3" t="s">
        <v>1599</v>
      </c>
      <c r="H502" s="43">
        <f t="shared" ref="H502:I502" si="1005">LEN(D502)-LEN(B502)+1</f>
        <v>2</v>
      </c>
      <c r="I502" s="43">
        <f t="shared" si="1005"/>
        <v>2</v>
      </c>
      <c r="J502" s="4">
        <v>1.0</v>
      </c>
      <c r="K502" s="4">
        <v>1.0</v>
      </c>
      <c r="L502" s="5" t="str">
        <f t="shared" ref="L502:M502" si="1006">IFS(J502="-", "-", J502=H502, "Final", J502=1, "Initial", J502&gt;1, "Medial")</f>
        <v>Initial</v>
      </c>
      <c r="M502" s="44" t="str">
        <f t="shared" si="1006"/>
        <v>Initial</v>
      </c>
      <c r="N502" s="5" t="str">
        <f t="shared" si="5"/>
        <v>0</v>
      </c>
      <c r="O502" s="5" t="str">
        <f t="shared" si="6"/>
        <v>ˈga</v>
      </c>
      <c r="P502" s="5" t="str">
        <f t="shared" si="7"/>
        <v>0</v>
      </c>
      <c r="Q502" s="5" t="str">
        <f t="shared" si="8"/>
        <v>ˈgaɾ</v>
      </c>
      <c r="R502" s="3"/>
      <c r="S502" s="3" t="s">
        <v>1600</v>
      </c>
      <c r="T502" s="3" t="s">
        <v>1601</v>
      </c>
      <c r="U502" s="3" t="s">
        <v>22</v>
      </c>
      <c r="V502" s="5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>
      <c r="A503" s="3" t="s">
        <v>14</v>
      </c>
      <c r="B503" s="3" t="s">
        <v>1594</v>
      </c>
      <c r="C503" s="3" t="s">
        <v>1595</v>
      </c>
      <c r="D503" s="3" t="s">
        <v>1596</v>
      </c>
      <c r="E503" s="3" t="s">
        <v>1597</v>
      </c>
      <c r="F503" s="3" t="s">
        <v>629</v>
      </c>
      <c r="G503" s="3" t="s">
        <v>630</v>
      </c>
      <c r="H503" s="43">
        <f t="shared" ref="H503:I503" si="1007">LEN(D503)-LEN(B503)+1</f>
        <v>2</v>
      </c>
      <c r="I503" s="43">
        <f t="shared" si="1007"/>
        <v>2</v>
      </c>
      <c r="J503" s="4">
        <v>2.0</v>
      </c>
      <c r="K503" s="4">
        <v>2.0</v>
      </c>
      <c r="L503" s="5" t="str">
        <f t="shared" ref="L503:M503" si="1008">IFS(J503="-", "-", J503=H503, "Final", J503=1, "Initial", J503&gt;1, "Medial")</f>
        <v>Final</v>
      </c>
      <c r="M503" s="44" t="str">
        <f t="shared" si="1008"/>
        <v>Final</v>
      </c>
      <c r="N503" s="5" t="str">
        <f t="shared" si="5"/>
        <v>pu:</v>
      </c>
      <c r="O503" s="5">
        <f t="shared" si="6"/>
        <v>2</v>
      </c>
      <c r="P503" s="5" t="str">
        <f t="shared" si="7"/>
        <v>puɾ</v>
      </c>
      <c r="Q503" s="5">
        <f t="shared" si="8"/>
        <v>2</v>
      </c>
      <c r="R503" s="3"/>
      <c r="S503" s="3" t="s">
        <v>1600</v>
      </c>
      <c r="T503" s="3" t="s">
        <v>1601</v>
      </c>
      <c r="U503" s="3" t="s">
        <v>22</v>
      </c>
      <c r="V503" s="5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>
      <c r="A504" s="3" t="s">
        <v>14</v>
      </c>
      <c r="B504" s="3" t="s">
        <v>1602</v>
      </c>
      <c r="C504" s="3" t="s">
        <v>1603</v>
      </c>
      <c r="D504" s="3" t="s">
        <v>1604</v>
      </c>
      <c r="E504" s="3" t="s">
        <v>1605</v>
      </c>
      <c r="F504" s="3" t="s">
        <v>114</v>
      </c>
      <c r="G504" s="3" t="s">
        <v>668</v>
      </c>
      <c r="H504" s="43">
        <f t="shared" ref="H504:I504" si="1009">LEN(D504)-LEN(B504)+1</f>
        <v>2</v>
      </c>
      <c r="I504" s="43">
        <f t="shared" si="1009"/>
        <v>2</v>
      </c>
      <c r="J504" s="4">
        <v>1.0</v>
      </c>
      <c r="K504" s="4">
        <v>1.0</v>
      </c>
      <c r="L504" s="5" t="str">
        <f t="shared" ref="L504:M504" si="1010">IFS(J504="-", "-", J504=H504, "Final", J504=1, "Initial", J504&gt;1, "Medial")</f>
        <v>Initial</v>
      </c>
      <c r="M504" s="44" t="str">
        <f t="shared" si="1010"/>
        <v>Initial</v>
      </c>
      <c r="N504" s="5" t="str">
        <f t="shared" si="5"/>
        <v>0</v>
      </c>
      <c r="O504" s="5" t="str">
        <f t="shared" si="6"/>
        <v>ˈla</v>
      </c>
      <c r="P504" s="5" t="str">
        <f t="shared" si="7"/>
        <v>0</v>
      </c>
      <c r="Q504" s="5" t="str">
        <f t="shared" si="8"/>
        <v>ˈlaɾ</v>
      </c>
      <c r="R504" s="3"/>
      <c r="S504" s="3" t="s">
        <v>1606</v>
      </c>
      <c r="T504" s="3" t="s">
        <v>1607</v>
      </c>
      <c r="U504" s="3" t="s">
        <v>22</v>
      </c>
      <c r="V504" s="5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>
      <c r="A505" s="3" t="s">
        <v>14</v>
      </c>
      <c r="B505" s="3" t="s">
        <v>1602</v>
      </c>
      <c r="C505" s="3" t="s">
        <v>1603</v>
      </c>
      <c r="D505" s="3" t="s">
        <v>1604</v>
      </c>
      <c r="E505" s="3" t="s">
        <v>1605</v>
      </c>
      <c r="F505" s="3" t="s">
        <v>1608</v>
      </c>
      <c r="G505" s="3" t="s">
        <v>1152</v>
      </c>
      <c r="H505" s="43">
        <f t="shared" ref="H505:I505" si="1011">LEN(D505)-LEN(B505)+1</f>
        <v>2</v>
      </c>
      <c r="I505" s="43">
        <f t="shared" si="1011"/>
        <v>2</v>
      </c>
      <c r="J505" s="4">
        <v>2.0</v>
      </c>
      <c r="K505" s="4">
        <v>2.0</v>
      </c>
      <c r="L505" s="5" t="str">
        <f t="shared" ref="L505:M505" si="1012">IFS(J505="-", "-", J505=H505, "Final", J505=1, "Initial", J505&gt;1, "Medial")</f>
        <v>Final</v>
      </c>
      <c r="M505" s="44" t="str">
        <f t="shared" si="1012"/>
        <v>Final</v>
      </c>
      <c r="N505" s="5" t="str">
        <f t="shared" si="5"/>
        <v>ra</v>
      </c>
      <c r="O505" s="5">
        <f t="shared" si="6"/>
        <v>2</v>
      </c>
      <c r="P505" s="5" t="str">
        <f t="shared" si="7"/>
        <v>ʀɐ</v>
      </c>
      <c r="Q505" s="5">
        <f t="shared" si="8"/>
        <v>2</v>
      </c>
      <c r="R505" s="3"/>
      <c r="S505" s="3" t="s">
        <v>1606</v>
      </c>
      <c r="T505" s="3" t="s">
        <v>1607</v>
      </c>
      <c r="U505" s="3" t="s">
        <v>22</v>
      </c>
      <c r="V505" s="5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>
      <c r="A506" s="15" t="s">
        <v>14</v>
      </c>
      <c r="B506" s="15" t="s">
        <v>1609</v>
      </c>
      <c r="C506" s="15" t="s">
        <v>1610</v>
      </c>
      <c r="D506" s="15" t="s">
        <v>1611</v>
      </c>
      <c r="E506" s="15" t="s">
        <v>1612</v>
      </c>
      <c r="F506" s="15" t="s">
        <v>36</v>
      </c>
      <c r="G506" s="15" t="s">
        <v>30</v>
      </c>
      <c r="H506" s="43">
        <f t="shared" ref="H506:I506" si="1013">LEN(D506)-LEN(B506)+1</f>
        <v>2</v>
      </c>
      <c r="I506" s="43">
        <f t="shared" si="1013"/>
        <v>3</v>
      </c>
      <c r="J506" s="18" t="s">
        <v>36</v>
      </c>
      <c r="K506" s="18">
        <v>1.0</v>
      </c>
      <c r="L506" s="5" t="str">
        <f t="shared" ref="L506:M506" si="1014">IFS(J506="-", "-", J506=H506, "Final", J506=1, "Initial", J506&gt;1, "Medial")</f>
        <v>-</v>
      </c>
      <c r="M506" s="44" t="str">
        <f t="shared" si="1014"/>
        <v>Initial</v>
      </c>
      <c r="N506" s="5" t="str">
        <f t="shared" si="5"/>
        <v>0</v>
      </c>
      <c r="O506" s="5" t="str">
        <f t="shared" si="6"/>
        <v>rɐ̃</v>
      </c>
      <c r="P506" s="5" t="str">
        <f t="shared" si="7"/>
        <v>0</v>
      </c>
      <c r="Q506" s="5" t="str">
        <f t="shared" si="8"/>
        <v>ʀɐ̃</v>
      </c>
      <c r="R506" s="15" t="s">
        <v>80</v>
      </c>
      <c r="S506" s="15" t="s">
        <v>1613</v>
      </c>
      <c r="T506" s="15" t="s">
        <v>1614</v>
      </c>
      <c r="U506" s="15" t="s">
        <v>22</v>
      </c>
      <c r="V506" s="20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</row>
    <row r="507">
      <c r="A507" s="15" t="s">
        <v>14</v>
      </c>
      <c r="B507" s="15" t="s">
        <v>1609</v>
      </c>
      <c r="C507" s="15" t="s">
        <v>1610</v>
      </c>
      <c r="D507" s="15" t="s">
        <v>1611</v>
      </c>
      <c r="E507" s="15" t="s">
        <v>1612</v>
      </c>
      <c r="F507" s="15" t="s">
        <v>1615</v>
      </c>
      <c r="G507" s="15" t="s">
        <v>1616</v>
      </c>
      <c r="H507" s="43">
        <f t="shared" ref="H507:I507" si="1015">LEN(D507)-LEN(B507)+1</f>
        <v>2</v>
      </c>
      <c r="I507" s="43">
        <f t="shared" si="1015"/>
        <v>3</v>
      </c>
      <c r="J507" s="18">
        <v>1.0</v>
      </c>
      <c r="K507" s="18">
        <v>2.0</v>
      </c>
      <c r="L507" s="5" t="str">
        <f t="shared" ref="L507:M507" si="1016">IFS(J507="-", "-", J507=H507, "Final", J507=1, "Initial", J507&gt;1, "Medial")</f>
        <v>Initial</v>
      </c>
      <c r="M507" s="44" t="str">
        <f t="shared" si="1016"/>
        <v>Medial</v>
      </c>
      <c r="N507" s="5" t="str">
        <f t="shared" si="5"/>
        <v>-</v>
      </c>
      <c r="O507" s="5" t="str">
        <f t="shared" si="6"/>
        <v>ˈka</v>
      </c>
      <c r="P507" s="5" t="str">
        <f t="shared" si="7"/>
        <v>a</v>
      </c>
      <c r="Q507" s="5" t="str">
        <f t="shared" si="8"/>
        <v>ˈkaɾ</v>
      </c>
      <c r="R507" s="15"/>
      <c r="S507" s="15" t="s">
        <v>1613</v>
      </c>
      <c r="T507" s="15" t="s">
        <v>1614</v>
      </c>
      <c r="U507" s="15" t="s">
        <v>22</v>
      </c>
      <c r="V507" s="20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</row>
    <row r="508">
      <c r="A508" s="15" t="s">
        <v>14</v>
      </c>
      <c r="B508" s="15" t="s">
        <v>1609</v>
      </c>
      <c r="C508" s="15" t="s">
        <v>1610</v>
      </c>
      <c r="D508" s="15" t="s">
        <v>1611</v>
      </c>
      <c r="E508" s="15" t="s">
        <v>1612</v>
      </c>
      <c r="F508" s="15" t="s">
        <v>131</v>
      </c>
      <c r="G508" s="15" t="s">
        <v>132</v>
      </c>
      <c r="H508" s="43">
        <f t="shared" ref="H508:I508" si="1017">LEN(D508)-LEN(B508)+1</f>
        <v>2</v>
      </c>
      <c r="I508" s="43">
        <f t="shared" si="1017"/>
        <v>3</v>
      </c>
      <c r="J508" s="18">
        <v>2.0</v>
      </c>
      <c r="K508" s="18">
        <v>3.0</v>
      </c>
      <c r="L508" s="5" t="str">
        <f t="shared" ref="L508:M508" si="1018">IFS(J508="-", "-", J508=H508, "Final", J508=1, "Initial", J508&gt;1, "Medial")</f>
        <v>Final</v>
      </c>
      <c r="M508" s="44" t="str">
        <f t="shared" si="1018"/>
        <v>Final</v>
      </c>
      <c r="N508" s="5" t="str">
        <f t="shared" si="5"/>
        <v>rɐ̃</v>
      </c>
      <c r="O508" s="5">
        <f t="shared" si="6"/>
        <v>2</v>
      </c>
      <c r="P508" s="5" t="str">
        <f t="shared" si="7"/>
        <v>ʀɐ̃</v>
      </c>
      <c r="Q508" s="5">
        <f t="shared" si="8"/>
        <v>3</v>
      </c>
      <c r="R508" s="15"/>
      <c r="S508" s="15" t="s">
        <v>1613</v>
      </c>
      <c r="T508" s="15" t="s">
        <v>1614</v>
      </c>
      <c r="U508" s="15" t="s">
        <v>22</v>
      </c>
      <c r="V508" s="20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</row>
    <row r="509">
      <c r="A509" s="3" t="s">
        <v>14</v>
      </c>
      <c r="B509" s="3" t="s">
        <v>1617</v>
      </c>
      <c r="C509" s="3" t="s">
        <v>1618</v>
      </c>
      <c r="D509" s="3" t="s">
        <v>1619</v>
      </c>
      <c r="E509" s="3" t="s">
        <v>1620</v>
      </c>
      <c r="F509" s="3" t="s">
        <v>1621</v>
      </c>
      <c r="G509" s="3" t="s">
        <v>1137</v>
      </c>
      <c r="H509" s="43">
        <f t="shared" ref="H509:I509" si="1019">LEN(D509)-LEN(B509)+1</f>
        <v>2</v>
      </c>
      <c r="I509" s="43">
        <f t="shared" si="1019"/>
        <v>2</v>
      </c>
      <c r="J509" s="4">
        <v>1.0</v>
      </c>
      <c r="K509" s="4">
        <v>1.0</v>
      </c>
      <c r="L509" s="5" t="str">
        <f t="shared" ref="L509:M509" si="1020">IFS(J509="-", "-", J509=H509, "Final", J509=1, "Initial", J509&gt;1, "Medial")</f>
        <v>Initial</v>
      </c>
      <c r="M509" s="44" t="str">
        <f t="shared" si="1020"/>
        <v>Initial</v>
      </c>
      <c r="N509" s="5" t="str">
        <f t="shared" si="5"/>
        <v>0</v>
      </c>
      <c r="O509" s="5" t="str">
        <f t="shared" si="6"/>
        <v>ˈma</v>
      </c>
      <c r="P509" s="5" t="str">
        <f t="shared" si="7"/>
        <v>0</v>
      </c>
      <c r="Q509" s="5" t="str">
        <f t="shared" si="8"/>
        <v>ˈmaɾ</v>
      </c>
      <c r="R509" s="3"/>
      <c r="S509" s="3" t="s">
        <v>1622</v>
      </c>
      <c r="T509" s="3" t="s">
        <v>1623</v>
      </c>
      <c r="U509" s="3" t="s">
        <v>22</v>
      </c>
      <c r="V509" s="5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>
      <c r="A510" s="3" t="s">
        <v>14</v>
      </c>
      <c r="B510" s="3" t="s">
        <v>1617</v>
      </c>
      <c r="C510" s="3" t="s">
        <v>1618</v>
      </c>
      <c r="D510" s="3" t="s">
        <v>1619</v>
      </c>
      <c r="E510" s="3" t="s">
        <v>1620</v>
      </c>
      <c r="F510" s="3" t="s">
        <v>451</v>
      </c>
      <c r="G510" s="3" t="s">
        <v>1211</v>
      </c>
      <c r="H510" s="43">
        <f t="shared" ref="H510:I510" si="1021">LEN(D510)-LEN(B510)+1</f>
        <v>2</v>
      </c>
      <c r="I510" s="43">
        <f t="shared" si="1021"/>
        <v>2</v>
      </c>
      <c r="J510" s="4">
        <v>2.0</v>
      </c>
      <c r="K510" s="4">
        <v>2.0</v>
      </c>
      <c r="L510" s="5" t="str">
        <f t="shared" ref="L510:M510" si="1022">IFS(J510="-", "-", J510=H510, "Final", J510=1, "Initial", J510&gt;1, "Medial")</f>
        <v>Final</v>
      </c>
      <c r="M510" s="44" t="str">
        <f t="shared" si="1022"/>
        <v>Final</v>
      </c>
      <c r="N510" s="5" t="str">
        <f t="shared" si="5"/>
        <v>rɛ</v>
      </c>
      <c r="O510" s="5">
        <f t="shared" si="6"/>
        <v>2</v>
      </c>
      <c r="P510" s="5" t="str">
        <f t="shared" si="7"/>
        <v>ʀɨ</v>
      </c>
      <c r="Q510" s="5">
        <f t="shared" si="8"/>
        <v>2</v>
      </c>
      <c r="R510" s="3"/>
      <c r="S510" s="3" t="s">
        <v>1622</v>
      </c>
      <c r="T510" s="3" t="s">
        <v>1623</v>
      </c>
      <c r="U510" s="3" t="s">
        <v>22</v>
      </c>
      <c r="V510" s="5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>
      <c r="A511" s="3" t="s">
        <v>14</v>
      </c>
      <c r="B511" s="3" t="s">
        <v>1624</v>
      </c>
      <c r="C511" s="3" t="s">
        <v>1625</v>
      </c>
      <c r="D511" s="3" t="s">
        <v>1626</v>
      </c>
      <c r="E511" s="3" t="s">
        <v>1627</v>
      </c>
      <c r="F511" s="3" t="s">
        <v>1554</v>
      </c>
      <c r="G511" s="3" t="s">
        <v>1628</v>
      </c>
      <c r="H511" s="43">
        <f t="shared" ref="H511:I511" si="1023">LEN(D511)-LEN(B511)+1</f>
        <v>2</v>
      </c>
      <c r="I511" s="43">
        <f t="shared" si="1023"/>
        <v>2</v>
      </c>
      <c r="J511" s="4">
        <v>1.0</v>
      </c>
      <c r="K511" s="4">
        <v>1.0</v>
      </c>
      <c r="L511" s="5" t="str">
        <f t="shared" ref="L511:M511" si="1024">IFS(J511="-", "-", J511=H511, "Final", J511=1, "Initial", J511&gt;1, "Medial")</f>
        <v>Initial</v>
      </c>
      <c r="M511" s="44" t="str">
        <f t="shared" si="1024"/>
        <v>Initial</v>
      </c>
      <c r="N511" s="5" t="str">
        <f t="shared" si="5"/>
        <v>0</v>
      </c>
      <c r="O511" s="5" t="str">
        <f t="shared" si="6"/>
        <v>ˈge</v>
      </c>
      <c r="P511" s="5" t="str">
        <f t="shared" si="7"/>
        <v>0</v>
      </c>
      <c r="Q511" s="5" t="str">
        <f t="shared" si="8"/>
        <v>ˈgeɾ</v>
      </c>
      <c r="R511" s="3"/>
      <c r="S511" s="3" t="s">
        <v>1629</v>
      </c>
      <c r="T511" s="3" t="s">
        <v>1630</v>
      </c>
      <c r="U511" s="3" t="s">
        <v>22</v>
      </c>
      <c r="V511" s="5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>
      <c r="A512" s="3" t="s">
        <v>14</v>
      </c>
      <c r="B512" s="3" t="s">
        <v>1624</v>
      </c>
      <c r="C512" s="3" t="s">
        <v>1625</v>
      </c>
      <c r="D512" s="3" t="s">
        <v>1626</v>
      </c>
      <c r="E512" s="3" t="s">
        <v>1627</v>
      </c>
      <c r="F512" s="3" t="s">
        <v>1631</v>
      </c>
      <c r="G512" s="3" t="s">
        <v>1632</v>
      </c>
      <c r="H512" s="43">
        <f t="shared" ref="H512:I512" si="1025">LEN(D512)-LEN(B512)+1</f>
        <v>2</v>
      </c>
      <c r="I512" s="43">
        <f t="shared" si="1025"/>
        <v>2</v>
      </c>
      <c r="J512" s="4">
        <v>2.0</v>
      </c>
      <c r="K512" s="4">
        <v>2.0</v>
      </c>
      <c r="L512" s="5" t="str">
        <f t="shared" ref="L512:M512" si="1026">IFS(J512="-", "-", J512=H512, "Final", J512=1, "Initial", J512&gt;1, "Medial")</f>
        <v>Final</v>
      </c>
      <c r="M512" s="44" t="str">
        <f t="shared" si="1026"/>
        <v>Final</v>
      </c>
      <c r="N512" s="5" t="str">
        <f t="shared" si="5"/>
        <v>re</v>
      </c>
      <c r="O512" s="5">
        <f t="shared" si="6"/>
        <v>2</v>
      </c>
      <c r="P512" s="5" t="str">
        <f t="shared" si="7"/>
        <v>iɾ</v>
      </c>
      <c r="Q512" s="5">
        <f t="shared" si="8"/>
        <v>2</v>
      </c>
      <c r="R512" s="3"/>
      <c r="S512" s="3" t="s">
        <v>1629</v>
      </c>
      <c r="T512" s="3" t="s">
        <v>1630</v>
      </c>
      <c r="U512" s="3" t="s">
        <v>22</v>
      </c>
      <c r="V512" s="5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>
      <c r="A513" s="3" t="s">
        <v>14</v>
      </c>
      <c r="B513" s="3" t="s">
        <v>1633</v>
      </c>
      <c r="C513" s="3" t="s">
        <v>1634</v>
      </c>
      <c r="D513" s="3" t="s">
        <v>1635</v>
      </c>
      <c r="E513" s="3" t="s">
        <v>1636</v>
      </c>
      <c r="F513" s="3" t="s">
        <v>1637</v>
      </c>
      <c r="G513" s="3" t="s">
        <v>1638</v>
      </c>
      <c r="H513" s="43">
        <f t="shared" ref="H513:I513" si="1027">LEN(D513)-LEN(B513)+1</f>
        <v>2</v>
      </c>
      <c r="I513" s="43">
        <f t="shared" si="1027"/>
        <v>2</v>
      </c>
      <c r="J513" s="4">
        <v>1.0</v>
      </c>
      <c r="K513" s="4">
        <v>1.0</v>
      </c>
      <c r="L513" s="5" t="str">
        <f t="shared" ref="L513:M513" si="1028">IFS(J513="-", "-", J513=H513, "Final", J513=1, "Initial", J513&gt;1, "Medial")</f>
        <v>Initial</v>
      </c>
      <c r="M513" s="44" t="str">
        <f t="shared" si="1028"/>
        <v>Initial</v>
      </c>
      <c r="N513" s="5" t="str">
        <f t="shared" si="5"/>
        <v>0</v>
      </c>
      <c r="O513" s="5" t="str">
        <f t="shared" si="6"/>
        <v>ˈka</v>
      </c>
      <c r="P513" s="5" t="str">
        <f t="shared" si="7"/>
        <v>0</v>
      </c>
      <c r="Q513" s="5" t="str">
        <f t="shared" si="8"/>
        <v>ˈkaɾ</v>
      </c>
      <c r="R513" s="3" t="s">
        <v>72</v>
      </c>
      <c r="S513" s="3" t="s">
        <v>1639</v>
      </c>
      <c r="T513" s="3" t="s">
        <v>1640</v>
      </c>
      <c r="U513" s="3" t="s">
        <v>22</v>
      </c>
      <c r="V513" s="5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>
      <c r="A514" s="3" t="s">
        <v>14</v>
      </c>
      <c r="B514" s="3" t="s">
        <v>1633</v>
      </c>
      <c r="C514" s="3" t="s">
        <v>1634</v>
      </c>
      <c r="D514" s="3" t="s">
        <v>1635</v>
      </c>
      <c r="E514" s="3" t="s">
        <v>1636</v>
      </c>
      <c r="F514" s="3" t="s">
        <v>131</v>
      </c>
      <c r="G514" s="3" t="s">
        <v>132</v>
      </c>
      <c r="H514" s="43">
        <f t="shared" ref="H514:I514" si="1029">LEN(D514)-LEN(B514)+1</f>
        <v>2</v>
      </c>
      <c r="I514" s="43">
        <f t="shared" si="1029"/>
        <v>2</v>
      </c>
      <c r="J514" s="4">
        <v>2.0</v>
      </c>
      <c r="K514" s="4">
        <v>2.0</v>
      </c>
      <c r="L514" s="5" t="str">
        <f t="shared" ref="L514:M514" si="1030">IFS(J514="-", "-", J514=H514, "Final", J514=1, "Initial", J514&gt;1, "Medial")</f>
        <v>Final</v>
      </c>
      <c r="M514" s="44" t="str">
        <f t="shared" si="1030"/>
        <v>Final</v>
      </c>
      <c r="N514" s="5" t="str">
        <f t="shared" si="5"/>
        <v>rɔ̃</v>
      </c>
      <c r="O514" s="5">
        <f t="shared" si="6"/>
        <v>2</v>
      </c>
      <c r="P514" s="5" t="str">
        <f t="shared" si="7"/>
        <v>ʀõ</v>
      </c>
      <c r="Q514" s="5">
        <f t="shared" si="8"/>
        <v>2</v>
      </c>
      <c r="R514" s="3"/>
      <c r="S514" s="3" t="s">
        <v>1639</v>
      </c>
      <c r="T514" s="3" t="s">
        <v>1640</v>
      </c>
      <c r="U514" s="3" t="s">
        <v>22</v>
      </c>
      <c r="V514" s="5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>
      <c r="A515" s="15" t="s">
        <v>14</v>
      </c>
      <c r="B515" s="15" t="s">
        <v>1641</v>
      </c>
      <c r="C515" s="15" t="s">
        <v>1642</v>
      </c>
      <c r="D515" s="15" t="s">
        <v>1643</v>
      </c>
      <c r="E515" s="15" t="s">
        <v>1644</v>
      </c>
      <c r="F515" s="15" t="s">
        <v>36</v>
      </c>
      <c r="G515" s="15" t="s">
        <v>30</v>
      </c>
      <c r="H515" s="43">
        <f t="shared" ref="H515:I515" si="1031">LEN(D515)-LEN(B515)+1</f>
        <v>2</v>
      </c>
      <c r="I515" s="43">
        <f t="shared" si="1031"/>
        <v>3</v>
      </c>
      <c r="J515" s="18" t="s">
        <v>36</v>
      </c>
      <c r="K515" s="18">
        <v>1.0</v>
      </c>
      <c r="L515" s="5" t="str">
        <f t="shared" ref="L515:M515" si="1032">IFS(J515="-", "-", J515=H515, "Final", J515=1, "Initial", J515&gt;1, "Medial")</f>
        <v>-</v>
      </c>
      <c r="M515" s="44" t="str">
        <f t="shared" si="1032"/>
        <v>Initial</v>
      </c>
      <c r="N515" s="5" t="str">
        <f t="shared" si="5"/>
        <v>0</v>
      </c>
      <c r="O515" s="5" t="str">
        <f t="shared" si="6"/>
        <v>ru</v>
      </c>
      <c r="P515" s="5" t="str">
        <f t="shared" si="7"/>
        <v>0</v>
      </c>
      <c r="Q515" s="5" t="str">
        <f t="shared" si="8"/>
        <v>ʀu</v>
      </c>
      <c r="R515" s="15" t="s">
        <v>80</v>
      </c>
      <c r="S515" s="15" t="s">
        <v>1645</v>
      </c>
      <c r="T515" s="15" t="s">
        <v>1646</v>
      </c>
      <c r="U515" s="15" t="s">
        <v>22</v>
      </c>
      <c r="V515" s="20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</row>
    <row r="516">
      <c r="A516" s="15" t="s">
        <v>14</v>
      </c>
      <c r="B516" s="15" t="s">
        <v>1641</v>
      </c>
      <c r="C516" s="15" t="s">
        <v>1642</v>
      </c>
      <c r="D516" s="15" t="s">
        <v>1643</v>
      </c>
      <c r="E516" s="15" t="s">
        <v>1644</v>
      </c>
      <c r="F516" s="15" t="s">
        <v>1647</v>
      </c>
      <c r="G516" s="15" t="s">
        <v>591</v>
      </c>
      <c r="H516" s="43">
        <f t="shared" ref="H516:I516" si="1033">LEN(D516)-LEN(B516)+1</f>
        <v>2</v>
      </c>
      <c r="I516" s="43">
        <f t="shared" si="1033"/>
        <v>3</v>
      </c>
      <c r="J516" s="18">
        <v>1.0</v>
      </c>
      <c r="K516" s="18">
        <v>2.0</v>
      </c>
      <c r="L516" s="5" t="str">
        <f t="shared" ref="L516:M516" si="1034">IFS(J516="-", "-", J516=H516, "Final", J516=1, "Initial", J516&gt;1, "Medial")</f>
        <v>Initial</v>
      </c>
      <c r="M516" s="44" t="str">
        <f t="shared" si="1034"/>
        <v>Medial</v>
      </c>
      <c r="N516" s="5" t="str">
        <f t="shared" si="5"/>
        <v>-</v>
      </c>
      <c r="O516" s="5" t="str">
        <f t="shared" si="6"/>
        <v>ˈma</v>
      </c>
      <c r="P516" s="5" t="str">
        <f t="shared" si="7"/>
        <v>a</v>
      </c>
      <c r="Q516" s="5" t="str">
        <f t="shared" si="8"/>
        <v>ˈmaɾ</v>
      </c>
      <c r="R516" s="15"/>
      <c r="S516" s="15" t="s">
        <v>1645</v>
      </c>
      <c r="T516" s="15" t="s">
        <v>1646</v>
      </c>
      <c r="U516" s="15" t="s">
        <v>22</v>
      </c>
      <c r="V516" s="20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</row>
    <row r="517">
      <c r="A517" s="15" t="s">
        <v>14</v>
      </c>
      <c r="B517" s="15" t="s">
        <v>1641</v>
      </c>
      <c r="C517" s="15" t="s">
        <v>1642</v>
      </c>
      <c r="D517" s="15" t="s">
        <v>1643</v>
      </c>
      <c r="E517" s="15" t="s">
        <v>1644</v>
      </c>
      <c r="F517" s="15" t="s">
        <v>451</v>
      </c>
      <c r="G517" s="15" t="s">
        <v>1211</v>
      </c>
      <c r="H517" s="43">
        <f t="shared" ref="H517:I517" si="1035">LEN(D517)-LEN(B517)+1</f>
        <v>2</v>
      </c>
      <c r="I517" s="43">
        <f t="shared" si="1035"/>
        <v>3</v>
      </c>
      <c r="J517" s="18">
        <v>2.0</v>
      </c>
      <c r="K517" s="18">
        <v>3.0</v>
      </c>
      <c r="L517" s="5" t="str">
        <f t="shared" ref="L517:M517" si="1036">IFS(J517="-", "-", J517=H517, "Final", J517=1, "Initial", J517&gt;1, "Medial")</f>
        <v>Final</v>
      </c>
      <c r="M517" s="44" t="str">
        <f t="shared" si="1036"/>
        <v>Final</v>
      </c>
      <c r="N517" s="5" t="str">
        <f t="shared" si="5"/>
        <v>ru</v>
      </c>
      <c r="O517" s="5">
        <f t="shared" si="6"/>
        <v>2</v>
      </c>
      <c r="P517" s="5" t="str">
        <f t="shared" si="7"/>
        <v>ʀu</v>
      </c>
      <c r="Q517" s="5">
        <f t="shared" si="8"/>
        <v>3</v>
      </c>
      <c r="R517" s="15"/>
      <c r="S517" s="15" t="s">
        <v>1645</v>
      </c>
      <c r="T517" s="15" t="s">
        <v>1646</v>
      </c>
      <c r="U517" s="15" t="s">
        <v>22</v>
      </c>
      <c r="V517" s="20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</row>
    <row r="518">
      <c r="A518" s="21" t="s">
        <v>14</v>
      </c>
      <c r="B518" s="21" t="s">
        <v>1648</v>
      </c>
      <c r="C518" s="21" t="s">
        <v>1649</v>
      </c>
      <c r="D518" s="21" t="s">
        <v>1650</v>
      </c>
      <c r="E518" s="21" t="s">
        <v>1651</v>
      </c>
      <c r="F518" s="21" t="s">
        <v>36</v>
      </c>
      <c r="G518" s="21" t="s">
        <v>1113</v>
      </c>
      <c r="H518" s="43">
        <f t="shared" ref="H518:I518" si="1037">LEN(D518)-LEN(B518)+1</f>
        <v>2</v>
      </c>
      <c r="I518" s="43">
        <f t="shared" si="1037"/>
        <v>3</v>
      </c>
      <c r="J518" s="22" t="s">
        <v>36</v>
      </c>
      <c r="K518" s="22">
        <v>1.0</v>
      </c>
      <c r="L518" s="5" t="str">
        <f t="shared" ref="L518:M518" si="1038">IFS(J518="-", "-", J518=H518, "Final", J518=1, "Initial", J518&gt;1, "Medial")</f>
        <v>-</v>
      </c>
      <c r="M518" s="44" t="str">
        <f t="shared" si="1038"/>
        <v>Initial</v>
      </c>
      <c r="N518" s="5" t="str">
        <f t="shared" si="5"/>
        <v>0</v>
      </c>
      <c r="O518" s="5" t="str">
        <f t="shared" si="6"/>
        <v>sa</v>
      </c>
      <c r="P518" s="5" t="str">
        <f t="shared" si="7"/>
        <v>0</v>
      </c>
      <c r="Q518" s="5" t="str">
        <f t="shared" si="8"/>
        <v>ʃɐ</v>
      </c>
      <c r="R518" s="21" t="s">
        <v>80</v>
      </c>
      <c r="S518" s="21" t="s">
        <v>1652</v>
      </c>
      <c r="T518" s="21" t="s">
        <v>1653</v>
      </c>
      <c r="U518" s="21" t="s">
        <v>22</v>
      </c>
      <c r="V518" s="23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</row>
    <row r="519">
      <c r="A519" s="21" t="s">
        <v>14</v>
      </c>
      <c r="B519" s="21" t="s">
        <v>1648</v>
      </c>
      <c r="C519" s="21" t="s">
        <v>1649</v>
      </c>
      <c r="D519" s="21" t="s">
        <v>1650</v>
      </c>
      <c r="E519" s="21" t="s">
        <v>1651</v>
      </c>
      <c r="F519" s="21" t="s">
        <v>244</v>
      </c>
      <c r="G519" s="21" t="s">
        <v>1654</v>
      </c>
      <c r="H519" s="43">
        <f t="shared" ref="H519:I519" si="1039">LEN(D519)-LEN(B519)+1</f>
        <v>2</v>
      </c>
      <c r="I519" s="43">
        <f t="shared" si="1039"/>
        <v>3</v>
      </c>
      <c r="J519" s="22">
        <v>1.0</v>
      </c>
      <c r="K519" s="22">
        <v>2.0</v>
      </c>
      <c r="L519" s="5" t="str">
        <f t="shared" ref="L519:M519" si="1040">IFS(J519="-", "-", J519=H519, "Final", J519=1, "Initial", J519&gt;1, "Medial")</f>
        <v>Initial</v>
      </c>
      <c r="M519" s="44" t="str">
        <f t="shared" si="1040"/>
        <v>Medial</v>
      </c>
      <c r="N519" s="5" t="str">
        <f t="shared" si="5"/>
        <v>-</v>
      </c>
      <c r="O519" s="5" t="str">
        <f t="shared" si="6"/>
        <v>ˈgwa</v>
      </c>
      <c r="P519" s="5" t="str">
        <f t="shared" si="7"/>
        <v>ẽ</v>
      </c>
      <c r="Q519" s="5" t="str">
        <f t="shared" si="8"/>
        <v>ˈgwaɾ</v>
      </c>
      <c r="R519" s="21"/>
      <c r="S519" s="21" t="s">
        <v>1652</v>
      </c>
      <c r="T519" s="21" t="s">
        <v>1653</v>
      </c>
      <c r="U519" s="21" t="s">
        <v>22</v>
      </c>
      <c r="V519" s="23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</row>
    <row r="520">
      <c r="A520" s="21" t="s">
        <v>14</v>
      </c>
      <c r="B520" s="21" t="s">
        <v>1648</v>
      </c>
      <c r="C520" s="21" t="s">
        <v>1649</v>
      </c>
      <c r="D520" s="21" t="s">
        <v>1650</v>
      </c>
      <c r="E520" s="21" t="s">
        <v>1651</v>
      </c>
      <c r="F520" s="21" t="s">
        <v>1494</v>
      </c>
      <c r="G520" s="21" t="s">
        <v>1495</v>
      </c>
      <c r="H520" s="43">
        <f t="shared" ref="H520:I520" si="1041">LEN(D520)-LEN(B520)+1</f>
        <v>2</v>
      </c>
      <c r="I520" s="43">
        <f t="shared" si="1041"/>
        <v>3</v>
      </c>
      <c r="J520" s="22">
        <v>2.0</v>
      </c>
      <c r="K520" s="22">
        <v>3.0</v>
      </c>
      <c r="L520" s="5" t="str">
        <f t="shared" ref="L520:M520" si="1042">IFS(J520="-", "-", J520=H520, "Final", J520=1, "Initial", J520&gt;1, "Medial")</f>
        <v>Final</v>
      </c>
      <c r="M520" s="44" t="str">
        <f t="shared" si="1042"/>
        <v>Final</v>
      </c>
      <c r="N520" s="5" t="str">
        <f t="shared" si="5"/>
        <v>sa</v>
      </c>
      <c r="O520" s="5">
        <f t="shared" si="6"/>
        <v>2</v>
      </c>
      <c r="P520" s="5" t="str">
        <f t="shared" si="7"/>
        <v>ʃɐ</v>
      </c>
      <c r="Q520" s="5">
        <f t="shared" si="8"/>
        <v>3</v>
      </c>
      <c r="R520" s="21"/>
      <c r="S520" s="21" t="s">
        <v>1652</v>
      </c>
      <c r="T520" s="21" t="s">
        <v>1653</v>
      </c>
      <c r="U520" s="21" t="s">
        <v>22</v>
      </c>
      <c r="V520" s="23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</row>
    <row r="521">
      <c r="A521" s="21" t="s">
        <v>14</v>
      </c>
      <c r="B521" s="21" t="s">
        <v>1655</v>
      </c>
      <c r="C521" s="21" t="s">
        <v>1656</v>
      </c>
      <c r="D521" s="21" t="s">
        <v>1655</v>
      </c>
      <c r="E521" s="21" t="s">
        <v>1657</v>
      </c>
      <c r="F521" s="21" t="s">
        <v>36</v>
      </c>
      <c r="G521" s="21" t="s">
        <v>437</v>
      </c>
      <c r="H521" s="43">
        <f t="shared" ref="H521:I521" si="1043">LEN(D521)-LEN(B521)+1</f>
        <v>1</v>
      </c>
      <c r="I521" s="43">
        <f t="shared" si="1043"/>
        <v>2</v>
      </c>
      <c r="J521" s="22" t="s">
        <v>36</v>
      </c>
      <c r="K521" s="22">
        <v>1.0</v>
      </c>
      <c r="L521" s="5" t="str">
        <f t="shared" ref="L521:M521" si="1044">IFS(J521="-", "-", J521=H521, "Final", J521=1, "Initial", J521&gt;1, "Medial")</f>
        <v>-</v>
      </c>
      <c r="M521" s="44" t="str">
        <f t="shared" si="1044"/>
        <v>Initial</v>
      </c>
      <c r="N521" s="5" t="str">
        <f t="shared" si="5"/>
        <v>0</v>
      </c>
      <c r="O521" s="5" t="str">
        <f t="shared" si="6"/>
        <v>ˈsa:</v>
      </c>
      <c r="P521" s="5" t="str">
        <f t="shared" si="7"/>
        <v>0</v>
      </c>
      <c r="Q521" s="5" t="str">
        <f t="shared" si="8"/>
        <v>ˈʃaɾ</v>
      </c>
      <c r="R521" s="21" t="s">
        <v>80</v>
      </c>
      <c r="S521" s="21" t="s">
        <v>1658</v>
      </c>
      <c r="T521" s="21" t="s">
        <v>1659</v>
      </c>
      <c r="U521" s="21" t="s">
        <v>22</v>
      </c>
      <c r="V521" s="23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</row>
    <row r="522">
      <c r="A522" s="21" t="s">
        <v>14</v>
      </c>
      <c r="B522" s="21" t="s">
        <v>1655</v>
      </c>
      <c r="C522" s="21" t="s">
        <v>1656</v>
      </c>
      <c r="D522" s="21" t="s">
        <v>1655</v>
      </c>
      <c r="E522" s="21" t="s">
        <v>1657</v>
      </c>
      <c r="F522" s="21" t="s">
        <v>1655</v>
      </c>
      <c r="G522" s="21" t="s">
        <v>1033</v>
      </c>
      <c r="H522" s="43">
        <f t="shared" ref="H522:I522" si="1045">LEN(D522)-LEN(B522)+1</f>
        <v>1</v>
      </c>
      <c r="I522" s="43">
        <f t="shared" si="1045"/>
        <v>2</v>
      </c>
      <c r="J522" s="22">
        <v>1.0</v>
      </c>
      <c r="K522" s="22">
        <v>2.0</v>
      </c>
      <c r="L522" s="5" t="str">
        <f t="shared" ref="L522:M522" si="1046">IFS(J522="-", "-", J522=H522, "Final", J522=1, "Initial", J522&gt;1, "Medial")</f>
        <v>Final</v>
      </c>
      <c r="M522" s="44" t="str">
        <f t="shared" si="1046"/>
        <v>Final</v>
      </c>
      <c r="N522" s="5" t="str">
        <f t="shared" si="5"/>
        <v>-</v>
      </c>
      <c r="O522" s="5">
        <f t="shared" si="6"/>
        <v>1</v>
      </c>
      <c r="P522" s="5" t="str">
        <f t="shared" si="7"/>
        <v>pu</v>
      </c>
      <c r="Q522" s="5">
        <f t="shared" si="8"/>
        <v>2</v>
      </c>
      <c r="R522" s="21"/>
      <c r="S522" s="21" t="s">
        <v>1658</v>
      </c>
      <c r="T522" s="21" t="s">
        <v>1659</v>
      </c>
      <c r="U522" s="21" t="s">
        <v>22</v>
      </c>
      <c r="V522" s="23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</row>
    <row r="523">
      <c r="A523" s="15" t="s">
        <v>14</v>
      </c>
      <c r="B523" s="15" t="s">
        <v>1660</v>
      </c>
      <c r="C523" s="15" t="s">
        <v>1661</v>
      </c>
      <c r="D523" s="15" t="s">
        <v>1662</v>
      </c>
      <c r="E523" s="15" t="s">
        <v>1663</v>
      </c>
      <c r="F523" s="15" t="s">
        <v>244</v>
      </c>
      <c r="G523" s="15" t="s">
        <v>402</v>
      </c>
      <c r="H523" s="43">
        <f t="shared" ref="H523:I523" si="1047">LEN(D523)-LEN(B523)+1</f>
        <v>3</v>
      </c>
      <c r="I523" s="43">
        <f t="shared" si="1047"/>
        <v>3</v>
      </c>
      <c r="J523" s="18">
        <v>1.0</v>
      </c>
      <c r="K523" s="18">
        <v>1.0</v>
      </c>
      <c r="L523" s="5" t="str">
        <f t="shared" ref="L523:M523" si="1048">IFS(J523="-", "-", J523=H523, "Final", J523=1, "Initial", J523&gt;1, "Medial")</f>
        <v>Initial</v>
      </c>
      <c r="M523" s="44" t="str">
        <f t="shared" si="1048"/>
        <v>Initial</v>
      </c>
      <c r="N523" s="5" t="str">
        <f t="shared" si="5"/>
        <v>0</v>
      </c>
      <c r="O523" s="5" t="str">
        <f t="shared" si="6"/>
        <v>ku</v>
      </c>
      <c r="P523" s="5" t="str">
        <f t="shared" si="7"/>
        <v>0</v>
      </c>
      <c r="Q523" s="5" t="str">
        <f t="shared" si="8"/>
        <v>ku</v>
      </c>
      <c r="R523" s="15"/>
      <c r="S523" s="15" t="s">
        <v>1664</v>
      </c>
      <c r="T523" s="15" t="s">
        <v>1008</v>
      </c>
      <c r="U523" s="15" t="s">
        <v>22</v>
      </c>
      <c r="V523" s="20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</row>
    <row r="524">
      <c r="A524" s="15" t="s">
        <v>14</v>
      </c>
      <c r="B524" s="15" t="s">
        <v>1660</v>
      </c>
      <c r="C524" s="15" t="s">
        <v>1661</v>
      </c>
      <c r="D524" s="15" t="s">
        <v>1662</v>
      </c>
      <c r="E524" s="15" t="s">
        <v>1663</v>
      </c>
      <c r="F524" s="15" t="s">
        <v>425</v>
      </c>
      <c r="G524" s="15" t="s">
        <v>425</v>
      </c>
      <c r="H524" s="43">
        <f t="shared" ref="H524:I524" si="1049">LEN(D524)-LEN(B524)+1</f>
        <v>3</v>
      </c>
      <c r="I524" s="43">
        <f t="shared" si="1049"/>
        <v>3</v>
      </c>
      <c r="J524" s="18">
        <v>2.0</v>
      </c>
      <c r="K524" s="18">
        <v>2.0</v>
      </c>
      <c r="L524" s="5" t="str">
        <f t="shared" ref="L524:M524" si="1050">IFS(J524="-", "-", J524=H524, "Final", J524=1, "Initial", J524&gt;1, "Medial")</f>
        <v>Medial</v>
      </c>
      <c r="M524" s="44" t="str">
        <f t="shared" si="1050"/>
        <v>Medial</v>
      </c>
      <c r="N524" s="5" t="str">
        <f t="shared" si="5"/>
        <v>sa</v>
      </c>
      <c r="O524" s="5" t="str">
        <f t="shared" si="6"/>
        <v>ˈdi</v>
      </c>
      <c r="P524" s="5" t="str">
        <f t="shared" si="7"/>
        <v>sɐ</v>
      </c>
      <c r="Q524" s="5" t="str">
        <f t="shared" si="8"/>
        <v>ˈdiɾ</v>
      </c>
      <c r="R524" s="15"/>
      <c r="S524" s="15" t="s">
        <v>1664</v>
      </c>
      <c r="T524" s="15" t="s">
        <v>1008</v>
      </c>
      <c r="U524" s="15" t="s">
        <v>22</v>
      </c>
      <c r="V524" s="20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</row>
    <row r="525">
      <c r="A525" s="15" t="s">
        <v>14</v>
      </c>
      <c r="B525" s="15" t="s">
        <v>1660</v>
      </c>
      <c r="C525" s="15" t="s">
        <v>1661</v>
      </c>
      <c r="D525" s="15" t="s">
        <v>1662</v>
      </c>
      <c r="E525" s="15" t="s">
        <v>1663</v>
      </c>
      <c r="F525" s="15" t="s">
        <v>1387</v>
      </c>
      <c r="G525" s="15" t="s">
        <v>1388</v>
      </c>
      <c r="H525" s="43">
        <f t="shared" ref="H525:I525" si="1051">LEN(D525)-LEN(B525)+1</f>
        <v>3</v>
      </c>
      <c r="I525" s="43">
        <f t="shared" si="1051"/>
        <v>3</v>
      </c>
      <c r="J525" s="18">
        <v>3.0</v>
      </c>
      <c r="K525" s="18">
        <v>3.0</v>
      </c>
      <c r="L525" s="5" t="str">
        <f t="shared" ref="L525:M525" si="1052">IFS(J525="-", "-", J525=H525, "Final", J525=1, "Initial", J525&gt;1, "Medial")</f>
        <v>Final</v>
      </c>
      <c r="M525" s="44" t="str">
        <f t="shared" si="1052"/>
        <v>Final</v>
      </c>
      <c r="N525" s="5" t="str">
        <f t="shared" si="5"/>
        <v>ku</v>
      </c>
      <c r="O525" s="5">
        <f t="shared" si="6"/>
        <v>3</v>
      </c>
      <c r="P525" s="5" t="str">
        <f t="shared" si="7"/>
        <v>ku</v>
      </c>
      <c r="Q525" s="5">
        <f t="shared" si="8"/>
        <v>3</v>
      </c>
      <c r="R525" s="15"/>
      <c r="S525" s="15" t="s">
        <v>1664</v>
      </c>
      <c r="T525" s="15" t="s">
        <v>1008</v>
      </c>
      <c r="U525" s="15" t="s">
        <v>22</v>
      </c>
      <c r="V525" s="20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</row>
    <row r="526">
      <c r="A526" s="3" t="s">
        <v>14</v>
      </c>
      <c r="B526" s="3" t="s">
        <v>1665</v>
      </c>
      <c r="C526" s="3" t="s">
        <v>1666</v>
      </c>
      <c r="D526" s="3" t="s">
        <v>1667</v>
      </c>
      <c r="E526" s="3" t="s">
        <v>1668</v>
      </c>
      <c r="F526" s="3" t="s">
        <v>244</v>
      </c>
      <c r="G526" s="3" t="s">
        <v>242</v>
      </c>
      <c r="H526" s="43">
        <f t="shared" ref="H526:I526" si="1053">LEN(D526)-LEN(B526)+1</f>
        <v>2</v>
      </c>
      <c r="I526" s="43">
        <f t="shared" si="1053"/>
        <v>2</v>
      </c>
      <c r="J526" s="4">
        <v>1.0</v>
      </c>
      <c r="K526" s="4">
        <v>1.0</v>
      </c>
      <c r="L526" s="5" t="str">
        <f t="shared" ref="L526:M526" si="1054">IFS(J526="-", "-", J526=H526, "Final", J526=1, "Initial", J526&gt;1, "Medial")</f>
        <v>Initial</v>
      </c>
      <c r="M526" s="44" t="str">
        <f t="shared" si="1054"/>
        <v>Initial</v>
      </c>
      <c r="N526" s="5" t="str">
        <f t="shared" si="5"/>
        <v>0</v>
      </c>
      <c r="O526" s="5" t="str">
        <f t="shared" si="6"/>
        <v>ˈga</v>
      </c>
      <c r="P526" s="5" t="str">
        <f t="shared" si="7"/>
        <v>0</v>
      </c>
      <c r="Q526" s="5" t="str">
        <f t="shared" si="8"/>
        <v>ˈgaɾ</v>
      </c>
      <c r="R526" s="3"/>
      <c r="S526" s="3" t="s">
        <v>1669</v>
      </c>
      <c r="T526" s="3" t="s">
        <v>243</v>
      </c>
      <c r="U526" s="3" t="s">
        <v>22</v>
      </c>
      <c r="V526" s="5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>
      <c r="A527" s="3" t="s">
        <v>14</v>
      </c>
      <c r="B527" s="3" t="s">
        <v>1665</v>
      </c>
      <c r="C527" s="3" t="s">
        <v>1666</v>
      </c>
      <c r="D527" s="3" t="s">
        <v>1667</v>
      </c>
      <c r="E527" s="3" t="s">
        <v>1668</v>
      </c>
      <c r="F527" s="3" t="s">
        <v>629</v>
      </c>
      <c r="G527" s="3" t="s">
        <v>630</v>
      </c>
      <c r="H527" s="43">
        <f t="shared" ref="H527:I527" si="1055">LEN(D527)-LEN(B527)+1</f>
        <v>2</v>
      </c>
      <c r="I527" s="43">
        <f t="shared" si="1055"/>
        <v>2</v>
      </c>
      <c r="J527" s="4">
        <v>2.0</v>
      </c>
      <c r="K527" s="4">
        <v>2.0</v>
      </c>
      <c r="L527" s="5" t="str">
        <f t="shared" ref="L527:M527" si="1056">IFS(J527="-", "-", J527=H527, "Final", J527=1, "Initial", J527&gt;1, "Medial")</f>
        <v>Final</v>
      </c>
      <c r="M527" s="44" t="str">
        <f t="shared" si="1056"/>
        <v>Final</v>
      </c>
      <c r="N527" s="5" t="str">
        <f t="shared" si="5"/>
        <v>sa</v>
      </c>
      <c r="O527" s="5">
        <f t="shared" si="6"/>
        <v>2</v>
      </c>
      <c r="P527" s="5" t="str">
        <f t="shared" si="7"/>
        <v>sal</v>
      </c>
      <c r="Q527" s="5">
        <f t="shared" si="8"/>
        <v>2</v>
      </c>
      <c r="R527" s="3"/>
      <c r="S527" s="3" t="s">
        <v>1669</v>
      </c>
      <c r="T527" s="3" t="s">
        <v>243</v>
      </c>
      <c r="U527" s="3" t="s">
        <v>22</v>
      </c>
      <c r="V527" s="5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>
      <c r="A528" s="3" t="s">
        <v>14</v>
      </c>
      <c r="B528" s="3" t="s">
        <v>1670</v>
      </c>
      <c r="C528" s="3" t="s">
        <v>1671</v>
      </c>
      <c r="D528" s="3" t="s">
        <v>1672</v>
      </c>
      <c r="E528" s="3" t="s">
        <v>1673</v>
      </c>
      <c r="F528" s="3" t="s">
        <v>244</v>
      </c>
      <c r="G528" s="3" t="s">
        <v>242</v>
      </c>
      <c r="H528" s="43">
        <f t="shared" ref="H528:I528" si="1057">LEN(D528)-LEN(B528)+1</f>
        <v>2</v>
      </c>
      <c r="I528" s="43">
        <f t="shared" si="1057"/>
        <v>2</v>
      </c>
      <c r="J528" s="4">
        <v>1.0</v>
      </c>
      <c r="K528" s="4">
        <v>1.0</v>
      </c>
      <c r="L528" s="5" t="str">
        <f t="shared" ref="L528:M528" si="1058">IFS(J528="-", "-", J528=H528, "Final", J528=1, "Initial", J528&gt;1, "Medial")</f>
        <v>Initial</v>
      </c>
      <c r="M528" s="44" t="str">
        <f t="shared" si="1058"/>
        <v>Initial</v>
      </c>
      <c r="N528" s="5" t="str">
        <f t="shared" si="5"/>
        <v>0</v>
      </c>
      <c r="O528" s="5" t="str">
        <f t="shared" si="6"/>
        <v>ˈta</v>
      </c>
      <c r="P528" s="5" t="str">
        <f t="shared" si="7"/>
        <v>0</v>
      </c>
      <c r="Q528" s="5" t="str">
        <f t="shared" si="8"/>
        <v>ˈtaɾ</v>
      </c>
      <c r="R528" s="3"/>
      <c r="S528" s="3" t="s">
        <v>1674</v>
      </c>
      <c r="T528" s="3" t="s">
        <v>1675</v>
      </c>
      <c r="U528" s="3" t="s">
        <v>22</v>
      </c>
      <c r="V528" s="5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>
      <c r="A529" s="3" t="s">
        <v>14</v>
      </c>
      <c r="B529" s="3" t="s">
        <v>1670</v>
      </c>
      <c r="C529" s="3" t="s">
        <v>1671</v>
      </c>
      <c r="D529" s="3" t="s">
        <v>1672</v>
      </c>
      <c r="E529" s="3" t="s">
        <v>1673</v>
      </c>
      <c r="F529" s="3" t="s">
        <v>1075</v>
      </c>
      <c r="G529" s="3" t="s">
        <v>1076</v>
      </c>
      <c r="H529" s="43">
        <f t="shared" ref="H529:I529" si="1059">LEN(D529)-LEN(B529)+1</f>
        <v>2</v>
      </c>
      <c r="I529" s="43">
        <f t="shared" si="1059"/>
        <v>2</v>
      </c>
      <c r="J529" s="4">
        <v>2.0</v>
      </c>
      <c r="K529" s="4">
        <v>2.0</v>
      </c>
      <c r="L529" s="5" t="str">
        <f t="shared" ref="L529:M529" si="1060">IFS(J529="-", "-", J529=H529, "Final", J529=1, "Initial", J529&gt;1, "Medial")</f>
        <v>Final</v>
      </c>
      <c r="M529" s="44" t="str">
        <f t="shared" si="1060"/>
        <v>Final</v>
      </c>
      <c r="N529" s="5" t="str">
        <f t="shared" si="5"/>
        <v>sa</v>
      </c>
      <c r="O529" s="5">
        <f t="shared" si="6"/>
        <v>2</v>
      </c>
      <c r="P529" s="5" t="str">
        <f t="shared" si="7"/>
        <v>sal</v>
      </c>
      <c r="Q529" s="5">
        <f t="shared" si="8"/>
        <v>2</v>
      </c>
      <c r="R529" s="3"/>
      <c r="S529" s="3" t="s">
        <v>1674</v>
      </c>
      <c r="T529" s="3" t="s">
        <v>1675</v>
      </c>
      <c r="U529" s="3" t="s">
        <v>22</v>
      </c>
      <c r="V529" s="5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>
      <c r="A530" s="3" t="s">
        <v>14</v>
      </c>
      <c r="B530" s="3" t="s">
        <v>1676</v>
      </c>
      <c r="C530" s="3" t="s">
        <v>1677</v>
      </c>
      <c r="D530" s="3" t="s">
        <v>1678</v>
      </c>
      <c r="E530" s="3" t="s">
        <v>1679</v>
      </c>
      <c r="F530" s="3" t="s">
        <v>244</v>
      </c>
      <c r="G530" s="3" t="s">
        <v>242</v>
      </c>
      <c r="H530" s="43">
        <f t="shared" ref="H530:I530" si="1061">LEN(D530)-LEN(B530)+1</f>
        <v>2</v>
      </c>
      <c r="I530" s="43">
        <f t="shared" si="1061"/>
        <v>2</v>
      </c>
      <c r="J530" s="4">
        <v>1.0</v>
      </c>
      <c r="K530" s="4">
        <v>1.0</v>
      </c>
      <c r="L530" s="5" t="str">
        <f t="shared" ref="L530:M530" si="1062">IFS(J530="-", "-", J530=H530, "Final", J530=1, "Initial", J530&gt;1, "Medial")</f>
        <v>Initial</v>
      </c>
      <c r="M530" s="44" t="str">
        <f t="shared" si="1062"/>
        <v>Initial</v>
      </c>
      <c r="N530" s="5" t="str">
        <f t="shared" si="5"/>
        <v>0</v>
      </c>
      <c r="O530" s="5" t="str">
        <f t="shared" si="6"/>
        <v>ˈva</v>
      </c>
      <c r="P530" s="5" t="str">
        <f t="shared" si="7"/>
        <v>0</v>
      </c>
      <c r="Q530" s="5" t="str">
        <f t="shared" si="8"/>
        <v>ˈvaɾ</v>
      </c>
      <c r="R530" s="3"/>
      <c r="S530" s="3" t="s">
        <v>1680</v>
      </c>
      <c r="T530" s="3" t="s">
        <v>1681</v>
      </c>
      <c r="U530" s="3" t="s">
        <v>22</v>
      </c>
      <c r="V530" s="5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>
      <c r="A531" s="3" t="s">
        <v>14</v>
      </c>
      <c r="B531" s="3" t="s">
        <v>1676</v>
      </c>
      <c r="C531" s="3" t="s">
        <v>1677</v>
      </c>
      <c r="D531" s="3" t="s">
        <v>1678</v>
      </c>
      <c r="E531" s="3" t="s">
        <v>1679</v>
      </c>
      <c r="F531" s="3" t="s">
        <v>1429</v>
      </c>
      <c r="G531" s="3" t="s">
        <v>1430</v>
      </c>
      <c r="H531" s="43">
        <f t="shared" ref="H531:I531" si="1063">LEN(D531)-LEN(B531)+1</f>
        <v>2</v>
      </c>
      <c r="I531" s="43">
        <f t="shared" si="1063"/>
        <v>2</v>
      </c>
      <c r="J531" s="4">
        <v>2.0</v>
      </c>
      <c r="K531" s="4">
        <v>2.0</v>
      </c>
      <c r="L531" s="5" t="str">
        <f t="shared" ref="L531:M531" si="1064">IFS(J531="-", "-", J531=H531, "Final", J531=1, "Initial", J531&gt;1, "Medial")</f>
        <v>Final</v>
      </c>
      <c r="M531" s="44" t="str">
        <f t="shared" si="1064"/>
        <v>Final</v>
      </c>
      <c r="N531" s="5" t="str">
        <f t="shared" si="5"/>
        <v>sa</v>
      </c>
      <c r="O531" s="5">
        <f t="shared" si="6"/>
        <v>2</v>
      </c>
      <c r="P531" s="5" t="str">
        <f t="shared" si="7"/>
        <v>sal</v>
      </c>
      <c r="Q531" s="5">
        <f t="shared" si="8"/>
        <v>2</v>
      </c>
      <c r="R531" s="3"/>
      <c r="S531" s="3" t="s">
        <v>1680</v>
      </c>
      <c r="T531" s="3" t="s">
        <v>1681</v>
      </c>
      <c r="U531" s="3" t="s">
        <v>22</v>
      </c>
      <c r="V531" s="5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>
      <c r="A532" s="3" t="s">
        <v>14</v>
      </c>
      <c r="B532" s="3" t="s">
        <v>1682</v>
      </c>
      <c r="C532" s="3" t="s">
        <v>1683</v>
      </c>
      <c r="D532" s="3" t="s">
        <v>1684</v>
      </c>
      <c r="E532" s="3" t="s">
        <v>1685</v>
      </c>
      <c r="F532" s="3" t="s">
        <v>244</v>
      </c>
      <c r="G532" s="3" t="s">
        <v>1686</v>
      </c>
      <c r="H532" s="43">
        <f t="shared" ref="H532:I532" si="1065">LEN(D532)-LEN(B532)+1</f>
        <v>2</v>
      </c>
      <c r="I532" s="43">
        <f t="shared" si="1065"/>
        <v>2</v>
      </c>
      <c r="J532" s="4">
        <v>1.0</v>
      </c>
      <c r="K532" s="4">
        <v>1.0</v>
      </c>
      <c r="L532" s="5" t="str">
        <f t="shared" ref="L532:M532" si="1066">IFS(J532="-", "-", J532=H532, "Final", J532=1, "Initial", J532&gt;1, "Medial")</f>
        <v>Initial</v>
      </c>
      <c r="M532" s="44" t="str">
        <f t="shared" si="1066"/>
        <v>Initial</v>
      </c>
      <c r="N532" s="5" t="str">
        <f t="shared" si="5"/>
        <v>0</v>
      </c>
      <c r="O532" s="5" t="str">
        <f t="shared" si="6"/>
        <v>ˈma</v>
      </c>
      <c r="P532" s="5" t="str">
        <f t="shared" si="7"/>
        <v>0</v>
      </c>
      <c r="Q532" s="5" t="str">
        <f t="shared" si="8"/>
        <v>ˈmaɾ</v>
      </c>
      <c r="R532" s="3"/>
      <c r="S532" s="3" t="s">
        <v>1687</v>
      </c>
      <c r="T532" s="3" t="s">
        <v>1688</v>
      </c>
      <c r="U532" s="3" t="s">
        <v>22</v>
      </c>
      <c r="V532" s="5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>
      <c r="A533" s="3" t="s">
        <v>14</v>
      </c>
      <c r="B533" s="3" t="s">
        <v>1682</v>
      </c>
      <c r="C533" s="3" t="s">
        <v>1683</v>
      </c>
      <c r="D533" s="3" t="s">
        <v>1684</v>
      </c>
      <c r="E533" s="3" t="s">
        <v>1685</v>
      </c>
      <c r="F533" s="3" t="s">
        <v>451</v>
      </c>
      <c r="G533" s="3" t="s">
        <v>1211</v>
      </c>
      <c r="H533" s="43">
        <f t="shared" ref="H533:I533" si="1067">LEN(D533)-LEN(B533)+1</f>
        <v>2</v>
      </c>
      <c r="I533" s="43">
        <f t="shared" si="1067"/>
        <v>2</v>
      </c>
      <c r="J533" s="4">
        <v>2.0</v>
      </c>
      <c r="K533" s="4">
        <v>2.0</v>
      </c>
      <c r="L533" s="5" t="str">
        <f t="shared" ref="L533:M533" si="1068">IFS(J533="-", "-", J533=H533, "Final", J533=1, "Initial", J533&gt;1, "Medial")</f>
        <v>Final</v>
      </c>
      <c r="M533" s="44" t="str">
        <f t="shared" si="1068"/>
        <v>Final</v>
      </c>
      <c r="N533" s="5" t="str">
        <f t="shared" si="5"/>
        <v>sa</v>
      </c>
      <c r="O533" s="5">
        <f t="shared" si="6"/>
        <v>2</v>
      </c>
      <c r="P533" s="5" t="str">
        <f t="shared" si="7"/>
        <v>t̠ʃɐ</v>
      </c>
      <c r="Q533" s="5">
        <f t="shared" si="8"/>
        <v>2</v>
      </c>
      <c r="R533" s="3"/>
      <c r="S533" s="3" t="s">
        <v>1687</v>
      </c>
      <c r="T533" s="3" t="s">
        <v>1688</v>
      </c>
      <c r="U533" s="3" t="s">
        <v>22</v>
      </c>
      <c r="V533" s="5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>
      <c r="A534" s="3" t="s">
        <v>14</v>
      </c>
      <c r="B534" s="3" t="s">
        <v>1689</v>
      </c>
      <c r="C534" s="3" t="s">
        <v>1690</v>
      </c>
      <c r="D534" s="3" t="s">
        <v>1691</v>
      </c>
      <c r="E534" s="3" t="s">
        <v>1692</v>
      </c>
      <c r="F534" s="3" t="s">
        <v>1693</v>
      </c>
      <c r="G534" s="3" t="s">
        <v>987</v>
      </c>
      <c r="H534" s="43">
        <f t="shared" ref="H534:I534" si="1069">LEN(D534)-LEN(B534)+1</f>
        <v>2</v>
      </c>
      <c r="I534" s="43">
        <f t="shared" si="1069"/>
        <v>3</v>
      </c>
      <c r="J534" s="4">
        <v>1.0</v>
      </c>
      <c r="K534" s="4">
        <v>1.0</v>
      </c>
      <c r="L534" s="5" t="str">
        <f t="shared" ref="L534:M534" si="1070">IFS(J534="-", "-", J534=H534, "Final", J534=1, "Initial", J534&gt;1, "Medial")</f>
        <v>Initial</v>
      </c>
      <c r="M534" s="44" t="str">
        <f t="shared" si="1070"/>
        <v>Initial</v>
      </c>
      <c r="N534" s="5" t="str">
        <f t="shared" si="5"/>
        <v>0</v>
      </c>
      <c r="O534" s="5" t="str">
        <f t="shared" si="6"/>
        <v>ˈgwa</v>
      </c>
      <c r="P534" s="5" t="str">
        <f t="shared" si="7"/>
        <v>0</v>
      </c>
      <c r="Q534" s="5" t="str">
        <f t="shared" si="8"/>
        <v>ɡu</v>
      </c>
      <c r="R534" s="3" t="s">
        <v>80</v>
      </c>
      <c r="S534" s="3" t="s">
        <v>1694</v>
      </c>
      <c r="T534" s="3" t="s">
        <v>1695</v>
      </c>
      <c r="U534" s="3" t="s">
        <v>22</v>
      </c>
      <c r="V534" s="5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>
      <c r="A535" s="3" t="s">
        <v>14</v>
      </c>
      <c r="B535" s="3" t="s">
        <v>1689</v>
      </c>
      <c r="C535" s="3" t="s">
        <v>1690</v>
      </c>
      <c r="D535" s="3" t="s">
        <v>1691</v>
      </c>
      <c r="E535" s="3" t="s">
        <v>1692</v>
      </c>
      <c r="F535" s="3" t="s">
        <v>1494</v>
      </c>
      <c r="G535" s="3" t="s">
        <v>1696</v>
      </c>
      <c r="H535" s="43">
        <f t="shared" ref="H535:I535" si="1071">LEN(D535)-LEN(B535)+1</f>
        <v>2</v>
      </c>
      <c r="I535" s="43">
        <f t="shared" si="1071"/>
        <v>3</v>
      </c>
      <c r="J535" s="4">
        <v>2.0</v>
      </c>
      <c r="K535" s="4">
        <v>2.0</v>
      </c>
      <c r="L535" s="5" t="str">
        <f t="shared" ref="L535:M535" si="1072">IFS(J535="-", "-", J535=H535, "Final", J535=1, "Initial", J535&gt;1, "Medial")</f>
        <v>Final</v>
      </c>
      <c r="M535" s="44" t="str">
        <f t="shared" si="1072"/>
        <v>Medial</v>
      </c>
      <c r="N535" s="5" t="str">
        <f t="shared" si="5"/>
        <v>se</v>
      </c>
      <c r="O535" s="5" t="str">
        <f t="shared" si="6"/>
        <v>-</v>
      </c>
      <c r="P535" s="5" t="str">
        <f t="shared" si="7"/>
        <v>sɨ</v>
      </c>
      <c r="Q535" s="5" t="str">
        <f t="shared" si="8"/>
        <v>ˈɾaɾ</v>
      </c>
      <c r="R535" s="3"/>
      <c r="S535" s="3" t="s">
        <v>1694</v>
      </c>
      <c r="T535" s="3" t="s">
        <v>1695</v>
      </c>
      <c r="U535" s="3" t="s">
        <v>22</v>
      </c>
      <c r="V535" s="5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>
      <c r="A536" s="3" t="s">
        <v>14</v>
      </c>
      <c r="B536" s="3" t="s">
        <v>1689</v>
      </c>
      <c r="C536" s="3" t="s">
        <v>1690</v>
      </c>
      <c r="D536" s="3" t="s">
        <v>1691</v>
      </c>
      <c r="E536" s="3" t="s">
        <v>1692</v>
      </c>
      <c r="F536" s="17" t="s">
        <v>36</v>
      </c>
      <c r="G536" s="3" t="s">
        <v>1235</v>
      </c>
      <c r="H536" s="43">
        <f t="shared" ref="H536:I536" si="1073">LEN(D536)-LEN(B536)+1</f>
        <v>2</v>
      </c>
      <c r="I536" s="43">
        <f t="shared" si="1073"/>
        <v>3</v>
      </c>
      <c r="J536" s="4" t="s">
        <v>36</v>
      </c>
      <c r="K536" s="4">
        <v>3.0</v>
      </c>
      <c r="L536" s="5" t="str">
        <f t="shared" ref="L536:M536" si="1074">IFS(J536="-", "-", J536=H536, "Final", J536=1, "Initial", J536&gt;1, "Medial")</f>
        <v>-</v>
      </c>
      <c r="M536" s="44" t="str">
        <f t="shared" si="1074"/>
        <v>Final</v>
      </c>
      <c r="N536" s="5" t="str">
        <f t="shared" si="5"/>
        <v>ˈgwa</v>
      </c>
      <c r="O536" s="5" t="str">
        <f t="shared" si="6"/>
        <v>-</v>
      </c>
      <c r="P536" s="5" t="str">
        <f t="shared" si="7"/>
        <v>ɡu</v>
      </c>
      <c r="Q536" s="5">
        <f t="shared" si="8"/>
        <v>3</v>
      </c>
      <c r="R536" s="3"/>
      <c r="S536" s="3" t="s">
        <v>1694</v>
      </c>
      <c r="T536" s="3" t="s">
        <v>1695</v>
      </c>
      <c r="U536" s="3" t="s">
        <v>22</v>
      </c>
      <c r="V536" s="5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>
      <c r="A537" s="15" t="s">
        <v>14</v>
      </c>
      <c r="B537" s="15" t="s">
        <v>1697</v>
      </c>
      <c r="C537" s="15" t="s">
        <v>1698</v>
      </c>
      <c r="D537" s="15" t="s">
        <v>1699</v>
      </c>
      <c r="E537" s="15" t="s">
        <v>1700</v>
      </c>
      <c r="F537" s="15" t="s">
        <v>36</v>
      </c>
      <c r="G537" s="15" t="s">
        <v>49</v>
      </c>
      <c r="H537" s="43">
        <f t="shared" ref="H537:I537" si="1075">LEN(D537)-LEN(B537)+1</f>
        <v>2</v>
      </c>
      <c r="I537" s="43">
        <f t="shared" si="1075"/>
        <v>3</v>
      </c>
      <c r="J537" s="18" t="s">
        <v>36</v>
      </c>
      <c r="K537" s="18">
        <v>1.0</v>
      </c>
      <c r="L537" s="5" t="str">
        <f t="shared" ref="L537:M537" si="1076">IFS(J537="-", "-", J537=H537, "Final", J537=1, "Initial", J537&gt;1, "Medial")</f>
        <v>-</v>
      </c>
      <c r="M537" s="44" t="str">
        <f t="shared" si="1076"/>
        <v>Initial</v>
      </c>
      <c r="N537" s="5" t="str">
        <f t="shared" si="5"/>
        <v>0</v>
      </c>
      <c r="O537" s="5" t="str">
        <f t="shared" si="6"/>
        <v>sẽ</v>
      </c>
      <c r="P537" s="5" t="str">
        <f t="shared" si="7"/>
        <v>0</v>
      </c>
      <c r="Q537" s="5" t="str">
        <f t="shared" si="8"/>
        <v>sẽ</v>
      </c>
      <c r="R537" s="15" t="s">
        <v>80</v>
      </c>
      <c r="S537" s="15" t="s">
        <v>1701</v>
      </c>
      <c r="T537" s="15" t="s">
        <v>1702</v>
      </c>
      <c r="U537" s="15" t="s">
        <v>22</v>
      </c>
      <c r="V537" s="20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</row>
    <row r="538">
      <c r="A538" s="15" t="s">
        <v>14</v>
      </c>
      <c r="B538" s="15" t="s">
        <v>1697</v>
      </c>
      <c r="C538" s="15" t="s">
        <v>1698</v>
      </c>
      <c r="D538" s="15" t="s">
        <v>1699</v>
      </c>
      <c r="E538" s="15" t="s">
        <v>1700</v>
      </c>
      <c r="F538" s="15" t="s">
        <v>1703</v>
      </c>
      <c r="G538" s="15" t="s">
        <v>1703</v>
      </c>
      <c r="H538" s="43">
        <f t="shared" ref="H538:I538" si="1077">LEN(D538)-LEN(B538)+1</f>
        <v>2</v>
      </c>
      <c r="I538" s="43">
        <f t="shared" si="1077"/>
        <v>3</v>
      </c>
      <c r="J538" s="18">
        <v>1.0</v>
      </c>
      <c r="K538" s="18">
        <v>2.0</v>
      </c>
      <c r="L538" s="5" t="str">
        <f t="shared" ref="L538:M538" si="1078">IFS(J538="-", "-", J538=H538, "Final", J538=1, "Initial", J538&gt;1, "Medial")</f>
        <v>Initial</v>
      </c>
      <c r="M538" s="44" t="str">
        <f t="shared" si="1078"/>
        <v>Medial</v>
      </c>
      <c r="N538" s="5" t="str">
        <f t="shared" si="5"/>
        <v>-</v>
      </c>
      <c r="O538" s="5" t="str">
        <f t="shared" si="6"/>
        <v>ˈde</v>
      </c>
      <c r="P538" s="5" t="str">
        <f t="shared" si="7"/>
        <v>ɐ</v>
      </c>
      <c r="Q538" s="5" t="str">
        <f t="shared" si="8"/>
        <v>ˈdeɾ</v>
      </c>
      <c r="R538" s="15"/>
      <c r="S538" s="15" t="s">
        <v>1701</v>
      </c>
      <c r="T538" s="15" t="s">
        <v>1702</v>
      </c>
      <c r="U538" s="15" t="s">
        <v>22</v>
      </c>
      <c r="V538" s="20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</row>
    <row r="539">
      <c r="A539" s="15" t="s">
        <v>14</v>
      </c>
      <c r="B539" s="15" t="s">
        <v>1697</v>
      </c>
      <c r="C539" s="15" t="s">
        <v>1698</v>
      </c>
      <c r="D539" s="15" t="s">
        <v>1699</v>
      </c>
      <c r="E539" s="15" t="s">
        <v>1700</v>
      </c>
      <c r="F539" s="15" t="s">
        <v>1331</v>
      </c>
      <c r="G539" s="15" t="s">
        <v>1181</v>
      </c>
      <c r="H539" s="43">
        <f t="shared" ref="H539:I539" si="1079">LEN(D539)-LEN(B539)+1</f>
        <v>2</v>
      </c>
      <c r="I539" s="43">
        <f t="shared" si="1079"/>
        <v>3</v>
      </c>
      <c r="J539" s="18">
        <v>2.0</v>
      </c>
      <c r="K539" s="18">
        <v>3.0</v>
      </c>
      <c r="L539" s="5" t="str">
        <f t="shared" ref="L539:M539" si="1080">IFS(J539="-", "-", J539=H539, "Final", J539=1, "Initial", J539&gt;1, "Medial")</f>
        <v>Final</v>
      </c>
      <c r="M539" s="44" t="str">
        <f t="shared" si="1080"/>
        <v>Final</v>
      </c>
      <c r="N539" s="5" t="str">
        <f t="shared" si="5"/>
        <v>sẽ</v>
      </c>
      <c r="O539" s="5">
        <f t="shared" si="6"/>
        <v>2</v>
      </c>
      <c r="P539" s="5" t="str">
        <f t="shared" si="7"/>
        <v>sẽ</v>
      </c>
      <c r="Q539" s="5">
        <f t="shared" si="8"/>
        <v>3</v>
      </c>
      <c r="R539" s="15"/>
      <c r="S539" s="15" t="s">
        <v>1701</v>
      </c>
      <c r="T539" s="15" t="s">
        <v>1702</v>
      </c>
      <c r="U539" s="15" t="s">
        <v>22</v>
      </c>
      <c r="V539" s="20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</row>
    <row r="540">
      <c r="A540" s="3" t="s">
        <v>14</v>
      </c>
      <c r="B540" s="3" t="s">
        <v>1704</v>
      </c>
      <c r="C540" s="3" t="s">
        <v>1705</v>
      </c>
      <c r="D540" s="3" t="s">
        <v>1706</v>
      </c>
      <c r="E540" s="3" t="s">
        <v>1707</v>
      </c>
      <c r="F540" s="3" t="s">
        <v>401</v>
      </c>
      <c r="G540" s="3" t="s">
        <v>1708</v>
      </c>
      <c r="H540" s="43">
        <f t="shared" ref="H540:I540" si="1081">LEN(D540)-LEN(B540)+1</f>
        <v>2</v>
      </c>
      <c r="I540" s="43">
        <f t="shared" si="1081"/>
        <v>2</v>
      </c>
      <c r="J540" s="4">
        <v>1.0</v>
      </c>
      <c r="K540" s="4">
        <v>1.0</v>
      </c>
      <c r="L540" s="5" t="str">
        <f t="shared" ref="L540:M540" si="1082">IFS(J540="-", "-", J540=H540, "Final", J540=1, "Initial", J540&gt;1, "Medial")</f>
        <v>Initial</v>
      </c>
      <c r="M540" s="44" t="str">
        <f t="shared" si="1082"/>
        <v>Initial</v>
      </c>
      <c r="N540" s="5" t="str">
        <f t="shared" si="5"/>
        <v>0</v>
      </c>
      <c r="O540" s="5" t="str">
        <f t="shared" si="6"/>
        <v>ˈra</v>
      </c>
      <c r="P540" s="5" t="str">
        <f t="shared" si="7"/>
        <v>0</v>
      </c>
      <c r="Q540" s="5" t="str">
        <f t="shared" si="8"/>
        <v>ˈɾaɾ</v>
      </c>
      <c r="R540" s="3"/>
      <c r="S540" s="3" t="s">
        <v>1709</v>
      </c>
      <c r="T540" s="3" t="s">
        <v>1710</v>
      </c>
      <c r="U540" s="3" t="s">
        <v>22</v>
      </c>
      <c r="V540" s="5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>
      <c r="A541" s="3" t="s">
        <v>14</v>
      </c>
      <c r="B541" s="3" t="s">
        <v>1704</v>
      </c>
      <c r="C541" s="3" t="s">
        <v>1705</v>
      </c>
      <c r="D541" s="3" t="s">
        <v>1706</v>
      </c>
      <c r="E541" s="3" t="s">
        <v>1707</v>
      </c>
      <c r="F541" s="3" t="s">
        <v>326</v>
      </c>
      <c r="G541" s="3" t="s">
        <v>1235</v>
      </c>
      <c r="H541" s="43">
        <f t="shared" ref="H541:I541" si="1083">LEN(D541)-LEN(B541)+1</f>
        <v>2</v>
      </c>
      <c r="I541" s="43">
        <f t="shared" si="1083"/>
        <v>2</v>
      </c>
      <c r="J541" s="4">
        <v>2.0</v>
      </c>
      <c r="K541" s="4">
        <v>2.0</v>
      </c>
      <c r="L541" s="5" t="str">
        <f t="shared" ref="L541:M541" si="1084">IFS(J541="-", "-", J541=H541, "Final", J541=1, "Initial", J541&gt;1, "Medial")</f>
        <v>Final</v>
      </c>
      <c r="M541" s="44" t="str">
        <f t="shared" si="1084"/>
        <v>Final</v>
      </c>
      <c r="N541" s="5" t="str">
        <f t="shared" si="5"/>
        <v>sɛ</v>
      </c>
      <c r="O541" s="5">
        <f t="shared" si="6"/>
        <v>2</v>
      </c>
      <c r="P541" s="5" t="str">
        <f t="shared" si="7"/>
        <v>ʃɐj</v>
      </c>
      <c r="Q541" s="5">
        <f t="shared" si="8"/>
        <v>2</v>
      </c>
      <c r="R541" s="3"/>
      <c r="S541" s="3" t="s">
        <v>1709</v>
      </c>
      <c r="T541" s="3" t="s">
        <v>1710</v>
      </c>
      <c r="U541" s="3" t="s">
        <v>22</v>
      </c>
      <c r="V541" s="5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>
      <c r="A542" s="3" t="s">
        <v>14</v>
      </c>
      <c r="B542" s="3" t="s">
        <v>1711</v>
      </c>
      <c r="C542" s="3" t="s">
        <v>1712</v>
      </c>
      <c r="D542" s="3" t="s">
        <v>1713</v>
      </c>
      <c r="E542" s="3" t="s">
        <v>1714</v>
      </c>
      <c r="F542" s="3" t="s">
        <v>848</v>
      </c>
      <c r="G542" s="3" t="s">
        <v>870</v>
      </c>
      <c r="H542" s="43">
        <f t="shared" ref="H542:I542" si="1085">LEN(D542)-LEN(B542)+1</f>
        <v>2</v>
      </c>
      <c r="I542" s="43">
        <f t="shared" si="1085"/>
        <v>2</v>
      </c>
      <c r="J542" s="4">
        <v>1.0</v>
      </c>
      <c r="K542" s="4">
        <v>1.0</v>
      </c>
      <c r="L542" s="5" t="str">
        <f t="shared" ref="L542:M542" si="1086">IFS(J542="-", "-", J542=H542, "Final", J542=1, "Initial", J542&gt;1, "Medial")</f>
        <v>Initial</v>
      </c>
      <c r="M542" s="44" t="str">
        <f t="shared" si="1086"/>
        <v>Initial</v>
      </c>
      <c r="N542" s="5" t="str">
        <f t="shared" si="5"/>
        <v>0</v>
      </c>
      <c r="O542" s="5" t="str">
        <f t="shared" si="6"/>
        <v>ˈga</v>
      </c>
      <c r="P542" s="5" t="str">
        <f t="shared" si="7"/>
        <v>0</v>
      </c>
      <c r="Q542" s="5" t="str">
        <f t="shared" si="8"/>
        <v>ˈɡaɾ</v>
      </c>
      <c r="R542" s="3"/>
      <c r="S542" s="3" t="s">
        <v>1715</v>
      </c>
      <c r="T542" s="3" t="s">
        <v>1716</v>
      </c>
      <c r="U542" s="3" t="s">
        <v>22</v>
      </c>
      <c r="V542" s="5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>
      <c r="A543" s="3" t="s">
        <v>14</v>
      </c>
      <c r="B543" s="3" t="s">
        <v>1711</v>
      </c>
      <c r="C543" s="3" t="s">
        <v>1712</v>
      </c>
      <c r="D543" s="3" t="s">
        <v>1713</v>
      </c>
      <c r="E543" s="3" t="s">
        <v>1714</v>
      </c>
      <c r="F543" s="3" t="s">
        <v>629</v>
      </c>
      <c r="G543" s="3" t="s">
        <v>1717</v>
      </c>
      <c r="H543" s="43">
        <f t="shared" ref="H543:I543" si="1087">LEN(D543)-LEN(B543)+1</f>
        <v>2</v>
      </c>
      <c r="I543" s="43">
        <f t="shared" si="1087"/>
        <v>2</v>
      </c>
      <c r="J543" s="4">
        <v>2.0</v>
      </c>
      <c r="K543" s="4">
        <v>2.0</v>
      </c>
      <c r="L543" s="5" t="str">
        <f t="shared" ref="L543:M543" si="1088">IFS(J543="-", "-", J543=H543, "Final", J543=1, "Initial", J543&gt;1, "Medial")</f>
        <v>Final</v>
      </c>
      <c r="M543" s="44" t="str">
        <f t="shared" si="1088"/>
        <v>Final</v>
      </c>
      <c r="N543" s="5" t="str">
        <f t="shared" si="5"/>
        <v>ʃi</v>
      </c>
      <c r="O543" s="5">
        <f t="shared" si="6"/>
        <v>2</v>
      </c>
      <c r="P543" s="5" t="str">
        <f t="shared" si="7"/>
        <v>ʃɨ</v>
      </c>
      <c r="Q543" s="5">
        <f t="shared" si="8"/>
        <v>2</v>
      </c>
      <c r="R543" s="3"/>
      <c r="S543" s="3" t="s">
        <v>1715</v>
      </c>
      <c r="T543" s="3" t="s">
        <v>1716</v>
      </c>
      <c r="U543" s="3" t="s">
        <v>22</v>
      </c>
      <c r="V543" s="5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>
      <c r="A544" s="3" t="s">
        <v>14</v>
      </c>
      <c r="B544" s="3" t="s">
        <v>1718</v>
      </c>
      <c r="C544" s="3" t="s">
        <v>1719</v>
      </c>
      <c r="D544" s="3" t="s">
        <v>1720</v>
      </c>
      <c r="E544" s="3" t="s">
        <v>1721</v>
      </c>
      <c r="F544" s="3" t="s">
        <v>848</v>
      </c>
      <c r="G544" s="3" t="s">
        <v>301</v>
      </c>
      <c r="H544" s="43">
        <f t="shared" ref="H544:I544" si="1089">LEN(D544)-LEN(B544)+1</f>
        <v>3</v>
      </c>
      <c r="I544" s="43">
        <f t="shared" si="1089"/>
        <v>3</v>
      </c>
      <c r="J544" s="4">
        <v>1.0</v>
      </c>
      <c r="K544" s="4">
        <v>1.0</v>
      </c>
      <c r="L544" s="5" t="str">
        <f t="shared" ref="L544:M544" si="1090">IFS(J544="-", "-", J544=H544, "Final", J544=1, "Initial", J544&gt;1, "Medial")</f>
        <v>Initial</v>
      </c>
      <c r="M544" s="44" t="str">
        <f t="shared" si="1090"/>
        <v>Initial</v>
      </c>
      <c r="N544" s="5" t="str">
        <f t="shared" si="5"/>
        <v>0</v>
      </c>
      <c r="O544" s="5" t="str">
        <f t="shared" si="6"/>
        <v>ka</v>
      </c>
      <c r="P544" s="5" t="str">
        <f t="shared" si="7"/>
        <v>0</v>
      </c>
      <c r="Q544" s="5" t="str">
        <f t="shared" si="8"/>
        <v>kɐ</v>
      </c>
      <c r="R544" s="3"/>
      <c r="S544" s="3" t="s">
        <v>1722</v>
      </c>
      <c r="T544" s="3" t="s">
        <v>1723</v>
      </c>
      <c r="U544" s="3" t="s">
        <v>22</v>
      </c>
      <c r="V544" s="5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>
      <c r="A545" s="3" t="s">
        <v>14</v>
      </c>
      <c r="B545" s="3" t="s">
        <v>1718</v>
      </c>
      <c r="C545" s="3" t="s">
        <v>1719</v>
      </c>
      <c r="D545" s="3" t="s">
        <v>1720</v>
      </c>
      <c r="E545" s="3" t="s">
        <v>1721</v>
      </c>
      <c r="F545" s="3" t="s">
        <v>108</v>
      </c>
      <c r="G545" s="3" t="s">
        <v>175</v>
      </c>
      <c r="H545" s="43">
        <f t="shared" ref="H545:I545" si="1091">LEN(D545)-LEN(B545)+1</f>
        <v>3</v>
      </c>
      <c r="I545" s="43">
        <f t="shared" si="1091"/>
        <v>3</v>
      </c>
      <c r="J545" s="4">
        <v>2.0</v>
      </c>
      <c r="K545" s="4">
        <v>2.0</v>
      </c>
      <c r="L545" s="5" t="str">
        <f t="shared" ref="L545:M545" si="1092">IFS(J545="-", "-", J545=H545, "Final", J545=1, "Initial", J545&gt;1, "Medial")</f>
        <v>Medial</v>
      </c>
      <c r="M545" s="44" t="str">
        <f t="shared" si="1092"/>
        <v>Medial</v>
      </c>
      <c r="N545" s="5" t="str">
        <f t="shared" si="5"/>
        <v>ʃi</v>
      </c>
      <c r="O545" s="5" t="str">
        <f t="shared" si="6"/>
        <v>ˈpa</v>
      </c>
      <c r="P545" s="5" t="str">
        <f t="shared" si="7"/>
        <v>ʃ</v>
      </c>
      <c r="Q545" s="5" t="str">
        <f t="shared" si="8"/>
        <v>ˈpaɾ</v>
      </c>
      <c r="R545" s="3"/>
      <c r="S545" s="3" t="s">
        <v>1722</v>
      </c>
      <c r="T545" s="3" t="s">
        <v>1723</v>
      </c>
      <c r="U545" s="3" t="s">
        <v>22</v>
      </c>
      <c r="V545" s="5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>
      <c r="A546" s="3" t="s">
        <v>14</v>
      </c>
      <c r="B546" s="3" t="s">
        <v>1718</v>
      </c>
      <c r="C546" s="3" t="s">
        <v>1719</v>
      </c>
      <c r="D546" s="3" t="s">
        <v>1720</v>
      </c>
      <c r="E546" s="3" t="s">
        <v>1721</v>
      </c>
      <c r="F546" s="3" t="s">
        <v>1396</v>
      </c>
      <c r="G546" s="3" t="s">
        <v>1397</v>
      </c>
      <c r="H546" s="43">
        <f t="shared" ref="H546:I546" si="1093">LEN(D546)-LEN(B546)+1</f>
        <v>3</v>
      </c>
      <c r="I546" s="43">
        <f t="shared" si="1093"/>
        <v>3</v>
      </c>
      <c r="J546" s="4">
        <v>3.0</v>
      </c>
      <c r="K546" s="4">
        <v>3.0</v>
      </c>
      <c r="L546" s="5" t="str">
        <f t="shared" ref="L546:M546" si="1094">IFS(J546="-", "-", J546=H546, "Final", J546=1, "Initial", J546&gt;1, "Medial")</f>
        <v>Final</v>
      </c>
      <c r="M546" s="44" t="str">
        <f t="shared" si="1094"/>
        <v>Final</v>
      </c>
      <c r="N546" s="5" t="str">
        <f t="shared" si="5"/>
        <v>ka</v>
      </c>
      <c r="O546" s="5">
        <f t="shared" si="6"/>
        <v>3</v>
      </c>
      <c r="P546" s="5" t="str">
        <f t="shared" si="7"/>
        <v>kɐ</v>
      </c>
      <c r="Q546" s="5">
        <f t="shared" si="8"/>
        <v>3</v>
      </c>
      <c r="R546" s="3"/>
      <c r="S546" s="3" t="s">
        <v>1722</v>
      </c>
      <c r="T546" s="3" t="s">
        <v>1723</v>
      </c>
      <c r="U546" s="3" t="s">
        <v>22</v>
      </c>
      <c r="V546" s="5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>
      <c r="A547" s="3" t="s">
        <v>14</v>
      </c>
      <c r="B547" s="3" t="s">
        <v>1724</v>
      </c>
      <c r="C547" s="3" t="s">
        <v>1725</v>
      </c>
      <c r="D547" s="3" t="s">
        <v>1726</v>
      </c>
      <c r="E547" s="3" t="s">
        <v>1727</v>
      </c>
      <c r="F547" s="3" t="s">
        <v>848</v>
      </c>
      <c r="G547" s="3" t="s">
        <v>301</v>
      </c>
      <c r="H547" s="43">
        <f t="shared" ref="H547:I547" si="1095">LEN(D547)-LEN(B547)+1</f>
        <v>3</v>
      </c>
      <c r="I547" s="43">
        <f t="shared" si="1095"/>
        <v>3</v>
      </c>
      <c r="J547" s="4">
        <v>1.0</v>
      </c>
      <c r="K547" s="4">
        <v>1.0</v>
      </c>
      <c r="L547" s="5" t="str">
        <f t="shared" ref="L547:M547" si="1096">IFS(J547="-", "-", J547=H547, "Final", J547=1, "Initial", J547&gt;1, "Medial")</f>
        <v>Initial</v>
      </c>
      <c r="M547" s="44" t="str">
        <f t="shared" si="1096"/>
        <v>Initial</v>
      </c>
      <c r="N547" s="5" t="str">
        <f t="shared" si="5"/>
        <v>0</v>
      </c>
      <c r="O547" s="5" t="str">
        <f t="shared" si="6"/>
        <v>ke</v>
      </c>
      <c r="P547" s="5" t="str">
        <f t="shared" si="7"/>
        <v>0</v>
      </c>
      <c r="Q547" s="5" t="str">
        <f t="shared" si="8"/>
        <v>kɾɨ</v>
      </c>
      <c r="R547" s="3"/>
      <c r="S547" s="3" t="s">
        <v>1728</v>
      </c>
      <c r="T547" s="3" t="s">
        <v>1729</v>
      </c>
      <c r="U547" s="3" t="s">
        <v>22</v>
      </c>
      <c r="V547" s="5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>
      <c r="A548" s="3" t="s">
        <v>14</v>
      </c>
      <c r="B548" s="3" t="s">
        <v>1724</v>
      </c>
      <c r="C548" s="3" t="s">
        <v>1725</v>
      </c>
      <c r="D548" s="3" t="s">
        <v>1726</v>
      </c>
      <c r="E548" s="3" t="s">
        <v>1727</v>
      </c>
      <c r="F548" s="3" t="s">
        <v>262</v>
      </c>
      <c r="G548" s="3" t="s">
        <v>1730</v>
      </c>
      <c r="H548" s="43">
        <f t="shared" ref="H548:I548" si="1097">LEN(D548)-LEN(B548)+1</f>
        <v>3</v>
      </c>
      <c r="I548" s="43">
        <f t="shared" si="1097"/>
        <v>3</v>
      </c>
      <c r="J548" s="4">
        <v>2.0</v>
      </c>
      <c r="K548" s="4">
        <v>2.0</v>
      </c>
      <c r="L548" s="5" t="str">
        <f t="shared" ref="L548:M548" si="1098">IFS(J548="-", "-", J548=H548, "Final", J548=1, "Initial", J548&gt;1, "Medial")</f>
        <v>Medial</v>
      </c>
      <c r="M548" s="44" t="str">
        <f t="shared" si="1098"/>
        <v>Medial</v>
      </c>
      <c r="N548" s="5" t="str">
        <f t="shared" si="5"/>
        <v>ʃi</v>
      </c>
      <c r="O548" s="5" t="str">
        <f t="shared" si="6"/>
        <v>ˈve</v>
      </c>
      <c r="P548" s="5" t="str">
        <f t="shared" si="7"/>
        <v>ʃ</v>
      </c>
      <c r="Q548" s="5" t="str">
        <f t="shared" si="8"/>
        <v>ˈveɾ</v>
      </c>
      <c r="R548" s="3"/>
      <c r="S548" s="3" t="s">
        <v>1728</v>
      </c>
      <c r="T548" s="3" t="s">
        <v>1729</v>
      </c>
      <c r="U548" s="3" t="s">
        <v>22</v>
      </c>
      <c r="V548" s="5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>
      <c r="A549" s="3" t="s">
        <v>14</v>
      </c>
      <c r="B549" s="3" t="s">
        <v>1724</v>
      </c>
      <c r="C549" s="3" t="s">
        <v>1725</v>
      </c>
      <c r="D549" s="3" t="s">
        <v>1726</v>
      </c>
      <c r="E549" s="3" t="s">
        <v>1727</v>
      </c>
      <c r="F549" s="3" t="s">
        <v>797</v>
      </c>
      <c r="G549" s="3" t="s">
        <v>798</v>
      </c>
      <c r="H549" s="43">
        <f t="shared" ref="H549:I549" si="1099">LEN(D549)-LEN(B549)+1</f>
        <v>3</v>
      </c>
      <c r="I549" s="43">
        <f t="shared" si="1099"/>
        <v>3</v>
      </c>
      <c r="J549" s="4">
        <v>3.0</v>
      </c>
      <c r="K549" s="4">
        <v>3.0</v>
      </c>
      <c r="L549" s="5" t="str">
        <f t="shared" ref="L549:M549" si="1100">IFS(J549="-", "-", J549=H549, "Final", J549=1, "Initial", J549&gt;1, "Medial")</f>
        <v>Final</v>
      </c>
      <c r="M549" s="44" t="str">
        <f t="shared" si="1100"/>
        <v>Final</v>
      </c>
      <c r="N549" s="5" t="str">
        <f t="shared" si="5"/>
        <v>ke</v>
      </c>
      <c r="O549" s="5">
        <f t="shared" si="6"/>
        <v>3</v>
      </c>
      <c r="P549" s="5" t="str">
        <f t="shared" si="7"/>
        <v>kɾɨ</v>
      </c>
      <c r="Q549" s="5">
        <f t="shared" si="8"/>
        <v>3</v>
      </c>
      <c r="R549" s="3"/>
      <c r="S549" s="3" t="s">
        <v>1728</v>
      </c>
      <c r="T549" s="3" t="s">
        <v>1729</v>
      </c>
      <c r="U549" s="3" t="s">
        <v>22</v>
      </c>
      <c r="V549" s="5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>
      <c r="A550" s="3" t="s">
        <v>14</v>
      </c>
      <c r="B550" s="3" t="s">
        <v>1731</v>
      </c>
      <c r="C550" s="3" t="s">
        <v>1732</v>
      </c>
      <c r="D550" s="3" t="s">
        <v>1733</v>
      </c>
      <c r="E550" s="3" t="s">
        <v>1734</v>
      </c>
      <c r="F550" s="3" t="s">
        <v>848</v>
      </c>
      <c r="G550" s="3" t="s">
        <v>987</v>
      </c>
      <c r="H550" s="43">
        <f t="shared" ref="H550:I550" si="1101">LEN(D550)-LEN(B550)+1</f>
        <v>2</v>
      </c>
      <c r="I550" s="43">
        <f t="shared" si="1101"/>
        <v>3</v>
      </c>
      <c r="J550" s="4">
        <v>1.0</v>
      </c>
      <c r="K550" s="4">
        <v>1.0</v>
      </c>
      <c r="L550" s="5" t="str">
        <f t="shared" ref="L550:M550" si="1102">IFS(J550="-", "-", J550=H550, "Final", J550=1, "Initial", J550&gt;1, "Medial")</f>
        <v>Initial</v>
      </c>
      <c r="M550" s="44" t="str">
        <f t="shared" si="1102"/>
        <v>Initial</v>
      </c>
      <c r="N550" s="5" t="str">
        <f t="shared" si="5"/>
        <v>0</v>
      </c>
      <c r="O550" s="5" t="str">
        <f t="shared" si="6"/>
        <v>ˈmja</v>
      </c>
      <c r="P550" s="5" t="str">
        <f t="shared" si="7"/>
        <v>0</v>
      </c>
      <c r="Q550" s="5" t="str">
        <f t="shared" si="8"/>
        <v>mi</v>
      </c>
      <c r="R550" s="3"/>
      <c r="S550" s="3" t="s">
        <v>1735</v>
      </c>
      <c r="T550" s="3" t="s">
        <v>1736</v>
      </c>
      <c r="U550" s="3" t="s">
        <v>22</v>
      </c>
      <c r="V550" s="5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>
      <c r="A551" s="3" t="s">
        <v>14</v>
      </c>
      <c r="B551" s="3" t="s">
        <v>1731</v>
      </c>
      <c r="C551" s="3" t="s">
        <v>1732</v>
      </c>
      <c r="D551" s="3" t="s">
        <v>1733</v>
      </c>
      <c r="E551" s="3" t="s">
        <v>1734</v>
      </c>
      <c r="F551" s="3" t="s">
        <v>1737</v>
      </c>
      <c r="G551" s="3" t="s">
        <v>575</v>
      </c>
      <c r="H551" s="43">
        <f t="shared" ref="H551:I551" si="1103">LEN(D551)-LEN(B551)+1</f>
        <v>2</v>
      </c>
      <c r="I551" s="43">
        <f t="shared" si="1103"/>
        <v>3</v>
      </c>
      <c r="J551" s="4">
        <v>2.0</v>
      </c>
      <c r="K551" s="4">
        <v>2.0</v>
      </c>
      <c r="L551" s="5" t="str">
        <f t="shared" ref="L551:M551" si="1104">IFS(J551="-", "-", J551=H551, "Final", J551=1, "Initial", J551&gt;1, "Medial")</f>
        <v>Final</v>
      </c>
      <c r="M551" s="44" t="str">
        <f t="shared" si="1104"/>
        <v>Medial</v>
      </c>
      <c r="N551" s="5" t="str">
        <f t="shared" si="5"/>
        <v>ʃi</v>
      </c>
      <c r="O551" s="5" t="str">
        <f t="shared" si="6"/>
        <v>-</v>
      </c>
      <c r="P551" s="5" t="str">
        <f t="shared" si="7"/>
        <v>sɨ</v>
      </c>
      <c r="Q551" s="5" t="str">
        <f t="shared" si="8"/>
        <v>ˈaɾ</v>
      </c>
      <c r="R551" s="3"/>
      <c r="S551" s="3" t="s">
        <v>1735</v>
      </c>
      <c r="T551" s="3" t="s">
        <v>1736</v>
      </c>
      <c r="U551" s="3" t="s">
        <v>22</v>
      </c>
      <c r="V551" s="5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>
      <c r="A552" s="3" t="s">
        <v>14</v>
      </c>
      <c r="B552" s="3" t="s">
        <v>1731</v>
      </c>
      <c r="C552" s="3" t="s">
        <v>1732</v>
      </c>
      <c r="D552" s="3" t="s">
        <v>1733</v>
      </c>
      <c r="E552" s="3" t="s">
        <v>1734</v>
      </c>
      <c r="F552" s="17" t="s">
        <v>36</v>
      </c>
      <c r="G552" s="3" t="s">
        <v>996</v>
      </c>
      <c r="H552" s="43">
        <f t="shared" ref="H552:I552" si="1105">LEN(D552)-LEN(B552)+1</f>
        <v>2</v>
      </c>
      <c r="I552" s="43">
        <f t="shared" si="1105"/>
        <v>3</v>
      </c>
      <c r="J552" s="4" t="s">
        <v>36</v>
      </c>
      <c r="K552" s="4">
        <v>3.0</v>
      </c>
      <c r="L552" s="5" t="str">
        <f t="shared" ref="L552:M552" si="1106">IFS(J552="-", "-", J552=H552, "Final", J552=1, "Initial", J552&gt;1, "Medial")</f>
        <v>-</v>
      </c>
      <c r="M552" s="44" t="str">
        <f t="shared" si="1106"/>
        <v>Final</v>
      </c>
      <c r="N552" s="5" t="str">
        <f t="shared" si="5"/>
        <v>ˈmja</v>
      </c>
      <c r="O552" s="5" t="str">
        <f t="shared" si="6"/>
        <v>-</v>
      </c>
      <c r="P552" s="5" t="str">
        <f t="shared" si="7"/>
        <v>mi</v>
      </c>
      <c r="Q552" s="5">
        <f t="shared" si="8"/>
        <v>3</v>
      </c>
      <c r="R552" s="3"/>
      <c r="S552" s="3" t="s">
        <v>1735</v>
      </c>
      <c r="T552" s="3" t="s">
        <v>1736</v>
      </c>
      <c r="U552" s="3" t="s">
        <v>22</v>
      </c>
      <c r="V552" s="5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>
      <c r="A553" s="3" t="s">
        <v>14</v>
      </c>
      <c r="B553" s="3" t="s">
        <v>353</v>
      </c>
      <c r="C553" s="3" t="s">
        <v>1738</v>
      </c>
      <c r="D553" s="3" t="s">
        <v>353</v>
      </c>
      <c r="E553" s="3" t="s">
        <v>1739</v>
      </c>
      <c r="F553" s="3"/>
      <c r="G553" s="3"/>
      <c r="H553" s="43">
        <f t="shared" ref="H553:I553" si="1107">LEN(D553)-LEN(B553)+1</f>
        <v>1</v>
      </c>
      <c r="I553" s="43">
        <f t="shared" si="1107"/>
        <v>2</v>
      </c>
      <c r="J553" s="4"/>
      <c r="K553" s="4"/>
      <c r="L553" s="5" t="str">
        <f t="shared" ref="L553:M553" si="1108">IFS(J553="-", "-", J553=H553, "Final", J553=1, "Initial", J553&gt;1, "Medial")</f>
        <v>#N/A</v>
      </c>
      <c r="M553" s="44" t="str">
        <f t="shared" si="1108"/>
        <v>#N/A</v>
      </c>
      <c r="N553" s="5" t="str">
        <f t="shared" si="5"/>
        <v>0</v>
      </c>
      <c r="O553" s="5" t="str">
        <f t="shared" si="6"/>
        <v/>
      </c>
      <c r="P553" s="5" t="str">
        <f t="shared" si="7"/>
        <v>0</v>
      </c>
      <c r="Q553" s="5" t="str">
        <f t="shared" si="8"/>
        <v/>
      </c>
      <c r="R553" s="3"/>
      <c r="S553" s="3" t="s">
        <v>1740</v>
      </c>
      <c r="T553" s="3" t="s">
        <v>1741</v>
      </c>
      <c r="U553" s="3" t="s">
        <v>22</v>
      </c>
      <c r="V553" s="3" t="s">
        <v>560</v>
      </c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>
      <c r="A554" s="15" t="s">
        <v>14</v>
      </c>
      <c r="B554" s="15" t="s">
        <v>1742</v>
      </c>
      <c r="C554" s="15" t="s">
        <v>1743</v>
      </c>
      <c r="D554" s="15" t="s">
        <v>1744</v>
      </c>
      <c r="E554" s="15" t="s">
        <v>1745</v>
      </c>
      <c r="F554" s="15" t="s">
        <v>36</v>
      </c>
      <c r="G554" s="15" t="s">
        <v>49</v>
      </c>
      <c r="H554" s="43">
        <f t="shared" ref="H554:I554" si="1109">LEN(D554)-LEN(B554)+1</f>
        <v>2</v>
      </c>
      <c r="I554" s="43">
        <f t="shared" si="1109"/>
        <v>3</v>
      </c>
      <c r="J554" s="18" t="s">
        <v>36</v>
      </c>
      <c r="K554" s="18">
        <v>1.0</v>
      </c>
      <c r="L554" s="5" t="str">
        <f t="shared" ref="L554:M554" si="1110">IFS(J554="-", "-", J554=H554, "Final", J554=1, "Initial", J554&gt;1, "Medial")</f>
        <v>-</v>
      </c>
      <c r="M554" s="44" t="str">
        <f t="shared" si="1110"/>
        <v>Initial</v>
      </c>
      <c r="N554" s="5" t="str">
        <f t="shared" si="5"/>
        <v>0</v>
      </c>
      <c r="O554" s="5" t="str">
        <f t="shared" si="6"/>
        <v>sɔ̃m</v>
      </c>
      <c r="P554" s="5" t="str">
        <f t="shared" si="7"/>
        <v>0</v>
      </c>
      <c r="Q554" s="5" t="str">
        <f t="shared" si="8"/>
        <v>sõ</v>
      </c>
      <c r="R554" s="15" t="s">
        <v>80</v>
      </c>
      <c r="S554" s="15" t="s">
        <v>1746</v>
      </c>
      <c r="T554" s="15" t="s">
        <v>1747</v>
      </c>
      <c r="U554" s="15" t="s">
        <v>22</v>
      </c>
      <c r="V554" s="20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</row>
    <row r="555">
      <c r="A555" s="15" t="s">
        <v>14</v>
      </c>
      <c r="B555" s="15" t="s">
        <v>1742</v>
      </c>
      <c r="C555" s="15" t="s">
        <v>1743</v>
      </c>
      <c r="D555" s="15" t="s">
        <v>1744</v>
      </c>
      <c r="E555" s="15" t="s">
        <v>1745</v>
      </c>
      <c r="F555" s="15" t="s">
        <v>1748</v>
      </c>
      <c r="G555" s="15" t="s">
        <v>1749</v>
      </c>
      <c r="H555" s="43">
        <f t="shared" ref="H555:I555" si="1111">LEN(D555)-LEN(B555)+1</f>
        <v>2</v>
      </c>
      <c r="I555" s="43">
        <f t="shared" si="1111"/>
        <v>3</v>
      </c>
      <c r="J555" s="18">
        <v>1.0</v>
      </c>
      <c r="K555" s="18">
        <v>2.0</v>
      </c>
      <c r="L555" s="5" t="str">
        <f t="shared" ref="L555:M555" si="1112">IFS(J555="-", "-", J555=H555, "Final", J555=1, "Initial", J555&gt;1, "Medial")</f>
        <v>Initial</v>
      </c>
      <c r="M555" s="44" t="str">
        <f t="shared" si="1112"/>
        <v>Medial</v>
      </c>
      <c r="N555" s="5" t="str">
        <f t="shared" si="5"/>
        <v>-</v>
      </c>
      <c r="O555" s="5" t="str">
        <f t="shared" si="6"/>
        <v>ˈba</v>
      </c>
      <c r="P555" s="5" t="str">
        <f t="shared" si="7"/>
        <v>ɐ</v>
      </c>
      <c r="Q555" s="5" t="str">
        <f t="shared" si="8"/>
        <v>ˈbɾaɾ</v>
      </c>
      <c r="R555" s="15"/>
      <c r="S555" s="15" t="s">
        <v>1746</v>
      </c>
      <c r="T555" s="15" t="s">
        <v>1747</v>
      </c>
      <c r="U555" s="15" t="s">
        <v>22</v>
      </c>
      <c r="V555" s="20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</row>
    <row r="556">
      <c r="A556" s="15" t="s">
        <v>14</v>
      </c>
      <c r="B556" s="15" t="s">
        <v>1742</v>
      </c>
      <c r="C556" s="15" t="s">
        <v>1743</v>
      </c>
      <c r="D556" s="15" t="s">
        <v>1744</v>
      </c>
      <c r="E556" s="15" t="s">
        <v>1745</v>
      </c>
      <c r="F556" s="15" t="s">
        <v>1248</v>
      </c>
      <c r="G556" s="15" t="s">
        <v>1272</v>
      </c>
      <c r="H556" s="43">
        <f t="shared" ref="H556:I556" si="1113">LEN(D556)-LEN(B556)+1</f>
        <v>2</v>
      </c>
      <c r="I556" s="43">
        <f t="shared" si="1113"/>
        <v>3</v>
      </c>
      <c r="J556" s="18">
        <v>2.0</v>
      </c>
      <c r="K556" s="18">
        <v>3.0</v>
      </c>
      <c r="L556" s="5" t="str">
        <f t="shared" ref="L556:M556" si="1114">IFS(J556="-", "-", J556=H556, "Final", J556=1, "Initial", J556&gt;1, "Medial")</f>
        <v>Final</v>
      </c>
      <c r="M556" s="44" t="str">
        <f t="shared" si="1114"/>
        <v>Final</v>
      </c>
      <c r="N556" s="5" t="str">
        <f t="shared" si="5"/>
        <v>sɔ̃m</v>
      </c>
      <c r="O556" s="5">
        <f t="shared" si="6"/>
        <v>2</v>
      </c>
      <c r="P556" s="5" t="str">
        <f t="shared" si="7"/>
        <v>sõ</v>
      </c>
      <c r="Q556" s="5">
        <f t="shared" si="8"/>
        <v>3</v>
      </c>
      <c r="R556" s="15"/>
      <c r="S556" s="15" t="s">
        <v>1746</v>
      </c>
      <c r="T556" s="15" t="s">
        <v>1747</v>
      </c>
      <c r="U556" s="15" t="s">
        <v>22</v>
      </c>
      <c r="V556" s="20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</row>
    <row r="557">
      <c r="A557" s="3" t="s">
        <v>14</v>
      </c>
      <c r="B557" s="3" t="s">
        <v>1750</v>
      </c>
      <c r="C557" s="3" t="s">
        <v>1751</v>
      </c>
      <c r="D557" s="3" t="s">
        <v>1752</v>
      </c>
      <c r="E557" s="3" t="s">
        <v>1753</v>
      </c>
      <c r="F557" s="3" t="s">
        <v>1754</v>
      </c>
      <c r="G557" s="3" t="s">
        <v>362</v>
      </c>
      <c r="H557" s="43">
        <f t="shared" ref="H557:I557" si="1115">LEN(D557)-LEN(B557)+1</f>
        <v>2</v>
      </c>
      <c r="I557" s="43">
        <f t="shared" si="1115"/>
        <v>2</v>
      </c>
      <c r="J557" s="4">
        <v>1.0</v>
      </c>
      <c r="K557" s="4">
        <v>1.0</v>
      </c>
      <c r="L557" s="5" t="str">
        <f t="shared" ref="L557:M557" si="1116">IFS(J557="-", "-", J557=H557, "Final", J557=1, "Initial", J557&gt;1, "Medial")</f>
        <v>Initial</v>
      </c>
      <c r="M557" s="44" t="str">
        <f t="shared" si="1116"/>
        <v>Initial</v>
      </c>
      <c r="N557" s="5" t="str">
        <f t="shared" si="5"/>
        <v>0</v>
      </c>
      <c r="O557" s="5" t="str">
        <f t="shared" si="6"/>
        <v>ˈpa</v>
      </c>
      <c r="P557" s="5" t="str">
        <f t="shared" si="7"/>
        <v>0</v>
      </c>
      <c r="Q557" s="5" t="str">
        <f t="shared" si="8"/>
        <v>ˈpɾaɾ</v>
      </c>
      <c r="R557" s="3"/>
      <c r="S557" s="3" t="s">
        <v>1755</v>
      </c>
      <c r="T557" s="3" t="s">
        <v>1756</v>
      </c>
      <c r="U557" s="3" t="s">
        <v>22</v>
      </c>
      <c r="V557" s="5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>
      <c r="A558" s="3" t="s">
        <v>14</v>
      </c>
      <c r="B558" s="3" t="s">
        <v>1750</v>
      </c>
      <c r="C558" s="3" t="s">
        <v>1751</v>
      </c>
      <c r="D558" s="3" t="s">
        <v>1752</v>
      </c>
      <c r="E558" s="3" t="s">
        <v>1753</v>
      </c>
      <c r="F558" s="3" t="s">
        <v>1396</v>
      </c>
      <c r="G558" s="3" t="s">
        <v>1757</v>
      </c>
      <c r="H558" s="43">
        <f t="shared" ref="H558:I558" si="1117">LEN(D558)-LEN(B558)+1</f>
        <v>2</v>
      </c>
      <c r="I558" s="43">
        <f t="shared" si="1117"/>
        <v>2</v>
      </c>
      <c r="J558" s="4">
        <v>2.0</v>
      </c>
      <c r="K558" s="4">
        <v>2.0</v>
      </c>
      <c r="L558" s="5" t="str">
        <f t="shared" ref="L558:M558" si="1118">IFS(J558="-", "-", J558=H558, "Final", J558=1, "Initial", J558&gt;1, "Medial")</f>
        <v>Final</v>
      </c>
      <c r="M558" s="44" t="str">
        <f t="shared" si="1118"/>
        <v>Final</v>
      </c>
      <c r="N558" s="5" t="str">
        <f t="shared" si="5"/>
        <v>sɔ</v>
      </c>
      <c r="O558" s="5">
        <f t="shared" si="6"/>
        <v>2</v>
      </c>
      <c r="P558" s="5" t="str">
        <f t="shared" si="7"/>
        <v>su</v>
      </c>
      <c r="Q558" s="5">
        <f t="shared" si="8"/>
        <v>2</v>
      </c>
      <c r="R558" s="3"/>
      <c r="S558" s="3" t="s">
        <v>1755</v>
      </c>
      <c r="T558" s="3" t="s">
        <v>1756</v>
      </c>
      <c r="U558" s="3" t="s">
        <v>22</v>
      </c>
      <c r="V558" s="5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>
      <c r="A559" s="3" t="s">
        <v>14</v>
      </c>
      <c r="B559" s="3" t="s">
        <v>1758</v>
      </c>
      <c r="C559" s="3" t="s">
        <v>1759</v>
      </c>
      <c r="D559" s="3" t="s">
        <v>1760</v>
      </c>
      <c r="E559" s="3" t="s">
        <v>1761</v>
      </c>
      <c r="F559" s="3" t="s">
        <v>362</v>
      </c>
      <c r="G559" s="3" t="s">
        <v>362</v>
      </c>
      <c r="H559" s="43">
        <f t="shared" ref="H559:I559" si="1119">LEN(D559)-LEN(B559)+1</f>
        <v>2</v>
      </c>
      <c r="I559" s="43">
        <f t="shared" si="1119"/>
        <v>2</v>
      </c>
      <c r="J559" s="4">
        <v>1.0</v>
      </c>
      <c r="K559" s="4">
        <v>1.0</v>
      </c>
      <c r="L559" s="5" t="str">
        <f t="shared" ref="L559:M559" si="1120">IFS(J559="-", "-", J559=H559, "Final", J559=1, "Initial", J559&gt;1, "Medial")</f>
        <v>Initial</v>
      </c>
      <c r="M559" s="44" t="str">
        <f t="shared" si="1120"/>
        <v>Initial</v>
      </c>
      <c r="N559" s="5" t="str">
        <f t="shared" si="5"/>
        <v>0</v>
      </c>
      <c r="O559" s="5" t="str">
        <f t="shared" si="6"/>
        <v>ˈbi</v>
      </c>
      <c r="P559" s="5" t="str">
        <f t="shared" si="7"/>
        <v>0</v>
      </c>
      <c r="Q559" s="5" t="str">
        <f t="shared" si="8"/>
        <v>ˈbiɾ</v>
      </c>
      <c r="R559" s="3"/>
      <c r="S559" s="3" t="s">
        <v>1762</v>
      </c>
      <c r="T559" s="3" t="s">
        <v>1763</v>
      </c>
      <c r="U559" s="3" t="s">
        <v>22</v>
      </c>
      <c r="V559" s="5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>
      <c r="A560" s="3" t="s">
        <v>14</v>
      </c>
      <c r="B560" s="3" t="s">
        <v>1758</v>
      </c>
      <c r="C560" s="3" t="s">
        <v>1759</v>
      </c>
      <c r="D560" s="3" t="s">
        <v>1760</v>
      </c>
      <c r="E560" s="3" t="s">
        <v>1761</v>
      </c>
      <c r="F560" s="3" t="s">
        <v>466</v>
      </c>
      <c r="G560" s="3" t="s">
        <v>1764</v>
      </c>
      <c r="H560" s="43">
        <f t="shared" ref="H560:I560" si="1121">LEN(D560)-LEN(B560)+1</f>
        <v>2</v>
      </c>
      <c r="I560" s="43">
        <f t="shared" si="1121"/>
        <v>2</v>
      </c>
      <c r="J560" s="4">
        <v>2.0</v>
      </c>
      <c r="K560" s="4">
        <v>2.0</v>
      </c>
      <c r="L560" s="5" t="str">
        <f t="shared" ref="L560:M560" si="1122">IFS(J560="-", "-", J560=H560, "Final", J560=1, "Initial", J560&gt;1, "Medial")</f>
        <v>Final</v>
      </c>
      <c r="M560" s="44" t="str">
        <f t="shared" si="1122"/>
        <v>Final</v>
      </c>
      <c r="N560" s="5" t="str">
        <f t="shared" si="5"/>
        <v>su</v>
      </c>
      <c r="O560" s="5">
        <f t="shared" si="6"/>
        <v>2</v>
      </c>
      <c r="P560" s="5" t="str">
        <f t="shared" si="7"/>
        <v>su</v>
      </c>
      <c r="Q560" s="5">
        <f t="shared" si="8"/>
        <v>2</v>
      </c>
      <c r="R560" s="3"/>
      <c r="S560" s="3" t="s">
        <v>1762</v>
      </c>
      <c r="T560" s="3" t="s">
        <v>1763</v>
      </c>
      <c r="U560" s="3" t="s">
        <v>22</v>
      </c>
      <c r="V560" s="5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>
      <c r="A561" s="15" t="s">
        <v>14</v>
      </c>
      <c r="B561" s="15" t="s">
        <v>1765</v>
      </c>
      <c r="C561" s="15" t="s">
        <v>1766</v>
      </c>
      <c r="D561" s="15" t="s">
        <v>1767</v>
      </c>
      <c r="E561" s="15" t="s">
        <v>1768</v>
      </c>
      <c r="F561" s="15" t="s">
        <v>36</v>
      </c>
      <c r="G561" s="15" t="s">
        <v>1113</v>
      </c>
      <c r="H561" s="43">
        <f t="shared" ref="H561:I561" si="1123">LEN(D561)-LEN(B561)+1</f>
        <v>2</v>
      </c>
      <c r="I561" s="43">
        <f t="shared" si="1123"/>
        <v>3</v>
      </c>
      <c r="J561" s="18" t="s">
        <v>36</v>
      </c>
      <c r="K561" s="18">
        <v>1.0</v>
      </c>
      <c r="L561" s="5" t="str">
        <f t="shared" ref="L561:M561" si="1124">IFS(J561="-", "-", J561=H561, "Final", J561=1, "Initial", J561&gt;1, "Medial")</f>
        <v>-</v>
      </c>
      <c r="M561" s="44" t="str">
        <f t="shared" si="1124"/>
        <v>Initial</v>
      </c>
      <c r="N561" s="5" t="str">
        <f t="shared" si="5"/>
        <v>0</v>
      </c>
      <c r="O561" s="5" t="str">
        <f t="shared" si="6"/>
        <v>su</v>
      </c>
      <c r="P561" s="5" t="str">
        <f t="shared" si="7"/>
        <v>0</v>
      </c>
      <c r="Q561" s="5" t="str">
        <f t="shared" si="8"/>
        <v>ʃu</v>
      </c>
      <c r="R561" s="15" t="s">
        <v>80</v>
      </c>
      <c r="S561" s="15" t="s">
        <v>1769</v>
      </c>
      <c r="T561" s="15" t="s">
        <v>1770</v>
      </c>
      <c r="U561" s="15" t="s">
        <v>22</v>
      </c>
      <c r="V561" s="20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</row>
    <row r="562">
      <c r="A562" s="15" t="s">
        <v>14</v>
      </c>
      <c r="B562" s="15" t="s">
        <v>1765</v>
      </c>
      <c r="C562" s="15" t="s">
        <v>1766</v>
      </c>
      <c r="D562" s="15" t="s">
        <v>1767</v>
      </c>
      <c r="E562" s="15" t="s">
        <v>1768</v>
      </c>
      <c r="F562" s="15" t="s">
        <v>362</v>
      </c>
      <c r="G562" s="15" t="s">
        <v>566</v>
      </c>
      <c r="H562" s="43">
        <f t="shared" ref="H562:I562" si="1125">LEN(D562)-LEN(B562)+1</f>
        <v>2</v>
      </c>
      <c r="I562" s="43">
        <f t="shared" si="1125"/>
        <v>3</v>
      </c>
      <c r="J562" s="18">
        <v>1.0</v>
      </c>
      <c r="K562" s="18">
        <v>2.0</v>
      </c>
      <c r="L562" s="5" t="str">
        <f t="shared" ref="L562:M562" si="1126">IFS(J562="-", "-", J562=H562, "Final", J562=1, "Initial", J562&gt;1, "Medial")</f>
        <v>Initial</v>
      </c>
      <c r="M562" s="44" t="str">
        <f t="shared" si="1126"/>
        <v>Medial</v>
      </c>
      <c r="N562" s="5" t="str">
        <f t="shared" si="5"/>
        <v>-</v>
      </c>
      <c r="O562" s="5" t="str">
        <f t="shared" si="6"/>
        <v>ˈga</v>
      </c>
      <c r="P562" s="5" t="str">
        <f t="shared" si="7"/>
        <v>ẽ</v>
      </c>
      <c r="Q562" s="5" t="str">
        <f t="shared" si="8"/>
        <v>ˈgaɾ</v>
      </c>
      <c r="R562" s="15"/>
      <c r="S562" s="15" t="s">
        <v>1769</v>
      </c>
      <c r="T562" s="15" t="s">
        <v>1770</v>
      </c>
      <c r="U562" s="15" t="s">
        <v>22</v>
      </c>
      <c r="V562" s="20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</row>
    <row r="563">
      <c r="A563" s="15" t="s">
        <v>14</v>
      </c>
      <c r="B563" s="15" t="s">
        <v>1765</v>
      </c>
      <c r="C563" s="15" t="s">
        <v>1766</v>
      </c>
      <c r="D563" s="15" t="s">
        <v>1767</v>
      </c>
      <c r="E563" s="15" t="s">
        <v>1768</v>
      </c>
      <c r="F563" s="15" t="s">
        <v>629</v>
      </c>
      <c r="G563" s="15" t="s">
        <v>630</v>
      </c>
      <c r="H563" s="43">
        <f t="shared" ref="H563:I563" si="1127">LEN(D563)-LEN(B563)+1</f>
        <v>2</v>
      </c>
      <c r="I563" s="43">
        <f t="shared" si="1127"/>
        <v>3</v>
      </c>
      <c r="J563" s="18">
        <v>2.0</v>
      </c>
      <c r="K563" s="18">
        <v>3.0</v>
      </c>
      <c r="L563" s="5" t="str">
        <f t="shared" ref="L563:M563" si="1128">IFS(J563="-", "-", J563=H563, "Final", J563=1, "Initial", J563&gt;1, "Medial")</f>
        <v>Final</v>
      </c>
      <c r="M563" s="44" t="str">
        <f t="shared" si="1128"/>
        <v>Final</v>
      </c>
      <c r="N563" s="5" t="str">
        <f t="shared" si="5"/>
        <v>su</v>
      </c>
      <c r="O563" s="5">
        <f t="shared" si="6"/>
        <v>2</v>
      </c>
      <c r="P563" s="5" t="str">
        <f t="shared" si="7"/>
        <v>ʃu</v>
      </c>
      <c r="Q563" s="5">
        <f t="shared" si="8"/>
        <v>3</v>
      </c>
      <c r="R563" s="15"/>
      <c r="S563" s="15" t="s">
        <v>1769</v>
      </c>
      <c r="T563" s="15" t="s">
        <v>1770</v>
      </c>
      <c r="U563" s="15" t="s">
        <v>22</v>
      </c>
      <c r="V563" s="20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</row>
    <row r="564">
      <c r="A564" s="3" t="s">
        <v>14</v>
      </c>
      <c r="B564" s="3" t="s">
        <v>1771</v>
      </c>
      <c r="C564" s="3" t="s">
        <v>1772</v>
      </c>
      <c r="D564" s="3" t="s">
        <v>1773</v>
      </c>
      <c r="E564" s="3" t="s">
        <v>1774</v>
      </c>
      <c r="F564" s="3" t="s">
        <v>362</v>
      </c>
      <c r="G564" s="3" t="s">
        <v>566</v>
      </c>
      <c r="H564" s="43">
        <f t="shared" ref="H564:I564" si="1129">LEN(D564)-LEN(B564)+1</f>
        <v>2</v>
      </c>
      <c r="I564" s="43">
        <f t="shared" si="1129"/>
        <v>2</v>
      </c>
      <c r="J564" s="4">
        <v>1.0</v>
      </c>
      <c r="K564" s="4">
        <v>1.0</v>
      </c>
      <c r="L564" s="5" t="str">
        <f t="shared" ref="L564:M564" si="1130">IFS(J564="-", "-", J564=H564, "Final", J564=1, "Initial", J564&gt;1, "Medial")</f>
        <v>Initial</v>
      </c>
      <c r="M564" s="44" t="str">
        <f t="shared" si="1130"/>
        <v>Initial</v>
      </c>
      <c r="N564" s="5" t="str">
        <f t="shared" si="5"/>
        <v>0</v>
      </c>
      <c r="O564" s="5" t="str">
        <f t="shared" si="6"/>
        <v>ˈpa</v>
      </c>
      <c r="P564" s="5" t="str">
        <f t="shared" si="7"/>
        <v>0</v>
      </c>
      <c r="Q564" s="5" t="str">
        <f t="shared" si="8"/>
        <v>ˈpaɾ</v>
      </c>
      <c r="R564" s="3" t="s">
        <v>72</v>
      </c>
      <c r="S564" s="3" t="s">
        <v>1775</v>
      </c>
      <c r="T564" s="3" t="s">
        <v>1776</v>
      </c>
      <c r="U564" s="3" t="s">
        <v>22</v>
      </c>
      <c r="V564" s="5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>
      <c r="A565" s="3" t="s">
        <v>14</v>
      </c>
      <c r="B565" s="3" t="s">
        <v>1771</v>
      </c>
      <c r="C565" s="3" t="s">
        <v>1772</v>
      </c>
      <c r="D565" s="3" t="s">
        <v>1773</v>
      </c>
      <c r="E565" s="3" t="s">
        <v>1774</v>
      </c>
      <c r="F565" s="3" t="s">
        <v>1396</v>
      </c>
      <c r="G565" s="3" t="s">
        <v>1397</v>
      </c>
      <c r="H565" s="43">
        <f t="shared" ref="H565:I565" si="1131">LEN(D565)-LEN(B565)+1</f>
        <v>2</v>
      </c>
      <c r="I565" s="43">
        <f t="shared" si="1131"/>
        <v>2</v>
      </c>
      <c r="J565" s="4">
        <v>2.0</v>
      </c>
      <c r="K565" s="4">
        <v>2.0</v>
      </c>
      <c r="L565" s="5" t="str">
        <f t="shared" ref="L565:M565" si="1132">IFS(J565="-", "-", J565=H565, "Final", J565=1, "Initial", J565&gt;1, "Medial")</f>
        <v>Final</v>
      </c>
      <c r="M565" s="44" t="str">
        <f t="shared" si="1132"/>
        <v>Final</v>
      </c>
      <c r="N565" s="5" t="str">
        <f t="shared" si="5"/>
        <v>su</v>
      </c>
      <c r="O565" s="5">
        <f t="shared" si="6"/>
        <v>2</v>
      </c>
      <c r="P565" s="5" t="str">
        <f t="shared" si="7"/>
        <v>ʃu</v>
      </c>
      <c r="Q565" s="5">
        <f t="shared" si="8"/>
        <v>2</v>
      </c>
      <c r="R565" s="3"/>
      <c r="S565" s="3" t="s">
        <v>1775</v>
      </c>
      <c r="T565" s="3" t="s">
        <v>1776</v>
      </c>
      <c r="U565" s="3" t="s">
        <v>22</v>
      </c>
      <c r="V565" s="5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>
      <c r="A566" s="3" t="s">
        <v>14</v>
      </c>
      <c r="B566" s="3" t="s">
        <v>1777</v>
      </c>
      <c r="C566" s="3" t="s">
        <v>1778</v>
      </c>
      <c r="D566" s="3" t="s">
        <v>1777</v>
      </c>
      <c r="E566" s="3" t="s">
        <v>1779</v>
      </c>
      <c r="F566" s="3" t="s">
        <v>1777</v>
      </c>
      <c r="G566" s="3" t="s">
        <v>362</v>
      </c>
      <c r="H566" s="43">
        <f t="shared" ref="H566:I566" si="1133">LEN(D566)-LEN(B566)+1</f>
        <v>1</v>
      </c>
      <c r="I566" s="43">
        <f t="shared" si="1133"/>
        <v>2</v>
      </c>
      <c r="J566" s="4">
        <v>1.0</v>
      </c>
      <c r="K566" s="4">
        <v>1.0</v>
      </c>
      <c r="L566" s="5" t="str">
        <f t="shared" ref="L566:M566" si="1134">IFS(J566="-", "-", J566=H566, "Final", J566=1, "Initial", J566&gt;1, "Medial")</f>
        <v>Final</v>
      </c>
      <c r="M566" s="44" t="str">
        <f t="shared" si="1134"/>
        <v>Initial</v>
      </c>
      <c r="N566" s="5" t="str">
        <f t="shared" si="5"/>
        <v>0</v>
      </c>
      <c r="O566" s="5" t="str">
        <f t="shared" si="6"/>
        <v>-</v>
      </c>
      <c r="P566" s="5" t="str">
        <f t="shared" si="7"/>
        <v>0</v>
      </c>
      <c r="Q566" s="5" t="str">
        <f t="shared" si="8"/>
        <v>ˈaɾ</v>
      </c>
      <c r="R566" s="3" t="s">
        <v>80</v>
      </c>
      <c r="S566" s="3" t="s">
        <v>1780</v>
      </c>
      <c r="T566" s="3" t="s">
        <v>1781</v>
      </c>
      <c r="U566" s="3" t="s">
        <v>22</v>
      </c>
      <c r="V566" s="5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>
      <c r="A567" s="3" t="s">
        <v>14</v>
      </c>
      <c r="B567" s="3" t="s">
        <v>1777</v>
      </c>
      <c r="C567" s="3" t="s">
        <v>1778</v>
      </c>
      <c r="D567" s="3" t="s">
        <v>1777</v>
      </c>
      <c r="E567" s="3" t="s">
        <v>1779</v>
      </c>
      <c r="F567" s="3" t="s">
        <v>36</v>
      </c>
      <c r="G567" s="3" t="s">
        <v>996</v>
      </c>
      <c r="H567" s="43">
        <f t="shared" ref="H567:I567" si="1135">LEN(D567)-LEN(B567)+1</f>
        <v>1</v>
      </c>
      <c r="I567" s="43">
        <f t="shared" si="1135"/>
        <v>2</v>
      </c>
      <c r="J567" s="4" t="s">
        <v>36</v>
      </c>
      <c r="K567" s="4">
        <v>2.0</v>
      </c>
      <c r="L567" s="5" t="str">
        <f t="shared" ref="L567:M567" si="1136">IFS(J567="-", "-", J567=H567, "Final", J567=1, "Initial", J567&gt;1, "Medial")</f>
        <v>-</v>
      </c>
      <c r="M567" s="44" t="str">
        <f t="shared" si="1136"/>
        <v>Final</v>
      </c>
      <c r="N567" s="5" t="str">
        <f t="shared" si="5"/>
        <v>ˈswa</v>
      </c>
      <c r="O567" s="5" t="str">
        <f t="shared" si="6"/>
        <v>-</v>
      </c>
      <c r="P567" s="5" t="str">
        <f t="shared" si="7"/>
        <v>su</v>
      </c>
      <c r="Q567" s="5">
        <f t="shared" si="8"/>
        <v>2</v>
      </c>
      <c r="R567" s="3"/>
      <c r="S567" s="3" t="s">
        <v>1780</v>
      </c>
      <c r="T567" s="3" t="s">
        <v>1781</v>
      </c>
      <c r="U567" s="3" t="s">
        <v>22</v>
      </c>
      <c r="V567" s="5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>
      <c r="A568" s="15" t="s">
        <v>14</v>
      </c>
      <c r="B568" s="15" t="s">
        <v>1782</v>
      </c>
      <c r="C568" s="15" t="s">
        <v>1783</v>
      </c>
      <c r="D568" s="15" t="s">
        <v>1784</v>
      </c>
      <c r="E568" s="15" t="s">
        <v>1785</v>
      </c>
      <c r="F568" s="15"/>
      <c r="G568" s="15"/>
      <c r="H568" s="43">
        <f t="shared" ref="H568:I568" si="1137">LEN(D568)-LEN(B568)+1</f>
        <v>2</v>
      </c>
      <c r="I568" s="43">
        <f t="shared" si="1137"/>
        <v>2</v>
      </c>
      <c r="J568" s="18"/>
      <c r="K568" s="18"/>
      <c r="L568" s="5" t="str">
        <f t="shared" ref="L568:M568" si="1138">IFS(J568="-", "-", J568=H568, "Final", J568=1, "Initial", J568&gt;1, "Medial")</f>
        <v>#N/A</v>
      </c>
      <c r="M568" s="44" t="str">
        <f t="shared" si="1138"/>
        <v>#N/A</v>
      </c>
      <c r="N568" s="5" t="str">
        <f t="shared" si="5"/>
        <v>0</v>
      </c>
      <c r="O568" s="5" t="str">
        <f t="shared" si="6"/>
        <v/>
      </c>
      <c r="P568" s="5" t="str">
        <f t="shared" si="7"/>
        <v>0</v>
      </c>
      <c r="Q568" s="5" t="str">
        <f t="shared" si="8"/>
        <v/>
      </c>
      <c r="R568" s="15"/>
      <c r="S568" s="15" t="s">
        <v>1786</v>
      </c>
      <c r="T568" s="15" t="s">
        <v>1787</v>
      </c>
      <c r="U568" s="15" t="s">
        <v>22</v>
      </c>
      <c r="V568" s="15" t="s">
        <v>560</v>
      </c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</row>
    <row r="569">
      <c r="A569" s="3" t="s">
        <v>14</v>
      </c>
      <c r="B569" s="3" t="s">
        <v>1040</v>
      </c>
      <c r="C569" s="3" t="s">
        <v>1041</v>
      </c>
      <c r="D569" s="3" t="s">
        <v>1040</v>
      </c>
      <c r="E569" s="3" t="s">
        <v>1041</v>
      </c>
      <c r="F569" s="3" t="s">
        <v>1040</v>
      </c>
      <c r="G569" s="3" t="s">
        <v>1041</v>
      </c>
      <c r="H569" s="43">
        <f t="shared" ref="H569:I569" si="1139">LEN(D569)-LEN(B569)+1</f>
        <v>1</v>
      </c>
      <c r="I569" s="43">
        <f t="shared" si="1139"/>
        <v>1</v>
      </c>
      <c r="J569" s="4">
        <v>1.0</v>
      </c>
      <c r="K569" s="4">
        <v>1.0</v>
      </c>
      <c r="L569" s="5" t="str">
        <f t="shared" ref="L569:M569" si="1140">IFS(J569="-", "-", J569=H569, "Final", J569=1, "Initial", J569&gt;1, "Medial")</f>
        <v>Final</v>
      </c>
      <c r="M569" s="44" t="str">
        <f t="shared" si="1140"/>
        <v>Final</v>
      </c>
      <c r="N569" s="5" t="str">
        <f t="shared" si="5"/>
        <v>0</v>
      </c>
      <c r="O569" s="5">
        <f t="shared" si="6"/>
        <v>1</v>
      </c>
      <c r="P569" s="5" t="str">
        <f t="shared" si="7"/>
        <v>0</v>
      </c>
      <c r="Q569" s="5">
        <f t="shared" si="8"/>
        <v>1</v>
      </c>
      <c r="R569" s="3"/>
      <c r="S569" s="3" t="s">
        <v>1788</v>
      </c>
      <c r="T569" s="3" t="s">
        <v>1789</v>
      </c>
      <c r="U569" s="3" t="s">
        <v>22</v>
      </c>
      <c r="V569" s="5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>
      <c r="A570" s="15" t="s">
        <v>14</v>
      </c>
      <c r="B570" s="15" t="s">
        <v>1790</v>
      </c>
      <c r="C570" s="15" t="s">
        <v>1791</v>
      </c>
      <c r="D570" s="15" t="s">
        <v>1792</v>
      </c>
      <c r="E570" s="15" t="s">
        <v>1793</v>
      </c>
      <c r="F570" s="15" t="s">
        <v>36</v>
      </c>
      <c r="G570" s="15" t="s">
        <v>1113</v>
      </c>
      <c r="H570" s="43">
        <f t="shared" ref="H570:I570" si="1141">LEN(D570)-LEN(B570)+1</f>
        <v>2</v>
      </c>
      <c r="I570" s="43">
        <f t="shared" si="1141"/>
        <v>3</v>
      </c>
      <c r="J570" s="18" t="s">
        <v>36</v>
      </c>
      <c r="K570" s="18">
        <v>1.0</v>
      </c>
      <c r="L570" s="5" t="str">
        <f t="shared" ref="L570:M570" si="1142">IFS(J570="-", "-", J570=H570, "Final", J570=1, "Initial", J570&gt;1, "Medial")</f>
        <v>-</v>
      </c>
      <c r="M570" s="44" t="str">
        <f t="shared" si="1142"/>
        <v>Initial</v>
      </c>
      <c r="N570" s="5" t="str">
        <f t="shared" si="5"/>
        <v>0</v>
      </c>
      <c r="O570" s="5" t="str">
        <f t="shared" si="6"/>
        <v>tẽ</v>
      </c>
      <c r="P570" s="5" t="str">
        <f t="shared" si="7"/>
        <v>0</v>
      </c>
      <c r="Q570" s="5" t="str">
        <f t="shared" si="8"/>
        <v>tẽ</v>
      </c>
      <c r="R570" s="15"/>
      <c r="S570" s="15" t="s">
        <v>1794</v>
      </c>
      <c r="T570" s="15" t="s">
        <v>1795</v>
      </c>
      <c r="U570" s="15" t="s">
        <v>22</v>
      </c>
      <c r="V570" s="20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</row>
    <row r="571">
      <c r="A571" s="15" t="s">
        <v>14</v>
      </c>
      <c r="B571" s="15" t="s">
        <v>1790</v>
      </c>
      <c r="C571" s="15" t="s">
        <v>1791</v>
      </c>
      <c r="D571" s="15" t="s">
        <v>1792</v>
      </c>
      <c r="E571" s="15" t="s">
        <v>1793</v>
      </c>
      <c r="F571" s="15" t="s">
        <v>1796</v>
      </c>
      <c r="G571" s="15" t="s">
        <v>1796</v>
      </c>
      <c r="H571" s="43">
        <f t="shared" ref="H571:I571" si="1143">LEN(D571)-LEN(B571)+1</f>
        <v>2</v>
      </c>
      <c r="I571" s="43">
        <f t="shared" si="1143"/>
        <v>3</v>
      </c>
      <c r="J571" s="18">
        <v>1.0</v>
      </c>
      <c r="K571" s="18">
        <v>2.0</v>
      </c>
      <c r="L571" s="5" t="str">
        <f t="shared" ref="L571:M571" si="1144">IFS(J571="-", "-", J571=H571, "Final", J571=1, "Initial", J571&gt;1, "Medial")</f>
        <v>Initial</v>
      </c>
      <c r="M571" s="44" t="str">
        <f t="shared" si="1144"/>
        <v>Medial</v>
      </c>
      <c r="N571" s="5" t="str">
        <f t="shared" si="5"/>
        <v>-</v>
      </c>
      <c r="O571" s="5" t="str">
        <f t="shared" si="6"/>
        <v>ˈde</v>
      </c>
      <c r="P571" s="5" t="str">
        <f t="shared" si="7"/>
        <v>ẽ</v>
      </c>
      <c r="Q571" s="5" t="str">
        <f t="shared" si="8"/>
        <v>ˈdeɾ</v>
      </c>
      <c r="R571" s="15"/>
      <c r="S571" s="15" t="s">
        <v>1794</v>
      </c>
      <c r="T571" s="15" t="s">
        <v>1795</v>
      </c>
      <c r="U571" s="15" t="s">
        <v>22</v>
      </c>
      <c r="V571" s="20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</row>
    <row r="572">
      <c r="A572" s="15" t="s">
        <v>14</v>
      </c>
      <c r="B572" s="15" t="s">
        <v>1790</v>
      </c>
      <c r="C572" s="15" t="s">
        <v>1791</v>
      </c>
      <c r="D572" s="15" t="s">
        <v>1792</v>
      </c>
      <c r="E572" s="15" t="s">
        <v>1793</v>
      </c>
      <c r="F572" s="15" t="s">
        <v>1331</v>
      </c>
      <c r="G572" s="15" t="s">
        <v>1181</v>
      </c>
      <c r="H572" s="43">
        <f t="shared" ref="H572:I572" si="1145">LEN(D572)-LEN(B572)+1</f>
        <v>2</v>
      </c>
      <c r="I572" s="43">
        <f t="shared" si="1145"/>
        <v>3</v>
      </c>
      <c r="J572" s="18">
        <v>2.0</v>
      </c>
      <c r="K572" s="18">
        <v>3.0</v>
      </c>
      <c r="L572" s="5" t="str">
        <f t="shared" ref="L572:M572" si="1146">IFS(J572="-", "-", J572=H572, "Final", J572=1, "Initial", J572&gt;1, "Medial")</f>
        <v>Final</v>
      </c>
      <c r="M572" s="44" t="str">
        <f t="shared" si="1146"/>
        <v>Final</v>
      </c>
      <c r="N572" s="5" t="str">
        <f t="shared" si="5"/>
        <v>tẽ</v>
      </c>
      <c r="O572" s="5">
        <f t="shared" si="6"/>
        <v>2</v>
      </c>
      <c r="P572" s="5" t="str">
        <f t="shared" si="7"/>
        <v>tẽ</v>
      </c>
      <c r="Q572" s="5">
        <f t="shared" si="8"/>
        <v>3</v>
      </c>
      <c r="R572" s="15"/>
      <c r="S572" s="15" t="s">
        <v>1794</v>
      </c>
      <c r="T572" s="15" t="s">
        <v>1795</v>
      </c>
      <c r="U572" s="15" t="s">
        <v>22</v>
      </c>
      <c r="V572" s="20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</row>
    <row r="573">
      <c r="A573" s="3" t="s">
        <v>14</v>
      </c>
      <c r="B573" s="3" t="s">
        <v>1797</v>
      </c>
      <c r="C573" s="3" t="s">
        <v>1798</v>
      </c>
      <c r="D573" s="3" t="s">
        <v>1797</v>
      </c>
      <c r="E573" s="3" t="s">
        <v>1799</v>
      </c>
      <c r="F573" s="3" t="s">
        <v>1797</v>
      </c>
      <c r="G573" s="3" t="s">
        <v>1800</v>
      </c>
      <c r="H573" s="43">
        <f t="shared" ref="H573:I573" si="1147">LEN(D573)-LEN(B573)+1</f>
        <v>1</v>
      </c>
      <c r="I573" s="43">
        <f t="shared" si="1147"/>
        <v>2</v>
      </c>
      <c r="J573" s="4">
        <v>1.0</v>
      </c>
      <c r="K573" s="4">
        <v>1.0</v>
      </c>
      <c r="L573" s="5" t="str">
        <f t="shared" ref="L573:M573" si="1148">IFS(J573="-", "-", J573=H573, "Final", J573=1, "Initial", J573&gt;1, "Medial")</f>
        <v>Final</v>
      </c>
      <c r="M573" s="44" t="str">
        <f t="shared" si="1148"/>
        <v>Initial</v>
      </c>
      <c r="N573" s="5" t="str">
        <f t="shared" si="5"/>
        <v>0</v>
      </c>
      <c r="O573" s="5" t="str">
        <f t="shared" si="6"/>
        <v>-</v>
      </c>
      <c r="P573" s="5" t="str">
        <f t="shared" si="7"/>
        <v>0</v>
      </c>
      <c r="Q573" s="5" t="str">
        <f t="shared" si="8"/>
        <v>ˈɾaɾ</v>
      </c>
      <c r="R573" s="3" t="s">
        <v>80</v>
      </c>
      <c r="S573" s="3" t="s">
        <v>1801</v>
      </c>
      <c r="T573" s="3" t="s">
        <v>1802</v>
      </c>
      <c r="U573" s="3" t="s">
        <v>22</v>
      </c>
      <c r="V573" s="5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>
      <c r="A574" s="3" t="s">
        <v>14</v>
      </c>
      <c r="B574" s="3" t="s">
        <v>1797</v>
      </c>
      <c r="C574" s="3" t="s">
        <v>1798</v>
      </c>
      <c r="D574" s="3" t="s">
        <v>1797</v>
      </c>
      <c r="E574" s="3" t="s">
        <v>1799</v>
      </c>
      <c r="F574" s="3" t="s">
        <v>36</v>
      </c>
      <c r="G574" s="3" t="s">
        <v>1235</v>
      </c>
      <c r="H574" s="43">
        <f t="shared" ref="H574:I574" si="1149">LEN(D574)-LEN(B574)+1</f>
        <v>1</v>
      </c>
      <c r="I574" s="43">
        <f t="shared" si="1149"/>
        <v>2</v>
      </c>
      <c r="J574" s="4" t="s">
        <v>36</v>
      </c>
      <c r="K574" s="4">
        <v>2.0</v>
      </c>
      <c r="L574" s="5" t="str">
        <f t="shared" ref="L574:M574" si="1150">IFS(J574="-", "-", J574=H574, "Final", J574=1, "Initial", J574&gt;1, "Medial")</f>
        <v>-</v>
      </c>
      <c r="M574" s="44" t="str">
        <f t="shared" si="1150"/>
        <v>Final</v>
      </c>
      <c r="N574" s="5" t="str">
        <f t="shared" si="5"/>
        <v>ˈt̠ʃa</v>
      </c>
      <c r="O574" s="5" t="str">
        <f t="shared" si="6"/>
        <v>-</v>
      </c>
      <c r="P574" s="5" t="str">
        <f t="shared" si="7"/>
        <v>ti</v>
      </c>
      <c r="Q574" s="5">
        <f t="shared" si="8"/>
        <v>2</v>
      </c>
      <c r="R574" s="3"/>
      <c r="S574" s="3" t="s">
        <v>1801</v>
      </c>
      <c r="T574" s="3" t="s">
        <v>1802</v>
      </c>
      <c r="U574" s="3" t="s">
        <v>22</v>
      </c>
      <c r="V574" s="5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>
      <c r="A575" s="3" t="s">
        <v>14</v>
      </c>
      <c r="B575" s="3" t="s">
        <v>1803</v>
      </c>
      <c r="C575" s="3" t="s">
        <v>1804</v>
      </c>
      <c r="D575" s="3" t="s">
        <v>1805</v>
      </c>
      <c r="E575" s="3" t="s">
        <v>1806</v>
      </c>
      <c r="F575" s="3" t="s">
        <v>1807</v>
      </c>
      <c r="G575" s="3" t="s">
        <v>1808</v>
      </c>
      <c r="H575" s="43">
        <f t="shared" ref="H575:I575" si="1151">LEN(D575)-LEN(B575)+1</f>
        <v>2</v>
      </c>
      <c r="I575" s="43">
        <f t="shared" si="1151"/>
        <v>3</v>
      </c>
      <c r="J575" s="4">
        <v>1.0</v>
      </c>
      <c r="K575" s="4">
        <v>1.0</v>
      </c>
      <c r="L575" s="5" t="str">
        <f t="shared" ref="L575:M575" si="1152">IFS(J575="-", "-", J575=H575, "Final", J575=1, "Initial", J575&gt;1, "Medial")</f>
        <v>Initial</v>
      </c>
      <c r="M575" s="44" t="str">
        <f t="shared" si="1152"/>
        <v>Initial</v>
      </c>
      <c r="N575" s="5" t="str">
        <f t="shared" si="5"/>
        <v>0</v>
      </c>
      <c r="O575" s="5" t="str">
        <f t="shared" si="6"/>
        <v>-</v>
      </c>
      <c r="P575" s="5" t="str">
        <f t="shared" si="7"/>
        <v>0</v>
      </c>
      <c r="Q575" s="5" t="str">
        <f t="shared" si="8"/>
        <v>bɐ</v>
      </c>
      <c r="R575" s="3" t="s">
        <v>80</v>
      </c>
      <c r="S575" s="3" t="s">
        <v>1809</v>
      </c>
      <c r="T575" s="3" t="s">
        <v>1810</v>
      </c>
      <c r="U575" s="3" t="s">
        <v>22</v>
      </c>
      <c r="V575" s="5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>
      <c r="A576" s="3" t="s">
        <v>14</v>
      </c>
      <c r="B576" s="3" t="s">
        <v>1803</v>
      </c>
      <c r="C576" s="3" t="s">
        <v>1804</v>
      </c>
      <c r="D576" s="3" t="s">
        <v>1805</v>
      </c>
      <c r="E576" s="3" t="s">
        <v>1806</v>
      </c>
      <c r="F576" s="3" t="s">
        <v>36</v>
      </c>
      <c r="G576" s="3" t="s">
        <v>62</v>
      </c>
      <c r="H576" s="43">
        <f t="shared" ref="H576:I576" si="1153">LEN(D576)-LEN(B576)+1</f>
        <v>2</v>
      </c>
      <c r="I576" s="43">
        <f t="shared" si="1153"/>
        <v>3</v>
      </c>
      <c r="J576" s="4" t="s">
        <v>36</v>
      </c>
      <c r="K576" s="4">
        <v>2.0</v>
      </c>
      <c r="L576" s="5" t="str">
        <f t="shared" ref="L576:M576" si="1154">IFS(J576="-", "-", J576=H576, "Final", J576=1, "Initial", J576&gt;1, "Medial")</f>
        <v>-</v>
      </c>
      <c r="M576" s="44" t="str">
        <f t="shared" si="1154"/>
        <v>Medial</v>
      </c>
      <c r="N576" s="5" t="str">
        <f t="shared" si="5"/>
        <v>tɔ</v>
      </c>
      <c r="O576" s="5" t="str">
        <f t="shared" si="6"/>
        <v>ˈbja</v>
      </c>
      <c r="P576" s="5" t="str">
        <f t="shared" si="7"/>
        <v>tɾɐ</v>
      </c>
      <c r="Q576" s="5" t="str">
        <f t="shared" si="8"/>
        <v>ˈʎaɾ</v>
      </c>
      <c r="R576" s="3"/>
      <c r="S576" s="3" t="s">
        <v>1809</v>
      </c>
      <c r="T576" s="3" t="s">
        <v>1810</v>
      </c>
      <c r="U576" s="3" t="s">
        <v>22</v>
      </c>
      <c r="V576" s="5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>
      <c r="A577" s="3" t="s">
        <v>14</v>
      </c>
      <c r="B577" s="3" t="s">
        <v>1803</v>
      </c>
      <c r="C577" s="3" t="s">
        <v>1804</v>
      </c>
      <c r="D577" s="3" t="s">
        <v>1805</v>
      </c>
      <c r="E577" s="3" t="s">
        <v>1806</v>
      </c>
      <c r="F577" s="3" t="s">
        <v>1811</v>
      </c>
      <c r="G577" s="3" t="s">
        <v>1117</v>
      </c>
      <c r="H577" s="43">
        <f t="shared" ref="H577:I577" si="1155">LEN(D577)-LEN(B577)+1</f>
        <v>2</v>
      </c>
      <c r="I577" s="43">
        <f t="shared" si="1155"/>
        <v>3</v>
      </c>
      <c r="J577" s="4">
        <v>2.0</v>
      </c>
      <c r="K577" s="4">
        <v>3.0</v>
      </c>
      <c r="L577" s="5" t="str">
        <f t="shared" ref="L577:M577" si="1156">IFS(J577="-", "-", J577=H577, "Final", J577=1, "Initial", J577&gt;1, "Medial")</f>
        <v>Final</v>
      </c>
      <c r="M577" s="44" t="str">
        <f t="shared" si="1156"/>
        <v>Final</v>
      </c>
      <c r="N577" s="5" t="str">
        <f t="shared" si="5"/>
        <v>-</v>
      </c>
      <c r="O577" s="5">
        <f t="shared" si="6"/>
        <v>2</v>
      </c>
      <c r="P577" s="5" t="str">
        <f t="shared" si="7"/>
        <v>bɐ</v>
      </c>
      <c r="Q577" s="5">
        <f t="shared" si="8"/>
        <v>3</v>
      </c>
      <c r="R577" s="3"/>
      <c r="S577" s="3" t="s">
        <v>1809</v>
      </c>
      <c r="T577" s="3" t="s">
        <v>1810</v>
      </c>
      <c r="U577" s="3" t="s">
        <v>22</v>
      </c>
      <c r="V577" s="5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>
      <c r="A578" s="3" t="s">
        <v>14</v>
      </c>
      <c r="B578" s="3" t="s">
        <v>1812</v>
      </c>
      <c r="C578" s="3" t="s">
        <v>1813</v>
      </c>
      <c r="D578" s="3" t="s">
        <v>1814</v>
      </c>
      <c r="E578" s="3" t="s">
        <v>1815</v>
      </c>
      <c r="F578" s="3" t="s">
        <v>1807</v>
      </c>
      <c r="G578" s="3" t="s">
        <v>784</v>
      </c>
      <c r="H578" s="43">
        <f t="shared" ref="H578:I578" si="1157">LEN(D578)-LEN(B578)+1</f>
        <v>2</v>
      </c>
      <c r="I578" s="43">
        <f t="shared" si="1157"/>
        <v>2</v>
      </c>
      <c r="J578" s="4">
        <v>1.0</v>
      </c>
      <c r="K578" s="4">
        <v>1.0</v>
      </c>
      <c r="L578" s="5" t="str">
        <f t="shared" ref="L578:M578" si="1158">IFS(J578="-", "-", J578=H578, "Final", J578=1, "Initial", J578&gt;1, "Medial")</f>
        <v>Initial</v>
      </c>
      <c r="M578" s="44" t="str">
        <f t="shared" si="1158"/>
        <v>Initial</v>
      </c>
      <c r="N578" s="5" t="str">
        <f t="shared" si="5"/>
        <v>0</v>
      </c>
      <c r="O578" s="5" t="str">
        <f t="shared" si="6"/>
        <v>ˈra</v>
      </c>
      <c r="P578" s="5" t="str">
        <f t="shared" si="7"/>
        <v>0</v>
      </c>
      <c r="Q578" s="5" t="str">
        <f t="shared" si="8"/>
        <v>ˈʀaɾ</v>
      </c>
      <c r="R578" s="3"/>
      <c r="S578" s="3" t="s">
        <v>1816</v>
      </c>
      <c r="T578" s="3" t="s">
        <v>1817</v>
      </c>
      <c r="U578" s="3" t="s">
        <v>22</v>
      </c>
      <c r="V578" s="5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>
      <c r="A579" s="3" t="s">
        <v>14</v>
      </c>
      <c r="B579" s="3" t="s">
        <v>1812</v>
      </c>
      <c r="C579" s="3" t="s">
        <v>1813</v>
      </c>
      <c r="D579" s="3" t="s">
        <v>1814</v>
      </c>
      <c r="E579" s="3" t="s">
        <v>1815</v>
      </c>
      <c r="F579" s="3" t="s">
        <v>326</v>
      </c>
      <c r="G579" s="3" t="s">
        <v>1470</v>
      </c>
      <c r="H579" s="43">
        <f t="shared" ref="H579:I579" si="1159">LEN(D579)-LEN(B579)+1</f>
        <v>2</v>
      </c>
      <c r="I579" s="43">
        <f t="shared" si="1159"/>
        <v>2</v>
      </c>
      <c r="J579" s="4">
        <v>2.0</v>
      </c>
      <c r="K579" s="4">
        <v>2.0</v>
      </c>
      <c r="L579" s="5" t="str">
        <f t="shared" ref="L579:M579" si="1160">IFS(J579="-", "-", J579=H579, "Final", J579=1, "Initial", J579&gt;1, "Medial")</f>
        <v>Final</v>
      </c>
      <c r="M579" s="44" t="str">
        <f t="shared" si="1160"/>
        <v>Final</v>
      </c>
      <c r="N579" s="5" t="str">
        <f t="shared" si="5"/>
        <v>tɔ</v>
      </c>
      <c r="O579" s="5">
        <f t="shared" si="6"/>
        <v>2</v>
      </c>
      <c r="P579" s="5" t="str">
        <f t="shared" si="7"/>
        <v>tu</v>
      </c>
      <c r="Q579" s="5">
        <f t="shared" si="8"/>
        <v>2</v>
      </c>
      <c r="R579" s="3"/>
      <c r="S579" s="3" t="s">
        <v>1816</v>
      </c>
      <c r="T579" s="3" t="s">
        <v>1817</v>
      </c>
      <c r="U579" s="3" t="s">
        <v>22</v>
      </c>
      <c r="V579" s="5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>
      <c r="A580" s="15" t="s">
        <v>14</v>
      </c>
      <c r="B580" s="15" t="s">
        <v>1818</v>
      </c>
      <c r="C580" s="15" t="s">
        <v>1819</v>
      </c>
      <c r="D580" s="15" t="s">
        <v>1820</v>
      </c>
      <c r="E580" s="15" t="s">
        <v>1821</v>
      </c>
      <c r="F580" s="15" t="s">
        <v>36</v>
      </c>
      <c r="G580" s="15" t="s">
        <v>49</v>
      </c>
      <c r="H580" s="43">
        <f t="shared" ref="H580:I580" si="1161">LEN(D580)-LEN(B580)+1</f>
        <v>2</v>
      </c>
      <c r="I580" s="43">
        <f t="shared" si="1161"/>
        <v>3</v>
      </c>
      <c r="J580" s="18" t="s">
        <v>36</v>
      </c>
      <c r="K580" s="18">
        <v>1.0</v>
      </c>
      <c r="L580" s="5" t="str">
        <f t="shared" ref="L580:M580" si="1162">IFS(J580="-", "-", J580=H580, "Final", J580=1, "Initial", J580&gt;1, "Medial")</f>
        <v>-</v>
      </c>
      <c r="M580" s="44" t="str">
        <f t="shared" si="1162"/>
        <v>Initial</v>
      </c>
      <c r="N580" s="5" t="str">
        <f t="shared" si="5"/>
        <v>0</v>
      </c>
      <c r="O580" s="5" t="str">
        <f t="shared" si="6"/>
        <v>zu</v>
      </c>
      <c r="P580" s="5" t="str">
        <f t="shared" si="7"/>
        <v>0</v>
      </c>
      <c r="Q580" s="5" t="str">
        <f t="shared" si="8"/>
        <v>ʒu</v>
      </c>
      <c r="R580" s="15" t="s">
        <v>80</v>
      </c>
      <c r="S580" s="15" t="s">
        <v>1822</v>
      </c>
      <c r="T580" s="15" t="s">
        <v>1386</v>
      </c>
      <c r="U580" s="15" t="s">
        <v>22</v>
      </c>
      <c r="V580" s="20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</row>
    <row r="581">
      <c r="A581" s="15" t="s">
        <v>14</v>
      </c>
      <c r="B581" s="15" t="s">
        <v>1818</v>
      </c>
      <c r="C581" s="15" t="s">
        <v>1819</v>
      </c>
      <c r="D581" s="15" t="s">
        <v>1820</v>
      </c>
      <c r="E581" s="15" t="s">
        <v>1821</v>
      </c>
      <c r="F581" s="15" t="s">
        <v>1823</v>
      </c>
      <c r="G581" s="15" t="s">
        <v>495</v>
      </c>
      <c r="H581" s="43">
        <f t="shared" ref="H581:I581" si="1163">LEN(D581)-LEN(B581)+1</f>
        <v>2</v>
      </c>
      <c r="I581" s="43">
        <f t="shared" si="1163"/>
        <v>3</v>
      </c>
      <c r="J581" s="18">
        <v>1.0</v>
      </c>
      <c r="K581" s="18">
        <v>2.0</v>
      </c>
      <c r="L581" s="5" t="str">
        <f t="shared" ref="L581:M581" si="1164">IFS(J581="-", "-", J581=H581, "Final", J581=1, "Initial", J581&gt;1, "Medial")</f>
        <v>Initial</v>
      </c>
      <c r="M581" s="44" t="str">
        <f t="shared" si="1164"/>
        <v>Medial</v>
      </c>
      <c r="N581" s="5" t="str">
        <f t="shared" si="5"/>
        <v>-</v>
      </c>
      <c r="O581" s="5" t="str">
        <f t="shared" si="6"/>
        <v>ˈda</v>
      </c>
      <c r="P581" s="5" t="str">
        <f t="shared" si="7"/>
        <v>ɐ</v>
      </c>
      <c r="Q581" s="5" t="str">
        <f t="shared" si="8"/>
        <v>ˈdaɾ</v>
      </c>
      <c r="R581" s="15"/>
      <c r="S581" s="15" t="s">
        <v>1822</v>
      </c>
      <c r="T581" s="15" t="s">
        <v>1386</v>
      </c>
      <c r="U581" s="15" t="s">
        <v>22</v>
      </c>
      <c r="V581" s="20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</row>
    <row r="582">
      <c r="A582" s="15" t="s">
        <v>14</v>
      </c>
      <c r="B582" s="15" t="s">
        <v>1818</v>
      </c>
      <c r="C582" s="15" t="s">
        <v>1819</v>
      </c>
      <c r="D582" s="15" t="s">
        <v>1820</v>
      </c>
      <c r="E582" s="15" t="s">
        <v>1821</v>
      </c>
      <c r="F582" s="15" t="s">
        <v>1118</v>
      </c>
      <c r="G582" s="15" t="s">
        <v>1119</v>
      </c>
      <c r="H582" s="43">
        <f t="shared" ref="H582:I582" si="1165">LEN(D582)-LEN(B582)+1</f>
        <v>2</v>
      </c>
      <c r="I582" s="43">
        <f t="shared" si="1165"/>
        <v>3</v>
      </c>
      <c r="J582" s="18">
        <v>2.0</v>
      </c>
      <c r="K582" s="18">
        <v>3.0</v>
      </c>
      <c r="L582" s="5" t="str">
        <f t="shared" ref="L582:M582" si="1166">IFS(J582="-", "-", J582=H582, "Final", J582=1, "Initial", J582&gt;1, "Medial")</f>
        <v>Final</v>
      </c>
      <c r="M582" s="44" t="str">
        <f t="shared" si="1166"/>
        <v>Final</v>
      </c>
      <c r="N582" s="5" t="str">
        <f t="shared" si="5"/>
        <v>zu</v>
      </c>
      <c r="O582" s="5">
        <f t="shared" si="6"/>
        <v>2</v>
      </c>
      <c r="P582" s="5" t="str">
        <f t="shared" si="7"/>
        <v>ʒu</v>
      </c>
      <c r="Q582" s="5">
        <f t="shared" si="8"/>
        <v>3</v>
      </c>
      <c r="R582" s="15"/>
      <c r="S582" s="15" t="s">
        <v>1822</v>
      </c>
      <c r="T582" s="15" t="s">
        <v>1386</v>
      </c>
      <c r="U582" s="15" t="s">
        <v>22</v>
      </c>
      <c r="V582" s="20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</row>
    <row r="583">
      <c r="A583" s="3" t="s">
        <v>14</v>
      </c>
      <c r="B583" s="3" t="s">
        <v>1824</v>
      </c>
      <c r="C583" s="3" t="s">
        <v>1825</v>
      </c>
      <c r="D583" s="3" t="s">
        <v>1826</v>
      </c>
      <c r="E583" s="3" t="s">
        <v>1827</v>
      </c>
      <c r="F583" s="3" t="s">
        <v>1186</v>
      </c>
      <c r="G583" s="3" t="s">
        <v>1217</v>
      </c>
      <c r="H583" s="43">
        <f t="shared" ref="H583:I583" si="1167">LEN(D583)-LEN(B583)+1</f>
        <v>3</v>
      </c>
      <c r="I583" s="43">
        <f t="shared" si="1167"/>
        <v>3</v>
      </c>
      <c r="J583" s="4">
        <v>1.0</v>
      </c>
      <c r="K583" s="4">
        <v>1.0</v>
      </c>
      <c r="L583" s="5" t="str">
        <f t="shared" ref="L583:M583" si="1168">IFS(J583="-", "-", J583=H583, "Final", J583=1, "Initial", J583&gt;1, "Medial")</f>
        <v>Initial</v>
      </c>
      <c r="M583" s="44" t="str">
        <f t="shared" si="1168"/>
        <v>Initial</v>
      </c>
      <c r="N583" s="5" t="str">
        <f t="shared" si="5"/>
        <v>0</v>
      </c>
      <c r="O583" s="5" t="str">
        <f t="shared" si="6"/>
        <v>ˈmĩ</v>
      </c>
      <c r="P583" s="5" t="str">
        <f t="shared" si="7"/>
        <v>0</v>
      </c>
      <c r="Q583" s="5" t="str">
        <f t="shared" si="8"/>
        <v>ˈmi</v>
      </c>
      <c r="R583" s="3"/>
      <c r="S583" s="3" t="s">
        <v>1828</v>
      </c>
      <c r="T583" s="3" t="s">
        <v>1829</v>
      </c>
      <c r="U583" s="3" t="s">
        <v>22</v>
      </c>
      <c r="V583" s="5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>
      <c r="A584" s="3" t="s">
        <v>14</v>
      </c>
      <c r="B584" s="3" t="s">
        <v>1824</v>
      </c>
      <c r="C584" s="3" t="s">
        <v>1825</v>
      </c>
      <c r="D584" s="3" t="s">
        <v>1826</v>
      </c>
      <c r="E584" s="3" t="s">
        <v>1827</v>
      </c>
      <c r="F584" s="3" t="s">
        <v>1830</v>
      </c>
      <c r="G584" s="3" t="s">
        <v>918</v>
      </c>
      <c r="H584" s="43">
        <f t="shared" ref="H584:I584" si="1169">LEN(D584)-LEN(B584)+1</f>
        <v>3</v>
      </c>
      <c r="I584" s="43">
        <f t="shared" si="1169"/>
        <v>3</v>
      </c>
      <c r="J584" s="4">
        <v>2.0</v>
      </c>
      <c r="K584" s="4">
        <v>2.0</v>
      </c>
      <c r="L584" s="5" t="str">
        <f t="shared" ref="L584:M584" si="1170">IFS(J584="-", "-", J584=H584, "Final", J584=1, "Initial", J584&gt;1, "Medial")</f>
        <v>Medial</v>
      </c>
      <c r="M584" s="44" t="str">
        <f t="shared" si="1170"/>
        <v>Medial</v>
      </c>
      <c r="N584" s="5" t="str">
        <f t="shared" si="5"/>
        <v>fi</v>
      </c>
      <c r="O584" s="5" t="str">
        <f t="shared" si="6"/>
        <v>gɐ</v>
      </c>
      <c r="P584" s="5" t="str">
        <f t="shared" si="7"/>
        <v>fuɾ</v>
      </c>
      <c r="Q584" s="5" t="str">
        <f t="shared" si="8"/>
        <v>gɐ</v>
      </c>
      <c r="R584" s="3"/>
      <c r="S584" s="3" t="s">
        <v>1828</v>
      </c>
      <c r="T584" s="3" t="s">
        <v>1829</v>
      </c>
      <c r="U584" s="3" t="s">
        <v>22</v>
      </c>
      <c r="V584" s="5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>
      <c r="A585" s="3" t="s">
        <v>14</v>
      </c>
      <c r="B585" s="3" t="s">
        <v>1824</v>
      </c>
      <c r="C585" s="3" t="s">
        <v>1825</v>
      </c>
      <c r="D585" s="3" t="s">
        <v>1826</v>
      </c>
      <c r="E585" s="3" t="s">
        <v>1827</v>
      </c>
      <c r="F585" s="3" t="s">
        <v>190</v>
      </c>
      <c r="G585" s="3" t="s">
        <v>190</v>
      </c>
      <c r="H585" s="43">
        <f t="shared" ref="H585:I585" si="1171">LEN(D585)-LEN(B585)+1</f>
        <v>3</v>
      </c>
      <c r="I585" s="43">
        <f t="shared" si="1171"/>
        <v>3</v>
      </c>
      <c r="J585" s="4">
        <v>3.0</v>
      </c>
      <c r="K585" s="4">
        <v>3.0</v>
      </c>
      <c r="L585" s="5" t="str">
        <f t="shared" ref="L585:M585" si="1172">IFS(J585="-", "-", J585=H585, "Final", J585=1, "Initial", J585&gt;1, "Medial")</f>
        <v>Final</v>
      </c>
      <c r="M585" s="44" t="str">
        <f t="shared" si="1172"/>
        <v>Final</v>
      </c>
      <c r="N585" s="5" t="str">
        <f t="shared" si="5"/>
        <v>ˈmĩ</v>
      </c>
      <c r="O585" s="5">
        <f t="shared" si="6"/>
        <v>3</v>
      </c>
      <c r="P585" s="5" t="str">
        <f t="shared" si="7"/>
        <v>ˈmi</v>
      </c>
      <c r="Q585" s="5">
        <f t="shared" si="8"/>
        <v>3</v>
      </c>
      <c r="R585" s="3"/>
      <c r="S585" s="3" t="s">
        <v>1828</v>
      </c>
      <c r="T585" s="3" t="s">
        <v>1829</v>
      </c>
      <c r="U585" s="3" t="s">
        <v>22</v>
      </c>
      <c r="V585" s="5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>
      <c r="A586" s="15" t="s">
        <v>14</v>
      </c>
      <c r="B586" s="15" t="s">
        <v>1831</v>
      </c>
      <c r="C586" s="15" t="s">
        <v>1832</v>
      </c>
      <c r="D586" s="15" t="s">
        <v>1833</v>
      </c>
      <c r="E586" s="15" t="s">
        <v>1834</v>
      </c>
      <c r="F586" s="15"/>
      <c r="G586" s="15"/>
      <c r="H586" s="43">
        <f t="shared" ref="H586:I586" si="1173">LEN(D586)-LEN(B586)+1</f>
        <v>2</v>
      </c>
      <c r="I586" s="43">
        <f t="shared" si="1173"/>
        <v>3</v>
      </c>
      <c r="J586" s="18"/>
      <c r="K586" s="18"/>
      <c r="L586" s="5" t="str">
        <f t="shared" ref="L586:M586" si="1174">IFS(J586="-", "-", J586=H586, "Final", J586=1, "Initial", J586&gt;1, "Medial")</f>
        <v>#N/A</v>
      </c>
      <c r="M586" s="44" t="str">
        <f t="shared" si="1174"/>
        <v>#N/A</v>
      </c>
      <c r="N586" s="5" t="str">
        <f t="shared" si="5"/>
        <v>0</v>
      </c>
      <c r="O586" s="5" t="str">
        <f t="shared" si="6"/>
        <v/>
      </c>
      <c r="P586" s="5" t="str">
        <f t="shared" si="7"/>
        <v>0</v>
      </c>
      <c r="Q586" s="5" t="str">
        <f t="shared" si="8"/>
        <v/>
      </c>
      <c r="R586" s="15"/>
      <c r="S586" s="15" t="s">
        <v>1835</v>
      </c>
      <c r="T586" s="15" t="s">
        <v>1836</v>
      </c>
      <c r="U586" s="15" t="s">
        <v>22</v>
      </c>
      <c r="V586" s="15" t="s">
        <v>560</v>
      </c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</row>
    <row r="587">
      <c r="A587" s="15" t="s">
        <v>14</v>
      </c>
      <c r="B587" s="15" t="s">
        <v>1837</v>
      </c>
      <c r="C587" s="15" t="s">
        <v>1838</v>
      </c>
      <c r="D587" s="15" t="s">
        <v>1839</v>
      </c>
      <c r="E587" s="15" t="s">
        <v>1840</v>
      </c>
      <c r="F587" s="15"/>
      <c r="G587" s="15"/>
      <c r="H587" s="43">
        <f t="shared" ref="H587:I587" si="1175">LEN(D587)-LEN(B587)+1</f>
        <v>2</v>
      </c>
      <c r="I587" s="43">
        <f t="shared" si="1175"/>
        <v>4</v>
      </c>
      <c r="J587" s="18"/>
      <c r="K587" s="18"/>
      <c r="L587" s="5" t="str">
        <f t="shared" ref="L587:M587" si="1176">IFS(J587="-", "-", J587=H587, "Final", J587=1, "Initial", J587&gt;1, "Medial")</f>
        <v>#N/A</v>
      </c>
      <c r="M587" s="44" t="str">
        <f t="shared" si="1176"/>
        <v>#N/A</v>
      </c>
      <c r="N587" s="5" t="str">
        <f t="shared" si="5"/>
        <v>0</v>
      </c>
      <c r="O587" s="5" t="str">
        <f t="shared" si="6"/>
        <v/>
      </c>
      <c r="P587" s="5" t="str">
        <f t="shared" si="7"/>
        <v>0</v>
      </c>
      <c r="Q587" s="5" t="str">
        <f t="shared" si="8"/>
        <v/>
      </c>
      <c r="R587" s="15"/>
      <c r="S587" s="15" t="s">
        <v>1841</v>
      </c>
      <c r="T587" s="15" t="s">
        <v>1842</v>
      </c>
      <c r="U587" s="15" t="s">
        <v>22</v>
      </c>
      <c r="V587" s="15" t="s">
        <v>560</v>
      </c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</row>
    <row r="588">
      <c r="A588" s="15" t="s">
        <v>14</v>
      </c>
      <c r="B588" s="15" t="s">
        <v>1843</v>
      </c>
      <c r="C588" s="15" t="s">
        <v>1844</v>
      </c>
      <c r="D588" s="15" t="s">
        <v>1845</v>
      </c>
      <c r="E588" s="15" t="s">
        <v>1846</v>
      </c>
      <c r="F588" s="15"/>
      <c r="G588" s="15"/>
      <c r="H588" s="43">
        <f t="shared" ref="H588:I588" si="1177">LEN(D588)-LEN(B588)+1</f>
        <v>2</v>
      </c>
      <c r="I588" s="43">
        <f t="shared" si="1177"/>
        <v>3</v>
      </c>
      <c r="J588" s="18"/>
      <c r="K588" s="18"/>
      <c r="L588" s="5" t="str">
        <f t="shared" ref="L588:M588" si="1178">IFS(J588="-", "-", J588=H588, "Final", J588=1, "Initial", J588&gt;1, "Medial")</f>
        <v>#N/A</v>
      </c>
      <c r="M588" s="44" t="str">
        <f t="shared" si="1178"/>
        <v>#N/A</v>
      </c>
      <c r="N588" s="5" t="str">
        <f t="shared" si="5"/>
        <v>0</v>
      </c>
      <c r="O588" s="5" t="str">
        <f t="shared" si="6"/>
        <v/>
      </c>
      <c r="P588" s="5" t="str">
        <f t="shared" si="7"/>
        <v>0</v>
      </c>
      <c r="Q588" s="5" t="str">
        <f t="shared" si="8"/>
        <v/>
      </c>
      <c r="R588" s="15"/>
      <c r="S588" s="15" t="s">
        <v>1847</v>
      </c>
      <c r="T588" s="15" t="s">
        <v>1848</v>
      </c>
      <c r="U588" s="15" t="s">
        <v>22</v>
      </c>
      <c r="V588" s="15" t="s">
        <v>560</v>
      </c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</row>
    <row r="589">
      <c r="A589" s="3" t="s">
        <v>14</v>
      </c>
      <c r="B589" s="3" t="s">
        <v>1849</v>
      </c>
      <c r="C589" s="3" t="s">
        <v>1850</v>
      </c>
      <c r="D589" s="3" t="s">
        <v>1851</v>
      </c>
      <c r="E589" s="3" t="s">
        <v>1852</v>
      </c>
      <c r="F589" s="3" t="s">
        <v>801</v>
      </c>
      <c r="G589" s="3" t="s">
        <v>334</v>
      </c>
      <c r="H589" s="43">
        <f t="shared" ref="H589:I589" si="1179">LEN(D589)-LEN(B589)+1</f>
        <v>3</v>
      </c>
      <c r="I589" s="43">
        <f t="shared" si="1179"/>
        <v>3</v>
      </c>
      <c r="J589" s="4">
        <v>1.0</v>
      </c>
      <c r="K589" s="4">
        <v>1.0</v>
      </c>
      <c r="L589" s="5" t="str">
        <f t="shared" ref="L589:M589" si="1180">IFS(J589="-", "-", J589=H589, "Final", J589=1, "Initial", J589&gt;1, "Medial")</f>
        <v>Initial</v>
      </c>
      <c r="M589" s="44" t="str">
        <f t="shared" si="1180"/>
        <v>Initial</v>
      </c>
      <c r="N589" s="5" t="str">
        <f t="shared" si="5"/>
        <v>0</v>
      </c>
      <c r="O589" s="5" t="str">
        <f t="shared" si="6"/>
        <v>ˈfũ</v>
      </c>
      <c r="P589" s="5" t="str">
        <f t="shared" si="7"/>
        <v>0</v>
      </c>
      <c r="Q589" s="5" t="str">
        <f t="shared" si="8"/>
        <v>ˈfũ</v>
      </c>
      <c r="R589" s="3"/>
      <c r="S589" s="3" t="s">
        <v>1853</v>
      </c>
      <c r="T589" s="3" t="s">
        <v>1854</v>
      </c>
      <c r="U589" s="3" t="s">
        <v>22</v>
      </c>
      <c r="V589" s="5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>
      <c r="A590" s="3" t="s">
        <v>14</v>
      </c>
      <c r="B590" s="3" t="s">
        <v>1849</v>
      </c>
      <c r="C590" s="3" t="s">
        <v>1850</v>
      </c>
      <c r="D590" s="3" t="s">
        <v>1851</v>
      </c>
      <c r="E590" s="3" t="s">
        <v>1852</v>
      </c>
      <c r="F590" s="3" t="s">
        <v>1855</v>
      </c>
      <c r="G590" s="3" t="s">
        <v>1855</v>
      </c>
      <c r="H590" s="43">
        <f t="shared" ref="H590:I590" si="1181">LEN(D590)-LEN(B590)+1</f>
        <v>3</v>
      </c>
      <c r="I590" s="43">
        <f t="shared" si="1181"/>
        <v>3</v>
      </c>
      <c r="J590" s="4">
        <v>2.0</v>
      </c>
      <c r="K590" s="4">
        <v>2.0</v>
      </c>
      <c r="L590" s="5" t="str">
        <f t="shared" ref="L590:M590" si="1182">IFS(J590="-", "-", J590=H590, "Final", J590=1, "Initial", J590&gt;1, "Medial")</f>
        <v>Medial</v>
      </c>
      <c r="M590" s="44" t="str">
        <f t="shared" si="1182"/>
        <v>Medial</v>
      </c>
      <c r="N590" s="5" t="str">
        <f t="shared" si="5"/>
        <v>de</v>
      </c>
      <c r="O590" s="5" t="str">
        <f t="shared" si="6"/>
        <v>tu</v>
      </c>
      <c r="P590" s="5" t="str">
        <f t="shared" si="7"/>
        <v>dɨ</v>
      </c>
      <c r="Q590" s="5" t="str">
        <f t="shared" si="8"/>
        <v>tu</v>
      </c>
      <c r="R590" s="3"/>
      <c r="S590" s="3" t="s">
        <v>1853</v>
      </c>
      <c r="T590" s="3" t="s">
        <v>1854</v>
      </c>
      <c r="U590" s="3" t="s">
        <v>22</v>
      </c>
      <c r="V590" s="5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>
      <c r="A591" s="3" t="s">
        <v>14</v>
      </c>
      <c r="B591" s="3" t="s">
        <v>1849</v>
      </c>
      <c r="C591" s="3" t="s">
        <v>1850</v>
      </c>
      <c r="D591" s="3" t="s">
        <v>1851</v>
      </c>
      <c r="E591" s="3" t="s">
        <v>1852</v>
      </c>
      <c r="F591" s="3" t="s">
        <v>784</v>
      </c>
      <c r="G591" s="3" t="s">
        <v>784</v>
      </c>
      <c r="H591" s="43">
        <f t="shared" ref="H591:I591" si="1183">LEN(D591)-LEN(B591)+1</f>
        <v>3</v>
      </c>
      <c r="I591" s="43">
        <f t="shared" si="1183"/>
        <v>3</v>
      </c>
      <c r="J591" s="4">
        <v>3.0</v>
      </c>
      <c r="K591" s="4">
        <v>3.0</v>
      </c>
      <c r="L591" s="5" t="str">
        <f t="shared" ref="L591:M591" si="1184">IFS(J591="-", "-", J591=H591, "Final", J591=1, "Initial", J591&gt;1, "Medial")</f>
        <v>Final</v>
      </c>
      <c r="M591" s="44" t="str">
        <f t="shared" si="1184"/>
        <v>Final</v>
      </c>
      <c r="N591" s="5" t="str">
        <f t="shared" si="5"/>
        <v>ˈfũ</v>
      </c>
      <c r="O591" s="5">
        <f t="shared" si="6"/>
        <v>3</v>
      </c>
      <c r="P591" s="5" t="str">
        <f t="shared" si="7"/>
        <v>ˈfũ</v>
      </c>
      <c r="Q591" s="5">
        <f t="shared" si="8"/>
        <v>3</v>
      </c>
      <c r="R591" s="3"/>
      <c r="S591" s="3" t="s">
        <v>1853</v>
      </c>
      <c r="T591" s="3" t="s">
        <v>1854</v>
      </c>
      <c r="U591" s="3" t="s">
        <v>22</v>
      </c>
      <c r="V591" s="5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>
      <c r="A592" s="15" t="s">
        <v>14</v>
      </c>
      <c r="B592" s="15" t="s">
        <v>1856</v>
      </c>
      <c r="C592" s="15" t="s">
        <v>1857</v>
      </c>
      <c r="D592" s="15" t="s">
        <v>1858</v>
      </c>
      <c r="E592" s="15" t="s">
        <v>1859</v>
      </c>
      <c r="F592" s="15"/>
      <c r="G592" s="15"/>
      <c r="H592" s="43">
        <f t="shared" ref="H592:I592" si="1185">LEN(D592)-LEN(B592)+1</f>
        <v>2</v>
      </c>
      <c r="I592" s="43">
        <f t="shared" si="1185"/>
        <v>3</v>
      </c>
      <c r="J592" s="18"/>
      <c r="K592" s="18"/>
      <c r="L592" s="5" t="str">
        <f t="shared" ref="L592:M592" si="1186">IFS(J592="-", "-", J592=H592, "Final", J592=1, "Initial", J592&gt;1, "Medial")</f>
        <v>#N/A</v>
      </c>
      <c r="M592" s="44" t="str">
        <f t="shared" si="1186"/>
        <v>#N/A</v>
      </c>
      <c r="N592" s="5" t="str">
        <f t="shared" si="5"/>
        <v>0</v>
      </c>
      <c r="O592" s="5" t="str">
        <f t="shared" si="6"/>
        <v/>
      </c>
      <c r="P592" s="5" t="str">
        <f t="shared" si="7"/>
        <v>0</v>
      </c>
      <c r="Q592" s="5" t="str">
        <f t="shared" si="8"/>
        <v/>
      </c>
      <c r="R592" s="15"/>
      <c r="S592" s="15" t="s">
        <v>1860</v>
      </c>
      <c r="T592" s="15" t="s">
        <v>1861</v>
      </c>
      <c r="U592" s="15" t="s">
        <v>22</v>
      </c>
      <c r="V592" s="15" t="s">
        <v>560</v>
      </c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</row>
    <row r="593">
      <c r="A593" s="3" t="s">
        <v>14</v>
      </c>
      <c r="B593" s="3" t="s">
        <v>1862</v>
      </c>
      <c r="C593" s="3" t="s">
        <v>1863</v>
      </c>
      <c r="D593" s="3" t="s">
        <v>1864</v>
      </c>
      <c r="E593" s="3" t="s">
        <v>1865</v>
      </c>
      <c r="F593" s="3" t="s">
        <v>918</v>
      </c>
      <c r="G593" s="3" t="s">
        <v>739</v>
      </c>
      <c r="H593" s="43">
        <f t="shared" ref="H593:I593" si="1187">LEN(D593)-LEN(B593)+1</f>
        <v>2</v>
      </c>
      <c r="I593" s="43">
        <f t="shared" si="1187"/>
        <v>3</v>
      </c>
      <c r="J593" s="4">
        <v>1.0</v>
      </c>
      <c r="K593" s="4">
        <v>1.0</v>
      </c>
      <c r="L593" s="5" t="str">
        <f t="shared" ref="L593:M593" si="1188">IFS(J593="-", "-", J593=H593, "Final", J593=1, "Initial", J593&gt;1, "Medial")</f>
        <v>Initial</v>
      </c>
      <c r="M593" s="44" t="str">
        <f t="shared" si="1188"/>
        <v>Initial</v>
      </c>
      <c r="N593" s="5" t="str">
        <f t="shared" si="5"/>
        <v>0</v>
      </c>
      <c r="O593" s="5" t="str">
        <f t="shared" si="6"/>
        <v>-</v>
      </c>
      <c r="P593" s="5" t="str">
        <f t="shared" si="7"/>
        <v>0</v>
      </c>
      <c r="Q593" s="5" t="str">
        <f t="shared" si="8"/>
        <v>ˈni</v>
      </c>
      <c r="R593" s="3" t="s">
        <v>80</v>
      </c>
      <c r="S593" s="3" t="s">
        <v>1866</v>
      </c>
      <c r="T593" s="3" t="s">
        <v>1867</v>
      </c>
      <c r="U593" s="3" t="s">
        <v>22</v>
      </c>
      <c r="V593" s="5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>
      <c r="A594" s="3" t="s">
        <v>14</v>
      </c>
      <c r="B594" s="3" t="s">
        <v>1862</v>
      </c>
      <c r="C594" s="3" t="s">
        <v>1863</v>
      </c>
      <c r="D594" s="3" t="s">
        <v>1864</v>
      </c>
      <c r="E594" s="3" t="s">
        <v>1865</v>
      </c>
      <c r="F594" s="3" t="s">
        <v>36</v>
      </c>
      <c r="G594" s="3" t="s">
        <v>1868</v>
      </c>
      <c r="H594" s="43">
        <f t="shared" ref="H594:I594" si="1189">LEN(D594)-LEN(B594)+1</f>
        <v>2</v>
      </c>
      <c r="I594" s="43">
        <f t="shared" si="1189"/>
        <v>3</v>
      </c>
      <c r="J594" s="4" t="s">
        <v>36</v>
      </c>
      <c r="K594" s="4">
        <v>2.0</v>
      </c>
      <c r="L594" s="5" t="str">
        <f t="shared" ref="L594:M594" si="1190">IFS(J594="-", "-", J594=H594, "Final", J594=1, "Initial", J594&gt;1, "Medial")</f>
        <v>-</v>
      </c>
      <c r="M594" s="44" t="str">
        <f t="shared" si="1190"/>
        <v>Medial</v>
      </c>
      <c r="N594" s="5" t="str">
        <f t="shared" si="5"/>
        <v>ˈmi</v>
      </c>
      <c r="O594" s="5" t="str">
        <f t="shared" si="6"/>
        <v>nu</v>
      </c>
      <c r="P594" s="5" t="str">
        <f t="shared" si="7"/>
        <v>mɨ</v>
      </c>
      <c r="Q594" s="5" t="str">
        <f t="shared" si="8"/>
        <v>nu</v>
      </c>
      <c r="R594" s="3"/>
      <c r="S594" s="3" t="s">
        <v>1866</v>
      </c>
      <c r="T594" s="3" t="s">
        <v>1867</v>
      </c>
      <c r="U594" s="3" t="s">
        <v>22</v>
      </c>
      <c r="V594" s="5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>
      <c r="A595" s="3" t="s">
        <v>14</v>
      </c>
      <c r="B595" s="3" t="s">
        <v>1862</v>
      </c>
      <c r="C595" s="3" t="s">
        <v>1863</v>
      </c>
      <c r="D595" s="3" t="s">
        <v>1864</v>
      </c>
      <c r="E595" s="3" t="s">
        <v>1865</v>
      </c>
      <c r="F595" s="3" t="s">
        <v>312</v>
      </c>
      <c r="G595" s="3" t="s">
        <v>312</v>
      </c>
      <c r="H595" s="43">
        <f t="shared" ref="H595:I595" si="1191">LEN(D595)-LEN(B595)+1</f>
        <v>2</v>
      </c>
      <c r="I595" s="43">
        <f t="shared" si="1191"/>
        <v>3</v>
      </c>
      <c r="J595" s="4">
        <v>2.0</v>
      </c>
      <c r="K595" s="4">
        <v>3.0</v>
      </c>
      <c r="L595" s="5" t="str">
        <f t="shared" ref="L595:M595" si="1192">IFS(J595="-", "-", J595=H595, "Final", J595=1, "Initial", J595&gt;1, "Medial")</f>
        <v>Final</v>
      </c>
      <c r="M595" s="44" t="str">
        <f t="shared" si="1192"/>
        <v>Final</v>
      </c>
      <c r="N595" s="5" t="str">
        <f t="shared" si="5"/>
        <v>-</v>
      </c>
      <c r="O595" s="5">
        <f t="shared" si="6"/>
        <v>2</v>
      </c>
      <c r="P595" s="5" t="str">
        <f t="shared" si="7"/>
        <v>ˈni</v>
      </c>
      <c r="Q595" s="5">
        <f t="shared" si="8"/>
        <v>3</v>
      </c>
      <c r="R595" s="3"/>
      <c r="S595" s="3" t="s">
        <v>1866</v>
      </c>
      <c r="T595" s="3" t="s">
        <v>1867</v>
      </c>
      <c r="U595" s="3" t="s">
        <v>22</v>
      </c>
      <c r="V595" s="5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>
      <c r="A596" s="3" t="s">
        <v>14</v>
      </c>
      <c r="B596" s="3" t="s">
        <v>1869</v>
      </c>
      <c r="C596" s="3" t="s">
        <v>1870</v>
      </c>
      <c r="D596" s="3" t="s">
        <v>1869</v>
      </c>
      <c r="E596" s="3" t="s">
        <v>1871</v>
      </c>
      <c r="F596" s="3" t="s">
        <v>1869</v>
      </c>
      <c r="G596" s="3" t="s">
        <v>610</v>
      </c>
      <c r="H596" s="43">
        <f t="shared" ref="H596:I596" si="1193">LEN(D596)-LEN(B596)+1</f>
        <v>1</v>
      </c>
      <c r="I596" s="43">
        <f t="shared" si="1193"/>
        <v>2</v>
      </c>
      <c r="J596" s="4">
        <v>1.0</v>
      </c>
      <c r="K596" s="4">
        <v>1.0</v>
      </c>
      <c r="L596" s="5" t="str">
        <f t="shared" ref="L596:M596" si="1194">IFS(J596="-", "-", J596=H596, "Final", J596=1, "Initial", J596&gt;1, "Medial")</f>
        <v>Final</v>
      </c>
      <c r="M596" s="44" t="str">
        <f t="shared" si="1194"/>
        <v>Initial</v>
      </c>
      <c r="N596" s="5" t="str">
        <f t="shared" si="5"/>
        <v>0</v>
      </c>
      <c r="O596" s="5" t="str">
        <f t="shared" si="6"/>
        <v>-</v>
      </c>
      <c r="P596" s="5" t="str">
        <f t="shared" si="7"/>
        <v>0</v>
      </c>
      <c r="Q596" s="5" t="str">
        <f t="shared" si="8"/>
        <v>ˈʎeɾ</v>
      </c>
      <c r="R596" s="3" t="s">
        <v>80</v>
      </c>
      <c r="S596" s="3" t="s">
        <v>1872</v>
      </c>
      <c r="T596" s="3" t="s">
        <v>1873</v>
      </c>
      <c r="U596" s="3" t="s">
        <v>22</v>
      </c>
      <c r="V596" s="5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>
      <c r="A597" s="3" t="s">
        <v>14</v>
      </c>
      <c r="B597" s="3" t="s">
        <v>1869</v>
      </c>
      <c r="C597" s="3" t="s">
        <v>1870</v>
      </c>
      <c r="D597" s="3" t="s">
        <v>1869</v>
      </c>
      <c r="E597" s="3" t="s">
        <v>1871</v>
      </c>
      <c r="F597" s="3" t="s">
        <v>36</v>
      </c>
      <c r="G597" s="3" t="s">
        <v>1874</v>
      </c>
      <c r="H597" s="43">
        <f t="shared" ref="H597:I597" si="1195">LEN(D597)-LEN(B597)+1</f>
        <v>1</v>
      </c>
      <c r="I597" s="43">
        <f t="shared" si="1195"/>
        <v>2</v>
      </c>
      <c r="J597" s="4" t="s">
        <v>36</v>
      </c>
      <c r="K597" s="4">
        <v>2.0</v>
      </c>
      <c r="L597" s="5" t="str">
        <f t="shared" ref="L597:M597" si="1196">IFS(J597="-", "-", J597=H597, "Final", J597=1, "Initial", J597&gt;1, "Medial")</f>
        <v>-</v>
      </c>
      <c r="M597" s="44" t="str">
        <f t="shared" si="1196"/>
        <v>Final</v>
      </c>
      <c r="N597" s="5" t="str">
        <f t="shared" si="5"/>
        <v>ˈmjɛ</v>
      </c>
      <c r="O597" s="5" t="str">
        <f t="shared" si="6"/>
        <v>-</v>
      </c>
      <c r="P597" s="5" t="str">
        <f t="shared" si="7"/>
        <v>mu</v>
      </c>
      <c r="Q597" s="5">
        <f t="shared" si="8"/>
        <v>2</v>
      </c>
      <c r="R597" s="3"/>
      <c r="S597" s="3" t="s">
        <v>1872</v>
      </c>
      <c r="T597" s="3" t="s">
        <v>1873</v>
      </c>
      <c r="U597" s="3" t="s">
        <v>22</v>
      </c>
      <c r="V597" s="5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>
      <c r="A598" s="15" t="s">
        <v>14</v>
      </c>
      <c r="B598" s="15" t="s">
        <v>1875</v>
      </c>
      <c r="C598" s="15" t="s">
        <v>1876</v>
      </c>
      <c r="D598" s="15" t="s">
        <v>1877</v>
      </c>
      <c r="E598" s="15" t="s">
        <v>1878</v>
      </c>
      <c r="F598" s="15" t="s">
        <v>1879</v>
      </c>
      <c r="G598" s="15" t="s">
        <v>1879</v>
      </c>
      <c r="H598" s="43">
        <f t="shared" ref="H598:I598" si="1197">LEN(D598)-LEN(B598)+1</f>
        <v>2</v>
      </c>
      <c r="I598" s="43">
        <f t="shared" si="1197"/>
        <v>2</v>
      </c>
      <c r="J598" s="18">
        <v>1.0</v>
      </c>
      <c r="K598" s="18">
        <v>1.0</v>
      </c>
      <c r="L598" s="5" t="str">
        <f t="shared" ref="L598:M598" si="1198">IFS(J598="-", "-", J598=H598, "Final", J598=1, "Initial", J598&gt;1, "Medial")</f>
        <v>Initial</v>
      </c>
      <c r="M598" s="44" t="str">
        <f t="shared" si="1198"/>
        <v>Initial</v>
      </c>
      <c r="N598" s="5" t="str">
        <f t="shared" si="5"/>
        <v>0</v>
      </c>
      <c r="O598" s="5" t="str">
        <f t="shared" si="6"/>
        <v>ˈŋge</v>
      </c>
      <c r="P598" s="5" t="str">
        <f t="shared" si="7"/>
        <v>0</v>
      </c>
      <c r="Q598" s="5" t="str">
        <f t="shared" si="8"/>
        <v>ˈgɐ̃j̃</v>
      </c>
      <c r="R598" s="15"/>
      <c r="S598" s="15" t="s">
        <v>1880</v>
      </c>
      <c r="T598" s="15" t="s">
        <v>1881</v>
      </c>
      <c r="U598" s="15" t="s">
        <v>22</v>
      </c>
      <c r="V598" s="20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</row>
    <row r="599">
      <c r="A599" s="15" t="s">
        <v>14</v>
      </c>
      <c r="B599" s="15" t="s">
        <v>1875</v>
      </c>
      <c r="C599" s="15" t="s">
        <v>1876</v>
      </c>
      <c r="D599" s="15" t="s">
        <v>1877</v>
      </c>
      <c r="E599" s="15" t="s">
        <v>1878</v>
      </c>
      <c r="F599" s="15" t="s">
        <v>1882</v>
      </c>
      <c r="G599" s="15" t="s">
        <v>1883</v>
      </c>
      <c r="H599" s="43">
        <f t="shared" ref="H599:I599" si="1199">LEN(D599)-LEN(B599)+1</f>
        <v>2</v>
      </c>
      <c r="I599" s="43">
        <f t="shared" si="1199"/>
        <v>2</v>
      </c>
      <c r="J599" s="18">
        <v>2.0</v>
      </c>
      <c r="K599" s="18">
        <v>2.0</v>
      </c>
      <c r="L599" s="5" t="str">
        <f t="shared" ref="L599:M599" si="1200">IFS(J599="-", "-", J599=H599, "Final", J599=1, "Initial", J599&gt;1, "Medial")</f>
        <v>Final</v>
      </c>
      <c r="M599" s="44" t="str">
        <f t="shared" si="1200"/>
        <v>Final</v>
      </c>
      <c r="N599" s="5" t="str">
        <f t="shared" si="5"/>
        <v>nĩ</v>
      </c>
      <c r="O599" s="5">
        <f t="shared" si="6"/>
        <v>2</v>
      </c>
      <c r="P599" s="5" t="str">
        <f t="shared" si="7"/>
        <v>nĩ</v>
      </c>
      <c r="Q599" s="5">
        <f t="shared" si="8"/>
        <v>2</v>
      </c>
      <c r="R599" s="15"/>
      <c r="S599" s="15" t="s">
        <v>1880</v>
      </c>
      <c r="T599" s="15" t="s">
        <v>1881</v>
      </c>
      <c r="U599" s="15" t="s">
        <v>22</v>
      </c>
      <c r="V599" s="20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</row>
    <row r="600">
      <c r="A600" s="3" t="s">
        <v>14</v>
      </c>
      <c r="B600" s="3" t="s">
        <v>1884</v>
      </c>
      <c r="C600" s="3" t="s">
        <v>1885</v>
      </c>
      <c r="D600" s="3" t="s">
        <v>1886</v>
      </c>
      <c r="E600" s="3" t="s">
        <v>1887</v>
      </c>
      <c r="F600" s="3" t="s">
        <v>471</v>
      </c>
      <c r="G600" s="3" t="s">
        <v>219</v>
      </c>
      <c r="H600" s="43">
        <f t="shared" ref="H600:I600" si="1201">LEN(D600)-LEN(B600)+1</f>
        <v>2</v>
      </c>
      <c r="I600" s="43">
        <f t="shared" si="1201"/>
        <v>2</v>
      </c>
      <c r="J600" s="4">
        <v>1.0</v>
      </c>
      <c r="K600" s="4">
        <v>1.0</v>
      </c>
      <c r="L600" s="5" t="str">
        <f t="shared" ref="L600:M600" si="1202">IFS(J600="-", "-", J600=H600, "Final", J600=1, "Initial", J600&gt;1, "Medial")</f>
        <v>Initial</v>
      </c>
      <c r="M600" s="44" t="str">
        <f t="shared" si="1202"/>
        <v>Initial</v>
      </c>
      <c r="N600" s="5" t="str">
        <f t="shared" si="5"/>
        <v>0</v>
      </c>
      <c r="O600" s="5" t="str">
        <f t="shared" si="6"/>
        <v>ˈmi</v>
      </c>
      <c r="P600" s="5" t="str">
        <f t="shared" si="7"/>
        <v>0</v>
      </c>
      <c r="Q600" s="5" t="str">
        <f t="shared" si="8"/>
        <v>mɐ̃j̃</v>
      </c>
      <c r="R600" s="3"/>
      <c r="S600" s="3" t="s">
        <v>1888</v>
      </c>
      <c r="T600" s="3" t="s">
        <v>1889</v>
      </c>
      <c r="U600" s="3" t="s">
        <v>22</v>
      </c>
      <c r="V600" s="5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>
      <c r="A601" s="3" t="s">
        <v>14</v>
      </c>
      <c r="B601" s="3" t="s">
        <v>1884</v>
      </c>
      <c r="C601" s="3" t="s">
        <v>1885</v>
      </c>
      <c r="D601" s="3" t="s">
        <v>1886</v>
      </c>
      <c r="E601" s="3" t="s">
        <v>1887</v>
      </c>
      <c r="F601" s="3" t="s">
        <v>918</v>
      </c>
      <c r="G601" s="3" t="s">
        <v>576</v>
      </c>
      <c r="H601" s="43">
        <f t="shared" ref="H601:I601" si="1203">LEN(D601)-LEN(B601)+1</f>
        <v>2</v>
      </c>
      <c r="I601" s="43">
        <f t="shared" si="1203"/>
        <v>2</v>
      </c>
      <c r="J601" s="4">
        <v>2.0</v>
      </c>
      <c r="K601" s="4">
        <v>2.0</v>
      </c>
      <c r="L601" s="5" t="str">
        <f t="shared" ref="L601:M601" si="1204">IFS(J601="-", "-", J601=H601, "Final", J601=1, "Initial", J601&gt;1, "Medial")</f>
        <v>Final</v>
      </c>
      <c r="M601" s="44" t="str">
        <f t="shared" si="1204"/>
        <v>Final</v>
      </c>
      <c r="N601" s="5" t="str">
        <f t="shared" si="5"/>
        <v>ɔ</v>
      </c>
      <c r="O601" s="5">
        <f t="shared" si="6"/>
        <v>2</v>
      </c>
      <c r="P601" s="5" t="str">
        <f t="shared" si="7"/>
        <v>ˈo</v>
      </c>
      <c r="Q601" s="5">
        <f t="shared" si="8"/>
        <v>2</v>
      </c>
      <c r="R601" s="3"/>
      <c r="S601" s="3" t="s">
        <v>1888</v>
      </c>
      <c r="T601" s="3" t="s">
        <v>1889</v>
      </c>
      <c r="U601" s="3" t="s">
        <v>22</v>
      </c>
      <c r="V601" s="5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>
      <c r="A602" s="3" t="s">
        <v>14</v>
      </c>
      <c r="B602" s="3" t="s">
        <v>1890</v>
      </c>
      <c r="C602" s="3" t="s">
        <v>1891</v>
      </c>
      <c r="D602" s="3" t="s">
        <v>1892</v>
      </c>
      <c r="E602" s="3" t="s">
        <v>1893</v>
      </c>
      <c r="F602" s="3" t="s">
        <v>276</v>
      </c>
      <c r="G602" s="3" t="s">
        <v>276</v>
      </c>
      <c r="H602" s="43">
        <f t="shared" ref="H602:I602" si="1205">LEN(D602)-LEN(B602)+1</f>
        <v>2</v>
      </c>
      <c r="I602" s="43">
        <f t="shared" si="1205"/>
        <v>3</v>
      </c>
      <c r="J602" s="4">
        <v>1.0</v>
      </c>
      <c r="K602" s="4">
        <v>1.0</v>
      </c>
      <c r="L602" s="5" t="str">
        <f t="shared" ref="L602:M602" si="1206">IFS(J602="-", "-", J602=H602, "Final", J602=1, "Initial", J602&gt;1, "Medial")</f>
        <v>Initial</v>
      </c>
      <c r="M602" s="44" t="str">
        <f t="shared" si="1206"/>
        <v>Initial</v>
      </c>
      <c r="N602" s="5" t="str">
        <f t="shared" si="5"/>
        <v>0</v>
      </c>
      <c r="O602" s="5" t="str">
        <f t="shared" si="6"/>
        <v>-</v>
      </c>
      <c r="P602" s="5" t="str">
        <f t="shared" si="7"/>
        <v>0</v>
      </c>
      <c r="Q602" s="5" t="str">
        <f t="shared" si="8"/>
        <v>ˈzi</v>
      </c>
      <c r="R602" s="3" t="s">
        <v>1894</v>
      </c>
      <c r="S602" s="3" t="s">
        <v>1895</v>
      </c>
      <c r="T602" s="3" t="s">
        <v>1896</v>
      </c>
      <c r="U602" s="3" t="s">
        <v>22</v>
      </c>
      <c r="V602" s="5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>
      <c r="A603" s="3" t="s">
        <v>14</v>
      </c>
      <c r="B603" s="3" t="s">
        <v>1890</v>
      </c>
      <c r="C603" s="3" t="s">
        <v>1891</v>
      </c>
      <c r="D603" s="3" t="s">
        <v>1892</v>
      </c>
      <c r="E603" s="3" t="s">
        <v>1893</v>
      </c>
      <c r="F603" s="3" t="s">
        <v>36</v>
      </c>
      <c r="G603" s="3" t="s">
        <v>1897</v>
      </c>
      <c r="H603" s="43">
        <f t="shared" ref="H603:I603" si="1207">LEN(D603)-LEN(B603)+1</f>
        <v>2</v>
      </c>
      <c r="I603" s="43">
        <f t="shared" si="1207"/>
        <v>3</v>
      </c>
      <c r="J603" s="4" t="s">
        <v>36</v>
      </c>
      <c r="K603" s="4">
        <v>2.0</v>
      </c>
      <c r="L603" s="5" t="str">
        <f t="shared" ref="L603:M603" si="1208">IFS(J603="-", "-", J603=H603, "Final", J603=1, "Initial", J603&gt;1, "Medial")</f>
        <v>-</v>
      </c>
      <c r="M603" s="44" t="str">
        <f t="shared" si="1208"/>
        <v>Medial</v>
      </c>
      <c r="N603" s="5" t="str">
        <f t="shared" si="5"/>
        <v>vi</v>
      </c>
      <c r="O603" s="5" t="str">
        <f t="shared" si="6"/>
        <v>ˈd̠ʒĩ</v>
      </c>
      <c r="P603" s="5" t="str">
        <f t="shared" si="7"/>
        <v>vi</v>
      </c>
      <c r="Q603" s="5" t="str">
        <f t="shared" si="8"/>
        <v>ɲu</v>
      </c>
      <c r="R603" s="3"/>
      <c r="S603" s="3" t="s">
        <v>1895</v>
      </c>
      <c r="T603" s="3" t="s">
        <v>1896</v>
      </c>
      <c r="U603" s="3" t="s">
        <v>22</v>
      </c>
      <c r="V603" s="5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>
      <c r="A604" s="3" t="s">
        <v>14</v>
      </c>
      <c r="B604" s="3" t="s">
        <v>1890</v>
      </c>
      <c r="C604" s="3" t="s">
        <v>1891</v>
      </c>
      <c r="D604" s="3" t="s">
        <v>1892</v>
      </c>
      <c r="E604" s="3" t="s">
        <v>1893</v>
      </c>
      <c r="F604" s="3" t="s">
        <v>1898</v>
      </c>
      <c r="G604" s="3" t="s">
        <v>1899</v>
      </c>
      <c r="H604" s="43">
        <f t="shared" ref="H604:I604" si="1209">LEN(D604)-LEN(B604)+1</f>
        <v>2</v>
      </c>
      <c r="I604" s="43">
        <f t="shared" si="1209"/>
        <v>3</v>
      </c>
      <c r="J604" s="4">
        <v>2.0</v>
      </c>
      <c r="K604" s="4">
        <v>3.0</v>
      </c>
      <c r="L604" s="5" t="str">
        <f t="shared" ref="L604:M604" si="1210">IFS(J604="-", "-", J604=H604, "Final", J604=1, "Initial", J604&gt;1, "Medial")</f>
        <v>Final</v>
      </c>
      <c r="M604" s="44" t="str">
        <f t="shared" si="1210"/>
        <v>Final</v>
      </c>
      <c r="N604" s="5" t="str">
        <f t="shared" si="5"/>
        <v>-</v>
      </c>
      <c r="O604" s="5">
        <f t="shared" si="6"/>
        <v>2</v>
      </c>
      <c r="P604" s="5" t="str">
        <f t="shared" si="7"/>
        <v>ˈzi</v>
      </c>
      <c r="Q604" s="5">
        <f t="shared" si="8"/>
        <v>3</v>
      </c>
      <c r="R604" s="3"/>
      <c r="S604" s="3" t="s">
        <v>1895</v>
      </c>
      <c r="T604" s="3" t="s">
        <v>1896</v>
      </c>
      <c r="U604" s="3" t="s">
        <v>22</v>
      </c>
      <c r="V604" s="5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>
      <c r="A605" s="15" t="s">
        <v>14</v>
      </c>
      <c r="B605" s="15" t="s">
        <v>1900</v>
      </c>
      <c r="C605" s="15" t="s">
        <v>1901</v>
      </c>
      <c r="D605" s="15" t="s">
        <v>1902</v>
      </c>
      <c r="E605" s="15" t="s">
        <v>1903</v>
      </c>
      <c r="F605" s="15" t="s">
        <v>30</v>
      </c>
      <c r="G605" s="15" t="s">
        <v>1904</v>
      </c>
      <c r="H605" s="43">
        <f t="shared" ref="H605:I605" si="1211">LEN(D605)-LEN(B605)+1</f>
        <v>4</v>
      </c>
      <c r="I605" s="43">
        <f t="shared" si="1211"/>
        <v>3</v>
      </c>
      <c r="J605" s="18">
        <v>1.0</v>
      </c>
      <c r="K605" s="18">
        <v>1.0</v>
      </c>
      <c r="L605" s="5" t="str">
        <f t="shared" ref="L605:M605" si="1212">IFS(J605="-", "-", J605=H605, "Final", J605=1, "Initial", J605&gt;1, "Medial")</f>
        <v>Initial</v>
      </c>
      <c r="M605" s="44" t="str">
        <f t="shared" si="1212"/>
        <v>Initial</v>
      </c>
      <c r="N605" s="5" t="str">
        <f t="shared" si="5"/>
        <v>0</v>
      </c>
      <c r="O605" s="5" t="str">
        <f t="shared" si="6"/>
        <v>ʀi</v>
      </c>
      <c r="P605" s="5" t="str">
        <f t="shared" si="7"/>
        <v>0</v>
      </c>
      <c r="Q605" s="5" t="str">
        <f t="shared" si="8"/>
        <v>-</v>
      </c>
      <c r="R605" s="15" t="s">
        <v>72</v>
      </c>
      <c r="S605" s="15" t="s">
        <v>1905</v>
      </c>
      <c r="T605" s="15" t="s">
        <v>1906</v>
      </c>
      <c r="U605" s="15" t="s">
        <v>22</v>
      </c>
      <c r="V605" s="20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</row>
    <row r="606">
      <c r="A606" s="15" t="s">
        <v>14</v>
      </c>
      <c r="B606" s="15" t="s">
        <v>1900</v>
      </c>
      <c r="C606" s="15" t="s">
        <v>1901</v>
      </c>
      <c r="D606" s="15" t="s">
        <v>1902</v>
      </c>
      <c r="E606" s="15" t="s">
        <v>1903</v>
      </c>
      <c r="F606" s="15" t="s">
        <v>1907</v>
      </c>
      <c r="G606" s="15" t="s">
        <v>36</v>
      </c>
      <c r="H606" s="43">
        <f t="shared" ref="H606:I606" si="1213">LEN(D606)-LEN(B606)+1</f>
        <v>4</v>
      </c>
      <c r="I606" s="43">
        <f t="shared" si="1213"/>
        <v>3</v>
      </c>
      <c r="J606" s="18">
        <v>2.0</v>
      </c>
      <c r="K606" s="18" t="s">
        <v>36</v>
      </c>
      <c r="L606" s="5" t="str">
        <f t="shared" ref="L606:M606" si="1214">IFS(J606="-", "-", J606=H606, "Final", J606=1, "Initial", J606&gt;1, "Medial")</f>
        <v>Medial</v>
      </c>
      <c r="M606" s="44" t="str">
        <f t="shared" si="1214"/>
        <v>-</v>
      </c>
      <c r="N606" s="5" t="str">
        <f t="shared" si="5"/>
        <v>a</v>
      </c>
      <c r="O606" s="5" t="str">
        <f t="shared" si="6"/>
        <v>mɐ̃</v>
      </c>
      <c r="P606" s="5" t="str">
        <f t="shared" si="7"/>
        <v>aɾ</v>
      </c>
      <c r="Q606" s="5" t="str">
        <f t="shared" si="8"/>
        <v>mɐ</v>
      </c>
      <c r="R606" s="15"/>
      <c r="S606" s="15" t="s">
        <v>1905</v>
      </c>
      <c r="T606" s="15" t="s">
        <v>1906</v>
      </c>
      <c r="U606" s="15" t="s">
        <v>22</v>
      </c>
      <c r="V606" s="20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</row>
    <row r="607">
      <c r="A607" s="15" t="s">
        <v>14</v>
      </c>
      <c r="B607" s="15" t="s">
        <v>1900</v>
      </c>
      <c r="C607" s="15" t="s">
        <v>1901</v>
      </c>
      <c r="D607" s="15" t="s">
        <v>1902</v>
      </c>
      <c r="E607" s="15" t="s">
        <v>1903</v>
      </c>
      <c r="F607" s="15" t="s">
        <v>168</v>
      </c>
      <c r="G607" s="15" t="s">
        <v>158</v>
      </c>
      <c r="H607" s="43">
        <f t="shared" ref="H607:I607" si="1215">LEN(D607)-LEN(B607)+1</f>
        <v>4</v>
      </c>
      <c r="I607" s="43">
        <f t="shared" si="1215"/>
        <v>3</v>
      </c>
      <c r="J607" s="18">
        <v>3.0</v>
      </c>
      <c r="K607" s="18">
        <v>2.0</v>
      </c>
      <c r="L607" s="5" t="str">
        <f t="shared" ref="L607:M607" si="1216">IFS(J607="-", "-", J607=H607, "Final", J607=1, "Initial", J607&gt;1, "Medial")</f>
        <v>Medial</v>
      </c>
      <c r="M607" s="44" t="str">
        <f t="shared" si="1216"/>
        <v>Medial</v>
      </c>
      <c r="N607" s="5" t="str">
        <f t="shared" si="5"/>
        <v>ʀi</v>
      </c>
      <c r="O607" s="5" t="str">
        <f t="shared" si="6"/>
        <v>ˈzɛ̃</v>
      </c>
      <c r="P607" s="5" t="str">
        <f t="shared" si="7"/>
        <v>-</v>
      </c>
      <c r="Q607" s="5" t="str">
        <f t="shared" si="8"/>
        <v>ˈzɐ̃j̃</v>
      </c>
      <c r="R607" s="15"/>
      <c r="S607" s="15" t="s">
        <v>1905</v>
      </c>
      <c r="T607" s="15" t="s">
        <v>1906</v>
      </c>
      <c r="U607" s="15" t="s">
        <v>22</v>
      </c>
      <c r="V607" s="20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</row>
    <row r="608">
      <c r="A608" s="15" t="s">
        <v>14</v>
      </c>
      <c r="B608" s="15" t="s">
        <v>1900</v>
      </c>
      <c r="C608" s="15" t="s">
        <v>1901</v>
      </c>
      <c r="D608" s="15" t="s">
        <v>1902</v>
      </c>
      <c r="E608" s="15" t="s">
        <v>1903</v>
      </c>
      <c r="F608" s="15" t="s">
        <v>1908</v>
      </c>
      <c r="G608" s="15" t="s">
        <v>1909</v>
      </c>
      <c r="H608" s="43">
        <f t="shared" ref="H608:I608" si="1217">LEN(D608)-LEN(B608)+1</f>
        <v>4</v>
      </c>
      <c r="I608" s="43">
        <f t="shared" si="1217"/>
        <v>3</v>
      </c>
      <c r="J608" s="18">
        <v>4.0</v>
      </c>
      <c r="K608" s="18">
        <v>3.0</v>
      </c>
      <c r="L608" s="5" t="str">
        <f t="shared" ref="L608:M608" si="1218">IFS(J608="-", "-", J608=H608, "Final", J608=1, "Initial", J608&gt;1, "Medial")</f>
        <v>Final</v>
      </c>
      <c r="M608" s="44" t="str">
        <f t="shared" si="1218"/>
        <v>Final</v>
      </c>
      <c r="N608" s="5" t="str">
        <f t="shared" si="5"/>
        <v>mɐ̃</v>
      </c>
      <c r="O608" s="5">
        <f t="shared" si="6"/>
        <v>4</v>
      </c>
      <c r="P608" s="5" t="str">
        <f t="shared" si="7"/>
        <v>mɐ</v>
      </c>
      <c r="Q608" s="5">
        <f t="shared" si="8"/>
        <v>3</v>
      </c>
      <c r="R608" s="15"/>
      <c r="S608" s="15" t="s">
        <v>1905</v>
      </c>
      <c r="T608" s="15" t="s">
        <v>1906</v>
      </c>
      <c r="U608" s="15" t="s">
        <v>22</v>
      </c>
      <c r="V608" s="20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</row>
    <row r="609">
      <c r="A609" s="15" t="s">
        <v>14</v>
      </c>
      <c r="B609" s="15" t="s">
        <v>1910</v>
      </c>
      <c r="C609" s="15" t="s">
        <v>1911</v>
      </c>
      <c r="D609" s="15" t="s">
        <v>1912</v>
      </c>
      <c r="E609" s="15" t="s">
        <v>1913</v>
      </c>
      <c r="F609" s="15" t="s">
        <v>1914</v>
      </c>
      <c r="G609" s="15" t="s">
        <v>1915</v>
      </c>
      <c r="H609" s="43">
        <f t="shared" ref="H609:I609" si="1219">LEN(D609)-LEN(B609)+1</f>
        <v>4</v>
      </c>
      <c r="I609" s="43">
        <f t="shared" si="1219"/>
        <v>3</v>
      </c>
      <c r="J609" s="18">
        <v>1.0</v>
      </c>
      <c r="K609" s="18">
        <v>1.0</v>
      </c>
      <c r="L609" s="5" t="str">
        <f t="shared" ref="L609:M609" si="1220">IFS(J609="-", "-", J609=H609, "Final", J609=1, "Initial", J609&gt;1, "Medial")</f>
        <v>Initial</v>
      </c>
      <c r="M609" s="44" t="str">
        <f t="shared" si="1220"/>
        <v>Initial</v>
      </c>
      <c r="N609" s="5" t="str">
        <f t="shared" si="5"/>
        <v>0</v>
      </c>
      <c r="O609" s="5" t="str">
        <f t="shared" si="6"/>
        <v>t̠ʃi</v>
      </c>
      <c r="P609" s="5" t="str">
        <f t="shared" si="7"/>
        <v>0</v>
      </c>
      <c r="Q609" s="5" t="str">
        <f t="shared" si="8"/>
        <v>tɨ</v>
      </c>
      <c r="R609" s="15"/>
      <c r="S609" s="15" t="s">
        <v>1916</v>
      </c>
      <c r="T609" s="15" t="s">
        <v>1917</v>
      </c>
      <c r="U609" s="15" t="s">
        <v>22</v>
      </c>
      <c r="V609" s="20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</row>
    <row r="610">
      <c r="A610" s="15" t="s">
        <v>14</v>
      </c>
      <c r="B610" s="15" t="s">
        <v>1910</v>
      </c>
      <c r="C610" s="15" t="s">
        <v>1911</v>
      </c>
      <c r="D610" s="15" t="s">
        <v>1912</v>
      </c>
      <c r="E610" s="15" t="s">
        <v>1913</v>
      </c>
      <c r="F610" s="15" t="s">
        <v>55</v>
      </c>
      <c r="G610" s="15" t="s">
        <v>56</v>
      </c>
      <c r="H610" s="43">
        <f t="shared" ref="H610:I610" si="1221">LEN(D610)-LEN(B610)+1</f>
        <v>4</v>
      </c>
      <c r="I610" s="43">
        <f t="shared" si="1221"/>
        <v>3</v>
      </c>
      <c r="J610" s="18">
        <v>2.0</v>
      </c>
      <c r="K610" s="18">
        <v>2.0</v>
      </c>
      <c r="L610" s="5" t="str">
        <f t="shared" ref="L610:M610" si="1222">IFS(J610="-", "-", J610=H610, "Final", J610=1, "Initial", J610&gt;1, "Medial")</f>
        <v>Medial</v>
      </c>
      <c r="M610" s="44" t="str">
        <f t="shared" si="1222"/>
        <v>Medial</v>
      </c>
      <c r="N610" s="5" t="str">
        <f t="shared" si="5"/>
        <v>ˈpɔ̃</v>
      </c>
      <c r="O610" s="5" t="str">
        <f t="shared" si="6"/>
        <v>va</v>
      </c>
      <c r="P610" s="5" t="str">
        <f t="shared" si="7"/>
        <v>ˈpõ</v>
      </c>
      <c r="Q610" s="5" t="str">
        <f t="shared" si="8"/>
        <v>vɐ</v>
      </c>
      <c r="R610" s="15"/>
      <c r="S610" s="15" t="s">
        <v>1916</v>
      </c>
      <c r="T610" s="15" t="s">
        <v>1917</v>
      </c>
      <c r="U610" s="15" t="s">
        <v>22</v>
      </c>
      <c r="V610" s="20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</row>
    <row r="611">
      <c r="A611" s="15" t="s">
        <v>14</v>
      </c>
      <c r="B611" s="15" t="s">
        <v>1910</v>
      </c>
      <c r="C611" s="15" t="s">
        <v>1911</v>
      </c>
      <c r="D611" s="15" t="s">
        <v>1912</v>
      </c>
      <c r="E611" s="15" t="s">
        <v>1913</v>
      </c>
      <c r="F611" s="15" t="s">
        <v>1918</v>
      </c>
      <c r="G611" s="15" t="s">
        <v>724</v>
      </c>
      <c r="H611" s="43">
        <f t="shared" ref="H611:I611" si="1223">LEN(D611)-LEN(B611)+1</f>
        <v>4</v>
      </c>
      <c r="I611" s="43">
        <f t="shared" si="1223"/>
        <v>3</v>
      </c>
      <c r="J611" s="18">
        <v>3.0</v>
      </c>
      <c r="K611" s="18">
        <v>3.0</v>
      </c>
      <c r="L611" s="5" t="str">
        <f t="shared" ref="L611:M611" si="1224">IFS(J611="-", "-", J611=H611, "Final", J611=1, "Initial", J611&gt;1, "Medial")</f>
        <v>Medial</v>
      </c>
      <c r="M611" s="44" t="str">
        <f t="shared" si="1224"/>
        <v>Final</v>
      </c>
      <c r="N611" s="5" t="str">
        <f t="shared" si="5"/>
        <v>t̠ʃi</v>
      </c>
      <c r="O611" s="5" t="str">
        <f t="shared" si="6"/>
        <v>ˈpo</v>
      </c>
      <c r="P611" s="5" t="str">
        <f t="shared" si="7"/>
        <v>tɨ</v>
      </c>
      <c r="Q611" s="5" t="str">
        <f t="shared" si="8"/>
        <v>ˈpoɾ</v>
      </c>
      <c r="R611" s="15"/>
      <c r="S611" s="15" t="s">
        <v>1916</v>
      </c>
      <c r="T611" s="15" t="s">
        <v>1917</v>
      </c>
      <c r="U611" s="15" t="s">
        <v>22</v>
      </c>
      <c r="V611" s="20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</row>
    <row r="612">
      <c r="A612" s="15" t="s">
        <v>14</v>
      </c>
      <c r="B612" s="15" t="s">
        <v>1910</v>
      </c>
      <c r="C612" s="15" t="s">
        <v>1911</v>
      </c>
      <c r="D612" s="15" t="s">
        <v>1912</v>
      </c>
      <c r="E612" s="15" t="s">
        <v>1913</v>
      </c>
      <c r="F612" s="15" t="s">
        <v>1919</v>
      </c>
      <c r="G612" s="15" t="s">
        <v>644</v>
      </c>
      <c r="H612" s="43">
        <f t="shared" ref="H612:I612" si="1225">LEN(D612)-LEN(B612)+1</f>
        <v>4</v>
      </c>
      <c r="I612" s="43">
        <f t="shared" si="1225"/>
        <v>3</v>
      </c>
      <c r="J612" s="18">
        <v>4.0</v>
      </c>
      <c r="K612" s="18">
        <v>4.0</v>
      </c>
      <c r="L612" s="5" t="str">
        <f t="shared" ref="L612:M612" si="1226">IFS(J612="-", "-", J612=H612, "Final", J612=1, "Initial", J612&gt;1, "Medial")</f>
        <v>Final</v>
      </c>
      <c r="M612" s="44" t="str">
        <f t="shared" si="1226"/>
        <v>Medial</v>
      </c>
      <c r="N612" s="5" t="str">
        <f t="shared" si="5"/>
        <v>va</v>
      </c>
      <c r="O612" s="5">
        <f t="shared" si="6"/>
        <v>4</v>
      </c>
      <c r="P612" s="5" t="str">
        <f t="shared" si="7"/>
        <v>vɐ</v>
      </c>
      <c r="Q612" s="5">
        <f t="shared" si="8"/>
        <v>4</v>
      </c>
      <c r="R612" s="15"/>
      <c r="S612" s="15" t="s">
        <v>1916</v>
      </c>
      <c r="T612" s="15" t="s">
        <v>1917</v>
      </c>
      <c r="U612" s="15" t="s">
        <v>22</v>
      </c>
      <c r="V612" s="20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</row>
    <row r="613">
      <c r="A613" s="3" t="s">
        <v>14</v>
      </c>
      <c r="B613" s="3" t="s">
        <v>1920</v>
      </c>
      <c r="C613" s="3" t="s">
        <v>1921</v>
      </c>
      <c r="D613" s="3" t="s">
        <v>1920</v>
      </c>
      <c r="E613" s="3" t="s">
        <v>1922</v>
      </c>
      <c r="F613" s="3" t="s">
        <v>1920</v>
      </c>
      <c r="G613" s="3" t="s">
        <v>1923</v>
      </c>
      <c r="H613" s="43">
        <f t="shared" ref="H613:I613" si="1227">LEN(D613)-LEN(B613)+1</f>
        <v>1</v>
      </c>
      <c r="I613" s="43">
        <f t="shared" si="1227"/>
        <v>2</v>
      </c>
      <c r="J613" s="4">
        <v>1.0</v>
      </c>
      <c r="K613" s="4">
        <v>1.0</v>
      </c>
      <c r="L613" s="5" t="str">
        <f t="shared" ref="L613:M613" si="1228">IFS(J613="-", "-", J613=H613, "Final", J613=1, "Initial", J613&gt;1, "Medial")</f>
        <v>Final</v>
      </c>
      <c r="M613" s="44" t="str">
        <f t="shared" si="1228"/>
        <v>Initial</v>
      </c>
      <c r="N613" s="5" t="str">
        <f t="shared" si="5"/>
        <v>0</v>
      </c>
      <c r="O613" s="5" t="str">
        <f t="shared" si="6"/>
        <v>-</v>
      </c>
      <c r="P613" s="5" t="str">
        <f t="shared" si="7"/>
        <v>0</v>
      </c>
      <c r="Q613" s="5" t="str">
        <f t="shared" si="8"/>
        <v>ɾɐ</v>
      </c>
      <c r="R613" s="3" t="s">
        <v>80</v>
      </c>
      <c r="S613" s="3" t="s">
        <v>1924</v>
      </c>
      <c r="T613" s="3" t="s">
        <v>1925</v>
      </c>
      <c r="U613" s="3" t="s">
        <v>22</v>
      </c>
      <c r="V613" s="5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>
      <c r="A614" s="3" t="s">
        <v>14</v>
      </c>
      <c r="B614" s="3" t="s">
        <v>1920</v>
      </c>
      <c r="C614" s="3" t="s">
        <v>1921</v>
      </c>
      <c r="D614" s="3" t="s">
        <v>1920</v>
      </c>
      <c r="E614" s="3" t="s">
        <v>1922</v>
      </c>
      <c r="F614" s="3" t="s">
        <v>36</v>
      </c>
      <c r="G614" s="3" t="s">
        <v>103</v>
      </c>
      <c r="H614" s="43">
        <f t="shared" ref="H614:I614" si="1229">LEN(D614)-LEN(B614)+1</f>
        <v>1</v>
      </c>
      <c r="I614" s="43">
        <f t="shared" si="1229"/>
        <v>2</v>
      </c>
      <c r="J614" s="4" t="s">
        <v>36</v>
      </c>
      <c r="K614" s="4">
        <v>2.0</v>
      </c>
      <c r="L614" s="5" t="str">
        <f t="shared" ref="L614:M614" si="1230">IFS(J614="-", "-", J614=H614, "Final", J614=1, "Initial", J614&gt;1, "Medial")</f>
        <v>-</v>
      </c>
      <c r="M614" s="44" t="str">
        <f t="shared" si="1230"/>
        <v>Final</v>
      </c>
      <c r="N614" s="5" t="str">
        <f t="shared" si="5"/>
        <v>ˈfja</v>
      </c>
      <c r="O614" s="5" t="str">
        <f t="shared" si="6"/>
        <v>-</v>
      </c>
      <c r="P614" s="5" t="str">
        <f t="shared" si="7"/>
        <v>ˈfej</v>
      </c>
      <c r="Q614" s="5">
        <f t="shared" si="8"/>
        <v>2</v>
      </c>
      <c r="R614" s="3"/>
      <c r="S614" s="3" t="s">
        <v>1924</v>
      </c>
      <c r="T614" s="3" t="s">
        <v>1925</v>
      </c>
      <c r="U614" s="3" t="s">
        <v>22</v>
      </c>
      <c r="V614" s="5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>
      <c r="A615" s="15" t="s">
        <v>14</v>
      </c>
      <c r="B615" s="15" t="s">
        <v>1926</v>
      </c>
      <c r="C615" s="15" t="s">
        <v>1927</v>
      </c>
      <c r="D615" s="15" t="s">
        <v>1928</v>
      </c>
      <c r="E615" s="15" t="s">
        <v>1929</v>
      </c>
      <c r="F615" s="15" t="s">
        <v>36</v>
      </c>
      <c r="G615" s="15" t="s">
        <v>287</v>
      </c>
      <c r="H615" s="43">
        <f t="shared" ref="H615:I615" si="1231">LEN(D615)-LEN(B615)+1</f>
        <v>2</v>
      </c>
      <c r="I615" s="43">
        <f t="shared" si="1231"/>
        <v>3</v>
      </c>
      <c r="J615" s="18" t="s">
        <v>36</v>
      </c>
      <c r="K615" s="18">
        <v>1.0</v>
      </c>
      <c r="L615" s="5" t="str">
        <f t="shared" ref="L615:M615" si="1232">IFS(J615="-", "-", J615=H615, "Final", J615=1, "Initial", J615&gt;1, "Medial")</f>
        <v>-</v>
      </c>
      <c r="M615" s="44" t="str">
        <f t="shared" si="1232"/>
        <v>Initial</v>
      </c>
      <c r="N615" s="5" t="str">
        <f t="shared" si="5"/>
        <v>0</v>
      </c>
      <c r="O615" s="5" t="str">
        <f t="shared" si="6"/>
        <v>ˈge:</v>
      </c>
      <c r="P615" s="5" t="str">
        <f t="shared" si="7"/>
        <v>0</v>
      </c>
      <c r="Q615" s="5" t="str">
        <f t="shared" si="8"/>
        <v>ˈgɾɐj</v>
      </c>
      <c r="R615" s="15" t="s">
        <v>80</v>
      </c>
      <c r="S615" s="15" t="s">
        <v>1930</v>
      </c>
      <c r="T615" s="15" t="s">
        <v>1931</v>
      </c>
      <c r="U615" s="15" t="s">
        <v>22</v>
      </c>
      <c r="V615" s="20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</row>
    <row r="616">
      <c r="A616" s="15" t="s">
        <v>14</v>
      </c>
      <c r="B616" s="15" t="s">
        <v>1926</v>
      </c>
      <c r="C616" s="15" t="s">
        <v>1927</v>
      </c>
      <c r="D616" s="15" t="s">
        <v>1928</v>
      </c>
      <c r="E616" s="15" t="s">
        <v>1929</v>
      </c>
      <c r="F616" s="15" t="s">
        <v>1932</v>
      </c>
      <c r="G616" s="15" t="s">
        <v>1933</v>
      </c>
      <c r="H616" s="43">
        <f t="shared" ref="H616:I616" si="1233">LEN(D616)-LEN(B616)+1</f>
        <v>2</v>
      </c>
      <c r="I616" s="43">
        <f t="shared" si="1233"/>
        <v>3</v>
      </c>
      <c r="J616" s="18">
        <v>1.0</v>
      </c>
      <c r="K616" s="18">
        <v>2.0</v>
      </c>
      <c r="L616" s="5" t="str">
        <f t="shared" ref="L616:M616" si="1234">IFS(J616="-", "-", J616=H616, "Final", J616=1, "Initial", J616&gt;1, "Medial")</f>
        <v>Initial</v>
      </c>
      <c r="M616" s="44" t="str">
        <f t="shared" si="1234"/>
        <v>Medial</v>
      </c>
      <c r="N616" s="5" t="str">
        <f t="shared" si="5"/>
        <v>-</v>
      </c>
      <c r="O616" s="5" t="str">
        <f t="shared" si="6"/>
        <v>zɐ</v>
      </c>
      <c r="P616" s="5" t="str">
        <f t="shared" si="7"/>
        <v>i</v>
      </c>
      <c r="Q616" s="5" t="str">
        <f t="shared" si="8"/>
        <v>ʒɐ</v>
      </c>
      <c r="R616" s="15"/>
      <c r="S616" s="15" t="s">
        <v>1930</v>
      </c>
      <c r="T616" s="15" t="s">
        <v>1931</v>
      </c>
      <c r="U616" s="15" t="s">
        <v>22</v>
      </c>
      <c r="V616" s="20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</row>
    <row r="617">
      <c r="A617" s="15" t="s">
        <v>14</v>
      </c>
      <c r="B617" s="15" t="s">
        <v>1926</v>
      </c>
      <c r="C617" s="15" t="s">
        <v>1927</v>
      </c>
      <c r="D617" s="15" t="s">
        <v>1928</v>
      </c>
      <c r="E617" s="15" t="s">
        <v>1929</v>
      </c>
      <c r="F617" s="15" t="s">
        <v>296</v>
      </c>
      <c r="G617" s="15" t="s">
        <v>758</v>
      </c>
      <c r="H617" s="43">
        <f t="shared" ref="H617:I617" si="1235">LEN(D617)-LEN(B617)+1</f>
        <v>2</v>
      </c>
      <c r="I617" s="43">
        <f t="shared" si="1235"/>
        <v>3</v>
      </c>
      <c r="J617" s="18">
        <v>2.0</v>
      </c>
      <c r="K617" s="18">
        <v>3.0</v>
      </c>
      <c r="L617" s="5" t="str">
        <f t="shared" ref="L617:M617" si="1236">IFS(J617="-", "-", J617=H617, "Final", J617=1, "Initial", J617&gt;1, "Medial")</f>
        <v>Final</v>
      </c>
      <c r="M617" s="44" t="str">
        <f t="shared" si="1236"/>
        <v>Final</v>
      </c>
      <c r="N617" s="5" t="str">
        <f t="shared" si="5"/>
        <v>ˈge:</v>
      </c>
      <c r="O617" s="5">
        <f t="shared" si="6"/>
        <v>2</v>
      </c>
      <c r="P617" s="5" t="str">
        <f t="shared" si="7"/>
        <v>ˈgɾɐj</v>
      </c>
      <c r="Q617" s="5">
        <f t="shared" si="8"/>
        <v>3</v>
      </c>
      <c r="R617" s="15"/>
      <c r="S617" s="15" t="s">
        <v>1930</v>
      </c>
      <c r="T617" s="15" t="s">
        <v>1931</v>
      </c>
      <c r="U617" s="15" t="s">
        <v>22</v>
      </c>
      <c r="V617" s="20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</row>
    <row r="618">
      <c r="A618" s="3" t="s">
        <v>14</v>
      </c>
      <c r="B618" s="3" t="s">
        <v>1934</v>
      </c>
      <c r="C618" s="3" t="s">
        <v>1935</v>
      </c>
      <c r="D618" s="3" t="s">
        <v>1936</v>
      </c>
      <c r="E618" s="3" t="s">
        <v>1937</v>
      </c>
      <c r="F618" s="3" t="s">
        <v>108</v>
      </c>
      <c r="G618" s="3" t="s">
        <v>175</v>
      </c>
      <c r="H618" s="43">
        <f t="shared" ref="H618:I618" si="1237">LEN(D618)-LEN(B618)+1</f>
        <v>2</v>
      </c>
      <c r="I618" s="43">
        <f t="shared" si="1237"/>
        <v>3</v>
      </c>
      <c r="J618" s="4">
        <v>1.0</v>
      </c>
      <c r="K618" s="4">
        <v>1.0</v>
      </c>
      <c r="L618" s="5" t="str">
        <f t="shared" ref="L618:M618" si="1238">IFS(J618="-", "-", J618=H618, "Final", J618=1, "Initial", J618&gt;1, "Medial")</f>
        <v>Initial</v>
      </c>
      <c r="M618" s="44" t="str">
        <f t="shared" si="1238"/>
        <v>Initial</v>
      </c>
      <c r="N618" s="5" t="str">
        <f t="shared" si="5"/>
        <v>0</v>
      </c>
      <c r="O618" s="5" t="str">
        <f t="shared" si="6"/>
        <v>ˈd̠ʒja</v>
      </c>
      <c r="P618" s="5" t="str">
        <f t="shared" si="7"/>
        <v>0</v>
      </c>
      <c r="Q618" s="5" t="str">
        <f t="shared" si="8"/>
        <v>ˈdej</v>
      </c>
      <c r="R618" s="3" t="s">
        <v>80</v>
      </c>
      <c r="S618" s="3" t="s">
        <v>1938</v>
      </c>
      <c r="T618" s="3" t="s">
        <v>1939</v>
      </c>
      <c r="U618" s="3" t="s">
        <v>22</v>
      </c>
      <c r="V618" s="5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>
      <c r="A619" s="3" t="s">
        <v>14</v>
      </c>
      <c r="B619" s="3" t="s">
        <v>1934</v>
      </c>
      <c r="C619" s="3" t="s">
        <v>1935</v>
      </c>
      <c r="D619" s="3" t="s">
        <v>1936</v>
      </c>
      <c r="E619" s="3" t="s">
        <v>1937</v>
      </c>
      <c r="F619" s="3" t="s">
        <v>1940</v>
      </c>
      <c r="G619" s="3" t="s">
        <v>1941</v>
      </c>
      <c r="H619" s="43">
        <f t="shared" ref="H619:I619" si="1239">LEN(D619)-LEN(B619)+1</f>
        <v>2</v>
      </c>
      <c r="I619" s="43">
        <f t="shared" si="1239"/>
        <v>3</v>
      </c>
      <c r="J619" s="4">
        <v>2.0</v>
      </c>
      <c r="K619" s="4">
        <v>2.0</v>
      </c>
      <c r="L619" s="5" t="str">
        <f t="shared" ref="L619:M619" si="1240">IFS(J619="-", "-", J619=H619, "Final", J619=1, "Initial", J619&gt;1, "Medial")</f>
        <v>Final</v>
      </c>
      <c r="M619" s="44" t="str">
        <f t="shared" si="1240"/>
        <v>Medial</v>
      </c>
      <c r="N619" s="5" t="str">
        <f t="shared" si="5"/>
        <v>ka</v>
      </c>
      <c r="O619" s="5" t="str">
        <f t="shared" si="6"/>
        <v>-</v>
      </c>
      <c r="P619" s="5" t="str">
        <f t="shared" si="7"/>
        <v>kɐ</v>
      </c>
      <c r="Q619" s="5" t="str">
        <f t="shared" si="8"/>
        <v>ɐ</v>
      </c>
      <c r="R619" s="3"/>
      <c r="S619" s="3" t="s">
        <v>1938</v>
      </c>
      <c r="T619" s="3" t="s">
        <v>1939</v>
      </c>
      <c r="U619" s="3" t="s">
        <v>22</v>
      </c>
      <c r="V619" s="5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>
      <c r="A620" s="3" t="s">
        <v>14</v>
      </c>
      <c r="B620" s="3" t="s">
        <v>1934</v>
      </c>
      <c r="C620" s="3" t="s">
        <v>1935</v>
      </c>
      <c r="D620" s="3" t="s">
        <v>1936</v>
      </c>
      <c r="E620" s="3" t="s">
        <v>1937</v>
      </c>
      <c r="F620" s="17" t="s">
        <v>36</v>
      </c>
      <c r="G620" s="3" t="s">
        <v>49</v>
      </c>
      <c r="H620" s="43">
        <f t="shared" ref="H620:I620" si="1241">LEN(D620)-LEN(B620)+1</f>
        <v>2</v>
      </c>
      <c r="I620" s="43">
        <f t="shared" si="1241"/>
        <v>3</v>
      </c>
      <c r="J620" s="4" t="s">
        <v>36</v>
      </c>
      <c r="K620" s="4">
        <v>3.0</v>
      </c>
      <c r="L620" s="5" t="str">
        <f t="shared" ref="L620:M620" si="1242">IFS(J620="-", "-", J620=H620, "Final", J620=1, "Initial", J620&gt;1, "Medial")</f>
        <v>-</v>
      </c>
      <c r="M620" s="44" t="str">
        <f t="shared" si="1242"/>
        <v>Final</v>
      </c>
      <c r="N620" s="5" t="str">
        <f t="shared" si="5"/>
        <v>ˈd̠ʒja</v>
      </c>
      <c r="O620" s="5" t="str">
        <f t="shared" si="6"/>
        <v>-</v>
      </c>
      <c r="P620" s="5" t="str">
        <f t="shared" si="7"/>
        <v>ˈdej</v>
      </c>
      <c r="Q620" s="5">
        <f t="shared" si="8"/>
        <v>3</v>
      </c>
      <c r="R620" s="3"/>
      <c r="S620" s="3" t="s">
        <v>1938</v>
      </c>
      <c r="T620" s="3" t="s">
        <v>1939</v>
      </c>
      <c r="U620" s="3" t="s">
        <v>22</v>
      </c>
      <c r="V620" s="5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>
      <c r="A621" s="3" t="s">
        <v>14</v>
      </c>
      <c r="B621" s="3" t="s">
        <v>1942</v>
      </c>
      <c r="C621" s="3" t="s">
        <v>1943</v>
      </c>
      <c r="D621" s="3" t="s">
        <v>1944</v>
      </c>
      <c r="E621" s="3" t="s">
        <v>1945</v>
      </c>
      <c r="F621" s="3" t="s">
        <v>131</v>
      </c>
      <c r="G621" s="3" t="s">
        <v>131</v>
      </c>
      <c r="H621" s="43">
        <f t="shared" ref="H621:I621" si="1243">LEN(D621)-LEN(B621)+1</f>
        <v>2</v>
      </c>
      <c r="I621" s="43">
        <f t="shared" si="1243"/>
        <v>2</v>
      </c>
      <c r="J621" s="4">
        <v>1.0</v>
      </c>
      <c r="K621" s="4">
        <v>1.0</v>
      </c>
      <c r="L621" s="5" t="str">
        <f t="shared" ref="L621:M621" si="1244">IFS(J621="-", "-", J621=H621, "Final", J621=1, "Initial", J621&gt;1, "Medial")</f>
        <v>Initial</v>
      </c>
      <c r="M621" s="44" t="str">
        <f t="shared" si="1244"/>
        <v>Initial</v>
      </c>
      <c r="N621" s="5" t="str">
        <f t="shared" si="5"/>
        <v>0</v>
      </c>
      <c r="O621" s="5" t="str">
        <f t="shared" si="6"/>
        <v>ʃi</v>
      </c>
      <c r="P621" s="5" t="str">
        <f t="shared" si="7"/>
        <v>0</v>
      </c>
      <c r="Q621" s="5" t="str">
        <f t="shared" si="8"/>
        <v>zɐ</v>
      </c>
      <c r="R621" s="3"/>
      <c r="S621" s="3" t="s">
        <v>1946</v>
      </c>
      <c r="T621" s="3" t="s">
        <v>1947</v>
      </c>
      <c r="U621" s="3" t="s">
        <v>22</v>
      </c>
      <c r="V621" s="5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>
      <c r="A622" s="3" t="s">
        <v>14</v>
      </c>
      <c r="B622" s="3" t="s">
        <v>1942</v>
      </c>
      <c r="C622" s="3" t="s">
        <v>1943</v>
      </c>
      <c r="D622" s="3" t="s">
        <v>1944</v>
      </c>
      <c r="E622" s="3" t="s">
        <v>1945</v>
      </c>
      <c r="F622" s="3" t="s">
        <v>848</v>
      </c>
      <c r="G622" s="3" t="s">
        <v>296</v>
      </c>
      <c r="H622" s="43">
        <f t="shared" ref="H622:I622" si="1245">LEN(D622)-LEN(B622)+1</f>
        <v>2</v>
      </c>
      <c r="I622" s="43">
        <f t="shared" si="1245"/>
        <v>2</v>
      </c>
      <c r="J622" s="4">
        <v>2.0</v>
      </c>
      <c r="K622" s="4">
        <v>2.0</v>
      </c>
      <c r="L622" s="5" t="str">
        <f t="shared" ref="L622:M622" si="1246">IFS(J622="-", "-", J622=H622, "Final", J622=1, "Initial", J622&gt;1, "Medial")</f>
        <v>Final</v>
      </c>
      <c r="M622" s="44" t="str">
        <f t="shared" si="1246"/>
        <v>Final</v>
      </c>
      <c r="N622" s="5" t="str">
        <f t="shared" si="5"/>
        <v>ˈka</v>
      </c>
      <c r="O622" s="5">
        <f t="shared" si="6"/>
        <v>2</v>
      </c>
      <c r="P622" s="5" t="str">
        <f t="shared" si="7"/>
        <v>ˈka</v>
      </c>
      <c r="Q622" s="5">
        <f t="shared" si="8"/>
        <v>2</v>
      </c>
      <c r="R622" s="3"/>
      <c r="S622" s="3" t="s">
        <v>1946</v>
      </c>
      <c r="T622" s="3" t="s">
        <v>1947</v>
      </c>
      <c r="U622" s="3" t="s">
        <v>22</v>
      </c>
      <c r="V622" s="5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>
      <c r="A623" s="15" t="s">
        <v>14</v>
      </c>
      <c r="B623" s="15" t="s">
        <v>1948</v>
      </c>
      <c r="C623" s="15" t="s">
        <v>1949</v>
      </c>
      <c r="D623" s="15" t="s">
        <v>1950</v>
      </c>
      <c r="E623" s="15" t="s">
        <v>1951</v>
      </c>
      <c r="F623" s="15"/>
      <c r="G623" s="15"/>
      <c r="H623" s="43">
        <f t="shared" ref="H623:I623" si="1247">LEN(D623)-LEN(B623)+1</f>
        <v>2</v>
      </c>
      <c r="I623" s="43">
        <f t="shared" si="1247"/>
        <v>3</v>
      </c>
      <c r="J623" s="18"/>
      <c r="K623" s="18"/>
      <c r="L623" s="5" t="str">
        <f t="shared" ref="L623:M623" si="1248">IFS(J623="-", "-", J623=H623, "Final", J623=1, "Initial", J623&gt;1, "Medial")</f>
        <v>#N/A</v>
      </c>
      <c r="M623" s="44" t="str">
        <f t="shared" si="1248"/>
        <v>#N/A</v>
      </c>
      <c r="N623" s="5" t="str">
        <f t="shared" si="5"/>
        <v>0</v>
      </c>
      <c r="O623" s="5" t="str">
        <f t="shared" si="6"/>
        <v/>
      </c>
      <c r="P623" s="5" t="str">
        <f t="shared" si="7"/>
        <v>0</v>
      </c>
      <c r="Q623" s="5" t="str">
        <f t="shared" si="8"/>
        <v/>
      </c>
      <c r="R623" s="15" t="s">
        <v>80</v>
      </c>
      <c r="S623" s="15" t="s">
        <v>1952</v>
      </c>
      <c r="T623" s="15" t="s">
        <v>1953</v>
      </c>
      <c r="U623" s="15" t="s">
        <v>22</v>
      </c>
      <c r="V623" s="15" t="s">
        <v>560</v>
      </c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</row>
    <row r="624">
      <c r="A624" s="3" t="s">
        <v>14</v>
      </c>
      <c r="B624" s="3" t="s">
        <v>1954</v>
      </c>
      <c r="C624" s="3" t="s">
        <v>1955</v>
      </c>
      <c r="D624" s="3" t="s">
        <v>1956</v>
      </c>
      <c r="E624" s="3" t="s">
        <v>1957</v>
      </c>
      <c r="F624" s="3" t="s">
        <v>425</v>
      </c>
      <c r="G624" s="3" t="s">
        <v>425</v>
      </c>
      <c r="H624" s="43">
        <f t="shared" ref="H624:I624" si="1249">LEN(D624)-LEN(B624)+1</f>
        <v>2</v>
      </c>
      <c r="I624" s="43">
        <f t="shared" si="1249"/>
        <v>3</v>
      </c>
      <c r="J624" s="4">
        <v>1.0</v>
      </c>
      <c r="K624" s="4">
        <v>1.0</v>
      </c>
      <c r="L624" s="5" t="str">
        <f t="shared" ref="L624:M624" si="1250">IFS(J624="-", "-", J624=H624, "Final", J624=1, "Initial", J624&gt;1, "Medial")</f>
        <v>Initial</v>
      </c>
      <c r="M624" s="44" t="str">
        <f t="shared" si="1250"/>
        <v>Initial</v>
      </c>
      <c r="N624" s="5" t="str">
        <f t="shared" si="5"/>
        <v>0</v>
      </c>
      <c r="O624" s="5" t="str">
        <f t="shared" si="6"/>
        <v>-</v>
      </c>
      <c r="P624" s="5" t="str">
        <f t="shared" si="7"/>
        <v>0</v>
      </c>
      <c r="Q624" s="5" t="str">
        <f t="shared" si="8"/>
        <v>ˈzi</v>
      </c>
      <c r="R624" s="3" t="s">
        <v>80</v>
      </c>
      <c r="S624" s="3" t="s">
        <v>1958</v>
      </c>
      <c r="T624" s="3" t="s">
        <v>1959</v>
      </c>
      <c r="U624" s="3" t="s">
        <v>22</v>
      </c>
      <c r="V624" s="5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>
      <c r="A625" s="3" t="s">
        <v>14</v>
      </c>
      <c r="B625" s="3" t="s">
        <v>1954</v>
      </c>
      <c r="C625" s="3" t="s">
        <v>1955</v>
      </c>
      <c r="D625" s="3" t="s">
        <v>1956</v>
      </c>
      <c r="E625" s="3" t="s">
        <v>1957</v>
      </c>
      <c r="F625" s="3" t="s">
        <v>36</v>
      </c>
      <c r="G625" s="3" t="s">
        <v>1897</v>
      </c>
      <c r="H625" s="43">
        <f t="shared" ref="H625:I625" si="1251">LEN(D625)-LEN(B625)+1</f>
        <v>2</v>
      </c>
      <c r="I625" s="43">
        <f t="shared" si="1251"/>
        <v>3</v>
      </c>
      <c r="J625" s="4" t="s">
        <v>36</v>
      </c>
      <c r="K625" s="4">
        <v>2.0</v>
      </c>
      <c r="L625" s="5" t="str">
        <f t="shared" ref="L625:M625" si="1252">IFS(J625="-", "-", J625=H625, "Final", J625=1, "Initial", J625&gt;1, "Medial")</f>
        <v>-</v>
      </c>
      <c r="M625" s="44" t="str">
        <f t="shared" si="1252"/>
        <v>Medial</v>
      </c>
      <c r="N625" s="5" t="str">
        <f t="shared" si="5"/>
        <v>ku</v>
      </c>
      <c r="O625" s="5" t="str">
        <f t="shared" si="6"/>
        <v>ˈʃɐ̃</v>
      </c>
      <c r="P625" s="5" t="str">
        <f t="shared" si="7"/>
        <v>ku</v>
      </c>
      <c r="Q625" s="5" t="str">
        <f t="shared" si="8"/>
        <v>ɲɐ</v>
      </c>
      <c r="R625" s="3"/>
      <c r="S625" s="3" t="s">
        <v>1958</v>
      </c>
      <c r="T625" s="3" t="s">
        <v>1959</v>
      </c>
      <c r="U625" s="3" t="s">
        <v>22</v>
      </c>
      <c r="V625" s="5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>
      <c r="A626" s="3" t="s">
        <v>14</v>
      </c>
      <c r="B626" s="3" t="s">
        <v>1954</v>
      </c>
      <c r="C626" s="3" t="s">
        <v>1955</v>
      </c>
      <c r="D626" s="3" t="s">
        <v>1956</v>
      </c>
      <c r="E626" s="3" t="s">
        <v>1957</v>
      </c>
      <c r="F626" s="3" t="s">
        <v>1960</v>
      </c>
      <c r="G626" s="3" t="s">
        <v>75</v>
      </c>
      <c r="H626" s="43">
        <f t="shared" ref="H626:I626" si="1253">LEN(D626)-LEN(B626)+1</f>
        <v>2</v>
      </c>
      <c r="I626" s="43">
        <f t="shared" si="1253"/>
        <v>3</v>
      </c>
      <c r="J626" s="4">
        <v>2.0</v>
      </c>
      <c r="K626" s="4">
        <v>3.0</v>
      </c>
      <c r="L626" s="5" t="str">
        <f t="shared" ref="L626:M626" si="1254">IFS(J626="-", "-", J626=H626, "Final", J626=1, "Initial", J626&gt;1, "Medial")</f>
        <v>Final</v>
      </c>
      <c r="M626" s="44" t="str">
        <f t="shared" si="1254"/>
        <v>Final</v>
      </c>
      <c r="N626" s="5" t="str">
        <f t="shared" si="5"/>
        <v>-</v>
      </c>
      <c r="O626" s="5">
        <f t="shared" si="6"/>
        <v>2</v>
      </c>
      <c r="P626" s="5" t="str">
        <f t="shared" si="7"/>
        <v>ˈzi</v>
      </c>
      <c r="Q626" s="5">
        <f t="shared" si="8"/>
        <v>3</v>
      </c>
      <c r="R626" s="3"/>
      <c r="S626" s="3" t="s">
        <v>1958</v>
      </c>
      <c r="T626" s="3" t="s">
        <v>1959</v>
      </c>
      <c r="U626" s="3" t="s">
        <v>22</v>
      </c>
      <c r="V626" s="5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>
      <c r="A627" s="3" t="s">
        <v>14</v>
      </c>
      <c r="B627" s="3" t="s">
        <v>1961</v>
      </c>
      <c r="C627" s="3" t="s">
        <v>1962</v>
      </c>
      <c r="D627" s="3" t="s">
        <v>1963</v>
      </c>
      <c r="E627" s="3" t="s">
        <v>1964</v>
      </c>
      <c r="F627" s="3" t="s">
        <v>128</v>
      </c>
      <c r="G627" s="3" t="s">
        <v>1965</v>
      </c>
      <c r="H627" s="43">
        <f t="shared" ref="H627:I627" si="1255">LEN(D627)-LEN(B627)+1</f>
        <v>3</v>
      </c>
      <c r="I627" s="43">
        <f t="shared" si="1255"/>
        <v>2</v>
      </c>
      <c r="J627" s="4">
        <v>1.0</v>
      </c>
      <c r="K627" s="4">
        <v>1.0</v>
      </c>
      <c r="L627" s="5" t="str">
        <f t="shared" ref="L627:M627" si="1256">IFS(J627="-", "-", J627=H627, "Final", J627=1, "Initial", J627&gt;1, "Medial")</f>
        <v>Initial</v>
      </c>
      <c r="M627" s="44" t="str">
        <f t="shared" si="1256"/>
        <v>Initial</v>
      </c>
      <c r="N627" s="5" t="str">
        <f t="shared" si="5"/>
        <v>0</v>
      </c>
      <c r="O627" s="5" t="str">
        <f t="shared" si="6"/>
        <v>ˈkwa</v>
      </c>
      <c r="P627" s="5" t="str">
        <f t="shared" si="7"/>
        <v>0</v>
      </c>
      <c r="Q627" s="5" t="str">
        <f t="shared" si="8"/>
        <v>-</v>
      </c>
      <c r="R627" s="3"/>
      <c r="S627" s="3" t="s">
        <v>1966</v>
      </c>
      <c r="T627" s="3" t="s">
        <v>1967</v>
      </c>
      <c r="U627" s="3" t="s">
        <v>22</v>
      </c>
      <c r="V627" s="5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>
      <c r="A628" s="3" t="s">
        <v>14</v>
      </c>
      <c r="B628" s="3" t="s">
        <v>1961</v>
      </c>
      <c r="C628" s="3" t="s">
        <v>1962</v>
      </c>
      <c r="D628" s="3" t="s">
        <v>1963</v>
      </c>
      <c r="E628" s="3" t="s">
        <v>1964</v>
      </c>
      <c r="F628" s="3" t="s">
        <v>1968</v>
      </c>
      <c r="G628" s="3" t="s">
        <v>36</v>
      </c>
      <c r="H628" s="43">
        <f t="shared" ref="H628:I628" si="1257">LEN(D628)-LEN(B628)+1</f>
        <v>3</v>
      </c>
      <c r="I628" s="43">
        <f t="shared" si="1257"/>
        <v>2</v>
      </c>
      <c r="J628" s="4">
        <v>2.0</v>
      </c>
      <c r="K628" s="4" t="s">
        <v>36</v>
      </c>
      <c r="L628" s="5" t="str">
        <f t="shared" ref="L628:M628" si="1258">IFS(J628="-", "-", J628=H628, "Final", J628=1, "Initial", J628&gt;1, "Medial")</f>
        <v>Medial</v>
      </c>
      <c r="M628" s="44" t="str">
        <f t="shared" si="1258"/>
        <v>-</v>
      </c>
      <c r="N628" s="5" t="str">
        <f t="shared" si="5"/>
        <v>u</v>
      </c>
      <c r="O628" s="5" t="str">
        <f t="shared" si="6"/>
        <v>tu</v>
      </c>
      <c r="P628" s="5" t="str">
        <f t="shared" si="7"/>
        <v>ˈkwaɾ</v>
      </c>
      <c r="Q628" s="5" t="str">
        <f t="shared" si="8"/>
        <v>tu</v>
      </c>
      <c r="R628" s="3"/>
      <c r="S628" s="3" t="s">
        <v>1966</v>
      </c>
      <c r="T628" s="3" t="s">
        <v>1967</v>
      </c>
      <c r="U628" s="3" t="s">
        <v>22</v>
      </c>
      <c r="V628" s="5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>
      <c r="A629" s="3" t="s">
        <v>14</v>
      </c>
      <c r="B629" s="3" t="s">
        <v>1961</v>
      </c>
      <c r="C629" s="3" t="s">
        <v>1962</v>
      </c>
      <c r="D629" s="3" t="s">
        <v>1963</v>
      </c>
      <c r="E629" s="3" t="s">
        <v>1964</v>
      </c>
      <c r="F629" s="3" t="s">
        <v>784</v>
      </c>
      <c r="G629" s="3" t="s">
        <v>784</v>
      </c>
      <c r="H629" s="43">
        <f t="shared" ref="H629:I629" si="1259">LEN(D629)-LEN(B629)+1</f>
        <v>3</v>
      </c>
      <c r="I629" s="43">
        <f t="shared" si="1259"/>
        <v>2</v>
      </c>
      <c r="J629" s="4">
        <v>3.0</v>
      </c>
      <c r="K629" s="4">
        <v>2.0</v>
      </c>
      <c r="L629" s="5" t="str">
        <f t="shared" ref="L629:M629" si="1260">IFS(J629="-", "-", J629=H629, "Final", J629=1, "Initial", J629&gt;1, "Medial")</f>
        <v>Final</v>
      </c>
      <c r="M629" s="44" t="str">
        <f t="shared" si="1260"/>
        <v>Final</v>
      </c>
      <c r="N629" s="5" t="str">
        <f t="shared" si="5"/>
        <v>ˈkwa</v>
      </c>
      <c r="O629" s="5">
        <f t="shared" si="6"/>
        <v>3</v>
      </c>
      <c r="P629" s="5" t="str">
        <f t="shared" si="7"/>
        <v>-</v>
      </c>
      <c r="Q629" s="5">
        <f t="shared" si="8"/>
        <v>2</v>
      </c>
      <c r="R629" s="3"/>
      <c r="S629" s="3" t="s">
        <v>1966</v>
      </c>
      <c r="T629" s="3" t="s">
        <v>1967</v>
      </c>
      <c r="U629" s="3" t="s">
        <v>22</v>
      </c>
      <c r="V629" s="5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>
      <c r="A630" s="15" t="s">
        <v>14</v>
      </c>
      <c r="B630" s="15" t="s">
        <v>1969</v>
      </c>
      <c r="C630" s="15" t="s">
        <v>1970</v>
      </c>
      <c r="D630" s="15" t="s">
        <v>1971</v>
      </c>
      <c r="E630" s="15" t="s">
        <v>1972</v>
      </c>
      <c r="F630" s="15" t="s">
        <v>546</v>
      </c>
      <c r="G630" s="15" t="s">
        <v>1973</v>
      </c>
      <c r="H630" s="43">
        <f t="shared" ref="H630:I630" si="1261">LEN(D630)-LEN(B630)+1</f>
        <v>2</v>
      </c>
      <c r="I630" s="43">
        <f t="shared" si="1261"/>
        <v>2</v>
      </c>
      <c r="J630" s="18">
        <v>1.0</v>
      </c>
      <c r="K630" s="18">
        <v>1.0</v>
      </c>
      <c r="L630" s="5" t="str">
        <f t="shared" ref="L630:M630" si="1262">IFS(J630="-", "-", J630=H630, "Final", J630=1, "Initial", J630&gt;1, "Medial")</f>
        <v>Initial</v>
      </c>
      <c r="M630" s="44" t="str">
        <f t="shared" si="1262"/>
        <v>Initial</v>
      </c>
      <c r="N630" s="5" t="str">
        <f t="shared" si="5"/>
        <v>0</v>
      </c>
      <c r="O630" s="5" t="str">
        <f t="shared" si="6"/>
        <v>gɐ</v>
      </c>
      <c r="P630" s="5" t="str">
        <f t="shared" si="7"/>
        <v>0</v>
      </c>
      <c r="Q630" s="5" t="str">
        <f t="shared" si="8"/>
        <v>ɐ</v>
      </c>
      <c r="R630" s="15" t="s">
        <v>80</v>
      </c>
      <c r="S630" s="15" t="s">
        <v>1974</v>
      </c>
      <c r="T630" s="15" t="s">
        <v>1975</v>
      </c>
      <c r="U630" s="15" t="s">
        <v>22</v>
      </c>
      <c r="V630" s="20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</row>
    <row r="631">
      <c r="A631" s="15" t="s">
        <v>14</v>
      </c>
      <c r="B631" s="15" t="s">
        <v>1969</v>
      </c>
      <c r="C631" s="15" t="s">
        <v>1970</v>
      </c>
      <c r="D631" s="15" t="s">
        <v>1971</v>
      </c>
      <c r="E631" s="15" t="s">
        <v>1972</v>
      </c>
      <c r="F631" s="15" t="s">
        <v>190</v>
      </c>
      <c r="G631" s="15" t="s">
        <v>49</v>
      </c>
      <c r="H631" s="43">
        <f t="shared" ref="H631:I631" si="1263">LEN(D631)-LEN(B631)+1</f>
        <v>2</v>
      </c>
      <c r="I631" s="43">
        <f t="shared" si="1263"/>
        <v>2</v>
      </c>
      <c r="J631" s="18">
        <v>2.0</v>
      </c>
      <c r="K631" s="18">
        <v>2.0</v>
      </c>
      <c r="L631" s="5" t="str">
        <f t="shared" ref="L631:M631" si="1264">IFS(J631="-", "-", J631=H631, "Final", J631=1, "Initial", J631&gt;1, "Medial")</f>
        <v>Final</v>
      </c>
      <c r="M631" s="44" t="str">
        <f t="shared" si="1264"/>
        <v>Final</v>
      </c>
      <c r="N631" s="5" t="str">
        <f t="shared" si="5"/>
        <v>ˈu</v>
      </c>
      <c r="O631" s="5">
        <f t="shared" si="6"/>
        <v>2</v>
      </c>
      <c r="P631" s="5" t="str">
        <f t="shared" si="7"/>
        <v>ˈʀu</v>
      </c>
      <c r="Q631" s="5">
        <f t="shared" si="8"/>
        <v>2</v>
      </c>
      <c r="R631" s="15"/>
      <c r="S631" s="15" t="s">
        <v>1974</v>
      </c>
      <c r="T631" s="15" t="s">
        <v>1975</v>
      </c>
      <c r="U631" s="15" t="s">
        <v>22</v>
      </c>
      <c r="V631" s="20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</row>
    <row r="632">
      <c r="A632" s="3" t="s">
        <v>14</v>
      </c>
      <c r="B632" s="3" t="s">
        <v>1976</v>
      </c>
      <c r="C632" s="3" t="s">
        <v>1977</v>
      </c>
      <c r="D632" s="3" t="s">
        <v>1978</v>
      </c>
      <c r="E632" s="3" t="s">
        <v>1979</v>
      </c>
      <c r="F632" s="3" t="s">
        <v>549</v>
      </c>
      <c r="G632" s="3" t="s">
        <v>549</v>
      </c>
      <c r="H632" s="43">
        <f t="shared" ref="H632:I632" si="1265">LEN(D632)-LEN(B632)+1</f>
        <v>2</v>
      </c>
      <c r="I632" s="43">
        <f t="shared" si="1265"/>
        <v>2</v>
      </c>
      <c r="J632" s="4">
        <v>1.0</v>
      </c>
      <c r="K632" s="4">
        <v>1.0</v>
      </c>
      <c r="L632" s="5" t="str">
        <f t="shared" ref="L632:M632" si="1266">IFS(J632="-", "-", J632=H632, "Final", J632=1, "Initial", J632&gt;1, "Medial")</f>
        <v>Initial</v>
      </c>
      <c r="M632" s="44" t="str">
        <f t="shared" si="1266"/>
        <v>Initial</v>
      </c>
      <c r="N632" s="5" t="str">
        <f t="shared" si="5"/>
        <v>0</v>
      </c>
      <c r="O632" s="5" t="str">
        <f t="shared" si="6"/>
        <v>ro</v>
      </c>
      <c r="P632" s="5" t="str">
        <f t="shared" si="7"/>
        <v>0</v>
      </c>
      <c r="Q632" s="5" t="str">
        <f t="shared" si="8"/>
        <v>ɾu</v>
      </c>
      <c r="R632" s="3"/>
      <c r="S632" s="3" t="s">
        <v>1980</v>
      </c>
      <c r="T632" s="3" t="s">
        <v>1981</v>
      </c>
      <c r="U632" s="3" t="s">
        <v>22</v>
      </c>
      <c r="V632" s="5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>
      <c r="A633" s="3" t="s">
        <v>14</v>
      </c>
      <c r="B633" s="3" t="s">
        <v>1976</v>
      </c>
      <c r="C633" s="3" t="s">
        <v>1977</v>
      </c>
      <c r="D633" s="3" t="s">
        <v>1978</v>
      </c>
      <c r="E633" s="3" t="s">
        <v>1979</v>
      </c>
      <c r="F633" s="3" t="s">
        <v>1982</v>
      </c>
      <c r="G633" s="3" t="s">
        <v>1983</v>
      </c>
      <c r="H633" s="43">
        <f t="shared" ref="H633:I633" si="1267">LEN(D633)-LEN(B633)+1</f>
        <v>2</v>
      </c>
      <c r="I633" s="43">
        <f t="shared" si="1267"/>
        <v>2</v>
      </c>
      <c r="J633" s="4">
        <v>2.0</v>
      </c>
      <c r="K633" s="4">
        <v>2.0</v>
      </c>
      <c r="L633" s="5" t="str">
        <f t="shared" ref="L633:M633" si="1268">IFS(J633="-", "-", J633=H633, "Final", J633=1, "Initial", J633&gt;1, "Medial")</f>
        <v>Final</v>
      </c>
      <c r="M633" s="44" t="str">
        <f t="shared" si="1268"/>
        <v>Final</v>
      </c>
      <c r="N633" s="5" t="str">
        <f t="shared" si="5"/>
        <v>ˈmu</v>
      </c>
      <c r="O633" s="5">
        <f t="shared" si="6"/>
        <v>2</v>
      </c>
      <c r="P633" s="5" t="str">
        <f t="shared" si="7"/>
        <v>ˈmu</v>
      </c>
      <c r="Q633" s="5">
        <f t="shared" si="8"/>
        <v>2</v>
      </c>
      <c r="R633" s="3"/>
      <c r="S633" s="3" t="s">
        <v>1980</v>
      </c>
      <c r="T633" s="3" t="s">
        <v>1981</v>
      </c>
      <c r="U633" s="3" t="s">
        <v>22</v>
      </c>
      <c r="V633" s="5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>
      <c r="A634" s="3" t="s">
        <v>14</v>
      </c>
      <c r="B634" s="3" t="s">
        <v>1984</v>
      </c>
      <c r="C634" s="3" t="s">
        <v>1985</v>
      </c>
      <c r="D634" s="3" t="s">
        <v>1986</v>
      </c>
      <c r="E634" s="3" t="s">
        <v>1987</v>
      </c>
      <c r="F634" s="3" t="s">
        <v>976</v>
      </c>
      <c r="G634" s="3" t="s">
        <v>977</v>
      </c>
      <c r="H634" s="43">
        <f t="shared" ref="H634:I634" si="1269">LEN(D634)-LEN(B634)+1</f>
        <v>2</v>
      </c>
      <c r="I634" s="43">
        <f t="shared" si="1269"/>
        <v>2</v>
      </c>
      <c r="J634" s="4">
        <v>1.0</v>
      </c>
      <c r="K634" s="4">
        <v>1.0</v>
      </c>
      <c r="L634" s="5" t="str">
        <f t="shared" ref="L634:M634" si="1270">IFS(J634="-", "-", J634=H634, "Final", J634=1, "Initial", J634&gt;1, "Medial")</f>
        <v>Initial</v>
      </c>
      <c r="M634" s="44" t="str">
        <f t="shared" si="1270"/>
        <v>Initial</v>
      </c>
      <c r="N634" s="5" t="str">
        <f t="shared" si="5"/>
        <v>0</v>
      </c>
      <c r="O634" s="5" t="str">
        <f t="shared" si="6"/>
        <v>sɐ</v>
      </c>
      <c r="P634" s="5" t="str">
        <f t="shared" si="7"/>
        <v>0</v>
      </c>
      <c r="Q634" s="5" t="str">
        <f t="shared" si="8"/>
        <v>sɐ</v>
      </c>
      <c r="R634" s="3"/>
      <c r="S634" s="3" t="s">
        <v>1988</v>
      </c>
      <c r="T634" s="3" t="s">
        <v>1989</v>
      </c>
      <c r="U634" s="3" t="s">
        <v>22</v>
      </c>
      <c r="V634" s="5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>
      <c r="A635" s="3" t="s">
        <v>14</v>
      </c>
      <c r="B635" s="3" t="s">
        <v>1984</v>
      </c>
      <c r="C635" s="3" t="s">
        <v>1985</v>
      </c>
      <c r="D635" s="3" t="s">
        <v>1986</v>
      </c>
      <c r="E635" s="3" t="s">
        <v>1987</v>
      </c>
      <c r="F635" s="3" t="s">
        <v>402</v>
      </c>
      <c r="G635" s="3" t="s">
        <v>402</v>
      </c>
      <c r="H635" s="43">
        <f t="shared" ref="H635:I635" si="1271">LEN(D635)-LEN(B635)+1</f>
        <v>2</v>
      </c>
      <c r="I635" s="43">
        <f t="shared" si="1271"/>
        <v>2</v>
      </c>
      <c r="J635" s="4">
        <v>2.0</v>
      </c>
      <c r="K635" s="4">
        <v>2.0</v>
      </c>
      <c r="L635" s="5" t="str">
        <f t="shared" ref="L635:M635" si="1272">IFS(J635="-", "-", J635=H635, "Final", J635=1, "Initial", J635&gt;1, "Medial")</f>
        <v>Final</v>
      </c>
      <c r="M635" s="44" t="str">
        <f t="shared" si="1272"/>
        <v>Final</v>
      </c>
      <c r="N635" s="5" t="str">
        <f t="shared" si="5"/>
        <v>ˈpa:</v>
      </c>
      <c r="O635" s="5">
        <f t="shared" si="6"/>
        <v>2</v>
      </c>
      <c r="P635" s="5" t="str">
        <f t="shared" si="7"/>
        <v>ˈpɾa</v>
      </c>
      <c r="Q635" s="5">
        <f t="shared" si="8"/>
        <v>2</v>
      </c>
      <c r="R635" s="3"/>
      <c r="S635" s="3" t="s">
        <v>1988</v>
      </c>
      <c r="T635" s="3" t="s">
        <v>1989</v>
      </c>
      <c r="U635" s="3" t="s">
        <v>22</v>
      </c>
      <c r="V635" s="5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>
      <c r="A636" s="3" t="s">
        <v>14</v>
      </c>
      <c r="B636" s="3" t="s">
        <v>1990</v>
      </c>
      <c r="C636" s="3" t="s">
        <v>1991</v>
      </c>
      <c r="D636" s="3" t="s">
        <v>1992</v>
      </c>
      <c r="E636" s="3" t="s">
        <v>1993</v>
      </c>
      <c r="F636" s="3" t="s">
        <v>1994</v>
      </c>
      <c r="G636" s="3" t="s">
        <v>437</v>
      </c>
      <c r="H636" s="43">
        <f t="shared" ref="H636:I636" si="1273">LEN(D636)-LEN(B636)+1</f>
        <v>2</v>
      </c>
      <c r="I636" s="43">
        <f t="shared" si="1273"/>
        <v>4</v>
      </c>
      <c r="J636" s="4">
        <v>1.0</v>
      </c>
      <c r="K636" s="4">
        <v>1.0</v>
      </c>
      <c r="L636" s="5" t="str">
        <f t="shared" ref="L636:M636" si="1274">IFS(J636="-", "-", J636=H636, "Final", J636=1, "Initial", J636&gt;1, "Medial")</f>
        <v>Initial</v>
      </c>
      <c r="M636" s="44" t="str">
        <f t="shared" si="1274"/>
        <v>Initial</v>
      </c>
      <c r="N636" s="5" t="str">
        <f t="shared" si="5"/>
        <v>0</v>
      </c>
      <c r="O636" s="5" t="str">
        <f t="shared" si="6"/>
        <v>-</v>
      </c>
      <c r="P636" s="5" t="str">
        <f t="shared" si="7"/>
        <v>0</v>
      </c>
      <c r="Q636" s="5" t="str">
        <f t="shared" si="8"/>
        <v>vu</v>
      </c>
      <c r="R636" s="3" t="s">
        <v>80</v>
      </c>
      <c r="S636" s="3" t="s">
        <v>1995</v>
      </c>
      <c r="T636" s="3" t="s">
        <v>1996</v>
      </c>
      <c r="U636" s="3" t="s">
        <v>22</v>
      </c>
      <c r="V636" s="5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>
      <c r="A637" s="3" t="s">
        <v>14</v>
      </c>
      <c r="B637" s="3" t="s">
        <v>1990</v>
      </c>
      <c r="C637" s="3" t="s">
        <v>1991</v>
      </c>
      <c r="D637" s="3" t="s">
        <v>1992</v>
      </c>
      <c r="E637" s="3" t="s">
        <v>1993</v>
      </c>
      <c r="F637" s="3" t="s">
        <v>36</v>
      </c>
      <c r="G637" s="3" t="s">
        <v>222</v>
      </c>
      <c r="H637" s="43">
        <f t="shared" ref="H637:I637" si="1275">LEN(D637)-LEN(B637)+1</f>
        <v>2</v>
      </c>
      <c r="I637" s="43">
        <f t="shared" si="1275"/>
        <v>4</v>
      </c>
      <c r="J637" s="4" t="s">
        <v>36</v>
      </c>
      <c r="K637" s="4">
        <v>2.0</v>
      </c>
      <c r="L637" s="5" t="str">
        <f t="shared" ref="L637:M637" si="1276">IFS(J637="-", "-", J637=H637, "Final", J637=1, "Initial", J637&gt;1, "Medial")</f>
        <v>-</v>
      </c>
      <c r="M637" s="44" t="str">
        <f t="shared" si="1276"/>
        <v>Medial</v>
      </c>
      <c r="N637" s="5" t="str">
        <f t="shared" si="5"/>
        <v>pɔ</v>
      </c>
      <c r="O637" s="5" t="str">
        <f t="shared" si="6"/>
        <v>-</v>
      </c>
      <c r="P637" s="5" t="str">
        <f t="shared" si="7"/>
        <v>pu</v>
      </c>
      <c r="Q637" s="5" t="str">
        <f t="shared" si="8"/>
        <v>ɐ</v>
      </c>
      <c r="R637" s="3"/>
      <c r="S637" s="3" t="s">
        <v>1995</v>
      </c>
      <c r="T637" s="3" t="s">
        <v>1996</v>
      </c>
      <c r="U637" s="3" t="s">
        <v>22</v>
      </c>
      <c r="V637" s="5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>
      <c r="A638" s="3" t="s">
        <v>14</v>
      </c>
      <c r="B638" s="3" t="s">
        <v>1990</v>
      </c>
      <c r="C638" s="3" t="s">
        <v>1991</v>
      </c>
      <c r="D638" s="3" t="s">
        <v>1992</v>
      </c>
      <c r="E638" s="3" t="s">
        <v>1993</v>
      </c>
      <c r="F638" s="3" t="s">
        <v>36</v>
      </c>
      <c r="G638" s="3" t="s">
        <v>49</v>
      </c>
      <c r="H638" s="43">
        <f t="shared" ref="H638:I638" si="1277">LEN(D638)-LEN(B638)+1</f>
        <v>2</v>
      </c>
      <c r="I638" s="43">
        <f t="shared" si="1277"/>
        <v>4</v>
      </c>
      <c r="J638" s="4" t="s">
        <v>36</v>
      </c>
      <c r="K638" s="4">
        <v>3.0</v>
      </c>
      <c r="L638" s="5" t="str">
        <f t="shared" ref="L638:M638" si="1278">IFS(J638="-", "-", J638=H638, "Final", J638=1, "Initial", J638&gt;1, "Medial")</f>
        <v>-</v>
      </c>
      <c r="M638" s="44" t="str">
        <f t="shared" si="1278"/>
        <v>Medial</v>
      </c>
      <c r="N638" s="5" t="str">
        <f t="shared" si="5"/>
        <v>-</v>
      </c>
      <c r="O638" s="5" t="str">
        <f t="shared" si="6"/>
        <v>ˈsɐ̃</v>
      </c>
      <c r="P638" s="5" t="str">
        <f t="shared" si="7"/>
        <v>vu</v>
      </c>
      <c r="Q638" s="5" t="str">
        <f t="shared" si="8"/>
        <v>ˈsɐ̃w̃</v>
      </c>
      <c r="R638" s="3"/>
      <c r="S638" s="3" t="s">
        <v>1995</v>
      </c>
      <c r="T638" s="3" t="s">
        <v>1996</v>
      </c>
      <c r="U638" s="3" t="s">
        <v>22</v>
      </c>
      <c r="V638" s="5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>
      <c r="A639" s="3" t="s">
        <v>14</v>
      </c>
      <c r="B639" s="3" t="s">
        <v>1990</v>
      </c>
      <c r="C639" s="3" t="s">
        <v>1991</v>
      </c>
      <c r="D639" s="3" t="s">
        <v>1992</v>
      </c>
      <c r="E639" s="3" t="s">
        <v>1993</v>
      </c>
      <c r="F639" s="3" t="s">
        <v>181</v>
      </c>
      <c r="G639" s="3" t="s">
        <v>428</v>
      </c>
      <c r="H639" s="43">
        <f t="shared" ref="H639:I639" si="1279">LEN(D639)-LEN(B639)+1</f>
        <v>2</v>
      </c>
      <c r="I639" s="43">
        <f t="shared" si="1279"/>
        <v>4</v>
      </c>
      <c r="J639" s="4">
        <v>2.0</v>
      </c>
      <c r="K639" s="4">
        <v>4.0</v>
      </c>
      <c r="L639" s="5" t="str">
        <f t="shared" ref="L639:M639" si="1280">IFS(J639="-", "-", J639=H639, "Final", J639=1, "Initial", J639&gt;1, "Medial")</f>
        <v>Final</v>
      </c>
      <c r="M639" s="44" t="str">
        <f t="shared" si="1280"/>
        <v>Final</v>
      </c>
      <c r="N639" s="5" t="str">
        <f t="shared" si="5"/>
        <v>-</v>
      </c>
      <c r="O639" s="5">
        <f t="shared" si="6"/>
        <v>2</v>
      </c>
      <c r="P639" s="5" t="str">
        <f t="shared" si="7"/>
        <v>ɐ</v>
      </c>
      <c r="Q639" s="5">
        <f t="shared" si="8"/>
        <v>4</v>
      </c>
      <c r="R639" s="3"/>
      <c r="S639" s="3" t="s">
        <v>1995</v>
      </c>
      <c r="T639" s="3" t="s">
        <v>1996</v>
      </c>
      <c r="U639" s="3" t="s">
        <v>22</v>
      </c>
      <c r="V639" s="5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>
      <c r="A640" s="3" t="s">
        <v>14</v>
      </c>
      <c r="B640" s="3" t="s">
        <v>1997</v>
      </c>
      <c r="C640" s="3" t="s">
        <v>1998</v>
      </c>
      <c r="D640" s="3" t="s">
        <v>1999</v>
      </c>
      <c r="E640" s="3" t="s">
        <v>2000</v>
      </c>
      <c r="F640" s="3" t="s">
        <v>1994</v>
      </c>
      <c r="G640" s="3" t="s">
        <v>1599</v>
      </c>
      <c r="H640" s="43">
        <f t="shared" ref="H640:I640" si="1281">LEN(D640)-LEN(B640)+1</f>
        <v>2</v>
      </c>
      <c r="I640" s="43">
        <f t="shared" si="1281"/>
        <v>2</v>
      </c>
      <c r="J640" s="4">
        <v>1.0</v>
      </c>
      <c r="K640" s="4">
        <v>1.0</v>
      </c>
      <c r="L640" s="5" t="str">
        <f t="shared" ref="L640:M640" si="1282">IFS(J640="-", "-", J640=H640, "Final", J640=1, "Initial", J640&gt;1, "Medial")</f>
        <v>Initial</v>
      </c>
      <c r="M640" s="44" t="str">
        <f t="shared" si="1282"/>
        <v>Initial</v>
      </c>
      <c r="N640" s="5" t="str">
        <f t="shared" si="5"/>
        <v>0</v>
      </c>
      <c r="O640" s="5" t="str">
        <f t="shared" si="6"/>
        <v>ˈtɐ̃</v>
      </c>
      <c r="P640" s="5" t="str">
        <f t="shared" si="7"/>
        <v>0</v>
      </c>
      <c r="Q640" s="5" t="str">
        <f t="shared" si="8"/>
        <v>ˈtɐ̃w̃</v>
      </c>
      <c r="R640" s="3"/>
      <c r="S640" s="3" t="s">
        <v>2001</v>
      </c>
      <c r="T640" s="3" t="s">
        <v>2002</v>
      </c>
      <c r="U640" s="3" t="s">
        <v>22</v>
      </c>
      <c r="V640" s="5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>
      <c r="A641" s="3" t="s">
        <v>14</v>
      </c>
      <c r="B641" s="3" t="s">
        <v>1997</v>
      </c>
      <c r="C641" s="3" t="s">
        <v>1998</v>
      </c>
      <c r="D641" s="3" t="s">
        <v>1999</v>
      </c>
      <c r="E641" s="3" t="s">
        <v>2000</v>
      </c>
      <c r="F641" s="3" t="s">
        <v>2003</v>
      </c>
      <c r="G641" s="3" t="s">
        <v>2004</v>
      </c>
      <c r="H641" s="43">
        <f t="shared" ref="H641:I641" si="1283">LEN(D641)-LEN(B641)+1</f>
        <v>2</v>
      </c>
      <c r="I641" s="43">
        <f t="shared" si="1283"/>
        <v>2</v>
      </c>
      <c r="J641" s="4">
        <v>2.0</v>
      </c>
      <c r="K641" s="4">
        <v>2.0</v>
      </c>
      <c r="L641" s="5" t="str">
        <f t="shared" ref="L641:M641" si="1284">IFS(J641="-", "-", J641=H641, "Final", J641=1, "Initial", J641&gt;1, "Medial")</f>
        <v>Final</v>
      </c>
      <c r="M641" s="44" t="str">
        <f t="shared" si="1284"/>
        <v>Final</v>
      </c>
      <c r="N641" s="5" t="str">
        <f t="shared" si="5"/>
        <v>pɔ</v>
      </c>
      <c r="O641" s="5">
        <f t="shared" si="6"/>
        <v>2</v>
      </c>
      <c r="P641" s="5" t="str">
        <f t="shared" si="7"/>
        <v>puɾ</v>
      </c>
      <c r="Q641" s="5">
        <f t="shared" si="8"/>
        <v>2</v>
      </c>
      <c r="R641" s="3"/>
      <c r="S641" s="3" t="s">
        <v>2001</v>
      </c>
      <c r="T641" s="3" t="s">
        <v>2002</v>
      </c>
      <c r="U641" s="3" t="s">
        <v>22</v>
      </c>
      <c r="V641" s="5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>
      <c r="A642" s="3" t="s">
        <v>14</v>
      </c>
      <c r="B642" s="3" t="s">
        <v>2005</v>
      </c>
      <c r="C642" s="3" t="s">
        <v>2005</v>
      </c>
      <c r="D642" s="3" t="s">
        <v>2006</v>
      </c>
      <c r="E642" s="3" t="s">
        <v>2006</v>
      </c>
      <c r="F642" s="3" t="s">
        <v>1032</v>
      </c>
      <c r="G642" s="3" t="s">
        <v>1032</v>
      </c>
      <c r="H642" s="43">
        <f t="shared" ref="H642:I642" si="1285">LEN(D642)-LEN(B642)+1</f>
        <v>2</v>
      </c>
      <c r="I642" s="43">
        <f t="shared" si="1285"/>
        <v>2</v>
      </c>
      <c r="J642" s="4">
        <v>1.0</v>
      </c>
      <c r="K642" s="4">
        <v>1.0</v>
      </c>
      <c r="L642" s="5" t="str">
        <f t="shared" ref="L642:M642" si="1286">IFS(J642="-", "-", J642=H642, "Final", J642=1, "Initial", J642&gt;1, "Medial")</f>
        <v>Initial</v>
      </c>
      <c r="M642" s="44" t="str">
        <f t="shared" si="1286"/>
        <v>Initial</v>
      </c>
      <c r="N642" s="5" t="str">
        <f t="shared" si="5"/>
        <v>0</v>
      </c>
      <c r="O642" s="5" t="str">
        <f t="shared" si="6"/>
        <v>lɐ</v>
      </c>
      <c r="P642" s="5" t="str">
        <f t="shared" si="7"/>
        <v>0</v>
      </c>
      <c r="Q642" s="5" t="str">
        <f t="shared" si="8"/>
        <v>lɐ</v>
      </c>
      <c r="R642" s="3"/>
      <c r="S642" s="3" t="s">
        <v>2007</v>
      </c>
      <c r="T642" s="3" t="s">
        <v>2008</v>
      </c>
      <c r="U642" s="3" t="s">
        <v>22</v>
      </c>
      <c r="V642" s="5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>
      <c r="A643" s="3" t="s">
        <v>14</v>
      </c>
      <c r="B643" s="3" t="s">
        <v>2005</v>
      </c>
      <c r="C643" s="3" t="s">
        <v>2005</v>
      </c>
      <c r="D643" s="3" t="s">
        <v>2006</v>
      </c>
      <c r="E643" s="3" t="s">
        <v>2006</v>
      </c>
      <c r="F643" s="3" t="s">
        <v>1426</v>
      </c>
      <c r="G643" s="3" t="s">
        <v>1426</v>
      </c>
      <c r="H643" s="43">
        <f t="shared" ref="H643:I643" si="1287">LEN(D643)-LEN(B643)+1</f>
        <v>2</v>
      </c>
      <c r="I643" s="43">
        <f t="shared" si="1287"/>
        <v>2</v>
      </c>
      <c r="J643" s="4">
        <v>2.0</v>
      </c>
      <c r="K643" s="4">
        <v>2.0</v>
      </c>
      <c r="L643" s="5" t="str">
        <f t="shared" ref="L643:M643" si="1288">IFS(J643="-", "-", J643=H643, "Final", J643=1, "Initial", J643&gt;1, "Medial")</f>
        <v>Final</v>
      </c>
      <c r="M643" s="44" t="str">
        <f t="shared" si="1288"/>
        <v>Final</v>
      </c>
      <c r="N643" s="5" t="str">
        <f t="shared" si="5"/>
        <v>ˈsa</v>
      </c>
      <c r="O643" s="5">
        <f t="shared" si="6"/>
        <v>2</v>
      </c>
      <c r="P643" s="5" t="str">
        <f t="shared" si="7"/>
        <v>ˈsa</v>
      </c>
      <c r="Q643" s="5">
        <f t="shared" si="8"/>
        <v>2</v>
      </c>
      <c r="R643" s="3"/>
      <c r="S643" s="3" t="s">
        <v>2007</v>
      </c>
      <c r="T643" s="3" t="s">
        <v>2008</v>
      </c>
      <c r="U643" s="3" t="s">
        <v>22</v>
      </c>
      <c r="V643" s="5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>
      <c r="A644" s="3" t="s">
        <v>14</v>
      </c>
      <c r="B644" s="3" t="s">
        <v>2009</v>
      </c>
      <c r="C644" s="3" t="s">
        <v>2010</v>
      </c>
      <c r="D644" s="3" t="s">
        <v>2011</v>
      </c>
      <c r="E644" s="3" t="s">
        <v>2012</v>
      </c>
      <c r="F644" s="3" t="s">
        <v>2013</v>
      </c>
      <c r="G644" s="3" t="s">
        <v>1703</v>
      </c>
      <c r="H644" s="43">
        <f t="shared" ref="H644:I644" si="1289">LEN(D644)-LEN(B644)+1</f>
        <v>3</v>
      </c>
      <c r="I644" s="43">
        <f t="shared" si="1289"/>
        <v>3</v>
      </c>
      <c r="J644" s="4">
        <v>1.0</v>
      </c>
      <c r="K644" s="4">
        <v>1.0</v>
      </c>
      <c r="L644" s="5" t="str">
        <f t="shared" ref="L644:M644" si="1290">IFS(J644="-", "-", J644=H644, "Final", J644=1, "Initial", J644&gt;1, "Medial")</f>
        <v>Initial</v>
      </c>
      <c r="M644" s="44" t="str">
        <f t="shared" si="1290"/>
        <v>Initial</v>
      </c>
      <c r="N644" s="5" t="str">
        <f t="shared" si="5"/>
        <v>0</v>
      </c>
      <c r="O644" s="5" t="str">
        <f t="shared" si="6"/>
        <v>ˈza</v>
      </c>
      <c r="P644" s="5" t="str">
        <f t="shared" si="7"/>
        <v>0</v>
      </c>
      <c r="Q644" s="5" t="str">
        <f t="shared" si="8"/>
        <v>ˈza</v>
      </c>
      <c r="R644" s="3" t="s">
        <v>72</v>
      </c>
      <c r="S644" s="3" t="s">
        <v>2014</v>
      </c>
      <c r="T644" s="3" t="s">
        <v>2015</v>
      </c>
      <c r="U644" s="3" t="s">
        <v>22</v>
      </c>
      <c r="V644" s="5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>
      <c r="A645" s="3" t="s">
        <v>14</v>
      </c>
      <c r="B645" s="3" t="s">
        <v>2009</v>
      </c>
      <c r="C645" s="3" t="s">
        <v>2010</v>
      </c>
      <c r="D645" s="3" t="s">
        <v>2011</v>
      </c>
      <c r="E645" s="3" t="s">
        <v>2012</v>
      </c>
      <c r="F645" s="3" t="s">
        <v>1060</v>
      </c>
      <c r="G645" s="3" t="s">
        <v>1060</v>
      </c>
      <c r="H645" s="43">
        <f t="shared" ref="H645:I645" si="1291">LEN(D645)-LEN(B645)+1</f>
        <v>3</v>
      </c>
      <c r="I645" s="43">
        <f t="shared" si="1291"/>
        <v>3</v>
      </c>
      <c r="J645" s="4">
        <v>2.0</v>
      </c>
      <c r="K645" s="4">
        <v>2.0</v>
      </c>
      <c r="L645" s="5" t="str">
        <f t="shared" ref="L645:M645" si="1292">IFS(J645="-", "-", J645=H645, "Final", J645=1, "Initial", J645&gt;1, "Medial")</f>
        <v>Medial</v>
      </c>
      <c r="M645" s="44" t="str">
        <f t="shared" si="1292"/>
        <v>Medial</v>
      </c>
      <c r="N645" s="5" t="str">
        <f t="shared" si="5"/>
        <v>sɐ̃</v>
      </c>
      <c r="O645" s="5" t="str">
        <f t="shared" si="6"/>
        <v>lɐ</v>
      </c>
      <c r="P645" s="5" t="str">
        <f t="shared" si="7"/>
        <v>sẽ</v>
      </c>
      <c r="Q645" s="5" t="str">
        <f t="shared" si="8"/>
        <v>lɐ</v>
      </c>
      <c r="R645" s="3"/>
      <c r="S645" s="3" t="s">
        <v>2014</v>
      </c>
      <c r="T645" s="3" t="s">
        <v>2015</v>
      </c>
      <c r="U645" s="3" t="s">
        <v>22</v>
      </c>
      <c r="V645" s="5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>
      <c r="A646" s="3" t="s">
        <v>14</v>
      </c>
      <c r="B646" s="3" t="s">
        <v>2009</v>
      </c>
      <c r="C646" s="3" t="s">
        <v>2010</v>
      </c>
      <c r="D646" s="3" t="s">
        <v>2011</v>
      </c>
      <c r="E646" s="3" t="s">
        <v>2012</v>
      </c>
      <c r="F646" s="3" t="s">
        <v>1426</v>
      </c>
      <c r="G646" s="3" t="s">
        <v>1426</v>
      </c>
      <c r="H646" s="43">
        <f t="shared" ref="H646:I646" si="1293">LEN(D646)-LEN(B646)+1</f>
        <v>3</v>
      </c>
      <c r="I646" s="43">
        <f t="shared" si="1293"/>
        <v>3</v>
      </c>
      <c r="J646" s="4">
        <v>3.0</v>
      </c>
      <c r="K646" s="4">
        <v>3.0</v>
      </c>
      <c r="L646" s="5" t="str">
        <f t="shared" ref="L646:M646" si="1294">IFS(J646="-", "-", J646=H646, "Final", J646=1, "Initial", J646&gt;1, "Medial")</f>
        <v>Final</v>
      </c>
      <c r="M646" s="44" t="str">
        <f t="shared" si="1294"/>
        <v>Final</v>
      </c>
      <c r="N646" s="5" t="str">
        <f t="shared" si="5"/>
        <v>ˈza</v>
      </c>
      <c r="O646" s="5">
        <f t="shared" si="6"/>
        <v>3</v>
      </c>
      <c r="P646" s="5" t="str">
        <f t="shared" si="7"/>
        <v>ˈza</v>
      </c>
      <c r="Q646" s="5">
        <f t="shared" si="8"/>
        <v>3</v>
      </c>
      <c r="R646" s="3"/>
      <c r="S646" s="3" t="s">
        <v>2014</v>
      </c>
      <c r="T646" s="3" t="s">
        <v>2015</v>
      </c>
      <c r="U646" s="3" t="s">
        <v>22</v>
      </c>
      <c r="V646" s="5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>
      <c r="A647" s="3" t="s">
        <v>14</v>
      </c>
      <c r="B647" s="3" t="s">
        <v>2016</v>
      </c>
      <c r="C647" s="3" t="s">
        <v>2017</v>
      </c>
      <c r="D647" s="3" t="s">
        <v>2018</v>
      </c>
      <c r="E647" s="3" t="s">
        <v>2019</v>
      </c>
      <c r="F647" s="3" t="s">
        <v>848</v>
      </c>
      <c r="G647" s="3" t="s">
        <v>987</v>
      </c>
      <c r="H647" s="43">
        <f t="shared" ref="H647:I647" si="1295">LEN(D647)-LEN(B647)+1</f>
        <v>3</v>
      </c>
      <c r="I647" s="43">
        <f t="shared" si="1295"/>
        <v>5</v>
      </c>
      <c r="J647" s="4">
        <v>1.0</v>
      </c>
      <c r="K647" s="4">
        <v>1.0</v>
      </c>
      <c r="L647" s="5" t="str">
        <f t="shared" ref="L647:M647" si="1296">IFS(J647="-", "-", J647=H647, "Final", J647=1, "Initial", J647&gt;1, "Medial")</f>
        <v>Initial</v>
      </c>
      <c r="M647" s="44" t="str">
        <f t="shared" si="1296"/>
        <v>Initial</v>
      </c>
      <c r="N647" s="5" t="str">
        <f t="shared" si="5"/>
        <v>0</v>
      </c>
      <c r="O647" s="5" t="str">
        <f t="shared" si="6"/>
        <v>mĩ</v>
      </c>
      <c r="P647" s="5" t="str">
        <f t="shared" si="7"/>
        <v>0</v>
      </c>
      <c r="Q647" s="5" t="str">
        <f t="shared" si="8"/>
        <v>mi</v>
      </c>
      <c r="R647" s="3" t="s">
        <v>80</v>
      </c>
      <c r="S647" s="3" t="s">
        <v>2020</v>
      </c>
      <c r="T647" s="3" t="s">
        <v>2021</v>
      </c>
      <c r="U647" s="3" t="s">
        <v>22</v>
      </c>
      <c r="V647" s="5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>
      <c r="A648" s="3" t="s">
        <v>14</v>
      </c>
      <c r="B648" s="3" t="s">
        <v>2016</v>
      </c>
      <c r="C648" s="3" t="s">
        <v>2017</v>
      </c>
      <c r="D648" s="3" t="s">
        <v>2018</v>
      </c>
      <c r="E648" s="3" t="s">
        <v>2019</v>
      </c>
      <c r="F648" s="3" t="s">
        <v>1491</v>
      </c>
      <c r="G648" s="3" t="s">
        <v>575</v>
      </c>
      <c r="H648" s="43">
        <f t="shared" ref="H648:I648" si="1297">LEN(D648)-LEN(B648)+1</f>
        <v>3</v>
      </c>
      <c r="I648" s="43">
        <f t="shared" si="1297"/>
        <v>5</v>
      </c>
      <c r="J648" s="4">
        <v>2.0</v>
      </c>
      <c r="K648" s="4">
        <v>2.0</v>
      </c>
      <c r="L648" s="5" t="str">
        <f t="shared" ref="L648:M648" si="1298">IFS(J648="-", "-", J648=H648, "Final", J648=1, "Initial", J648&gt;1, "Medial")</f>
        <v>Medial</v>
      </c>
      <c r="M648" s="44" t="str">
        <f t="shared" si="1298"/>
        <v>Medial</v>
      </c>
      <c r="N648" s="5" t="str">
        <f t="shared" si="5"/>
        <v>ʃi</v>
      </c>
      <c r="O648" s="5" t="str">
        <f t="shared" si="6"/>
        <v>ˈtɛw</v>
      </c>
      <c r="P648" s="5" t="str">
        <f t="shared" si="7"/>
        <v>sɨ</v>
      </c>
      <c r="Q648" s="5" t="str">
        <f t="shared" si="8"/>
        <v>ˈtɛ</v>
      </c>
      <c r="R648" s="3"/>
      <c r="S648" s="3" t="s">
        <v>2020</v>
      </c>
      <c r="T648" s="3" t="s">
        <v>2021</v>
      </c>
      <c r="U648" s="3" t="s">
        <v>22</v>
      </c>
      <c r="V648" s="5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>
      <c r="A649" s="3" t="s">
        <v>14</v>
      </c>
      <c r="B649" s="3" t="s">
        <v>2016</v>
      </c>
      <c r="C649" s="3" t="s">
        <v>2017</v>
      </c>
      <c r="D649" s="3" t="s">
        <v>2018</v>
      </c>
      <c r="E649" s="3" t="s">
        <v>2019</v>
      </c>
      <c r="F649" s="3" t="s">
        <v>2022</v>
      </c>
      <c r="G649" s="3" t="s">
        <v>2023</v>
      </c>
      <c r="H649" s="43">
        <f t="shared" ref="H649:I649" si="1299">LEN(D649)-LEN(B649)+1</f>
        <v>3</v>
      </c>
      <c r="I649" s="43">
        <f t="shared" si="1299"/>
        <v>5</v>
      </c>
      <c r="J649" s="4">
        <v>3.0</v>
      </c>
      <c r="K649" s="4">
        <v>3.0</v>
      </c>
      <c r="L649" s="5" t="str">
        <f t="shared" ref="L649:M649" si="1300">IFS(J649="-", "-", J649=H649, "Final", J649=1, "Initial", J649&gt;1, "Medial")</f>
        <v>Final</v>
      </c>
      <c r="M649" s="44" t="str">
        <f t="shared" si="1300"/>
        <v>Medial</v>
      </c>
      <c r="N649" s="5" t="str">
        <f t="shared" si="5"/>
        <v>mĩ</v>
      </c>
      <c r="O649" s="5" t="str">
        <f t="shared" si="6"/>
        <v>-</v>
      </c>
      <c r="P649" s="5" t="str">
        <f t="shared" si="7"/>
        <v>mi</v>
      </c>
      <c r="Q649" s="5" t="str">
        <f t="shared" si="8"/>
        <v>ɾi</v>
      </c>
      <c r="R649" s="3"/>
      <c r="S649" s="3" t="s">
        <v>2020</v>
      </c>
      <c r="T649" s="3" t="s">
        <v>2021</v>
      </c>
      <c r="U649" s="3" t="s">
        <v>22</v>
      </c>
      <c r="V649" s="5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>
      <c r="A650" s="3" t="s">
        <v>14</v>
      </c>
      <c r="B650" s="3" t="s">
        <v>2016</v>
      </c>
      <c r="C650" s="3" t="s">
        <v>2017</v>
      </c>
      <c r="D650" s="3" t="s">
        <v>2018</v>
      </c>
      <c r="E650" s="3" t="s">
        <v>2019</v>
      </c>
      <c r="F650" s="3" t="s">
        <v>36</v>
      </c>
      <c r="G650" s="3" t="s">
        <v>2024</v>
      </c>
      <c r="H650" s="43">
        <f t="shared" ref="H650:I650" si="1301">LEN(D650)-LEN(B650)+1</f>
        <v>3</v>
      </c>
      <c r="I650" s="43">
        <f t="shared" si="1301"/>
        <v>5</v>
      </c>
      <c r="J650" s="4" t="s">
        <v>36</v>
      </c>
      <c r="K650" s="4">
        <v>4.0</v>
      </c>
      <c r="L650" s="5" t="str">
        <f t="shared" ref="L650:M650" si="1302">IFS(J650="-", "-", J650=H650, "Final", J650=1, "Initial", J650&gt;1, "Medial")</f>
        <v>-</v>
      </c>
      <c r="M650" s="44" t="str">
        <f t="shared" si="1302"/>
        <v>Medial</v>
      </c>
      <c r="N650" s="5" t="str">
        <f t="shared" si="5"/>
        <v>ˈtɛw</v>
      </c>
      <c r="O650" s="5" t="str">
        <f t="shared" si="6"/>
        <v>-</v>
      </c>
      <c r="P650" s="5" t="str">
        <f t="shared" si="7"/>
        <v>ˈtɛ</v>
      </c>
      <c r="Q650" s="5" t="str">
        <f t="shared" si="8"/>
        <v>u</v>
      </c>
      <c r="R650" s="3"/>
      <c r="S650" s="3" t="s">
        <v>2020</v>
      </c>
      <c r="T650" s="3" t="s">
        <v>2021</v>
      </c>
      <c r="U650" s="3" t="s">
        <v>22</v>
      </c>
      <c r="V650" s="5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>
      <c r="A651" s="3" t="s">
        <v>14</v>
      </c>
      <c r="B651" s="3" t="s">
        <v>2016</v>
      </c>
      <c r="C651" s="3" t="s">
        <v>2017</v>
      </c>
      <c r="D651" s="3" t="s">
        <v>2018</v>
      </c>
      <c r="E651" s="3" t="s">
        <v>2019</v>
      </c>
      <c r="F651" s="17" t="s">
        <v>36</v>
      </c>
      <c r="G651" s="3" t="s">
        <v>128</v>
      </c>
      <c r="H651" s="43">
        <f t="shared" ref="H651:I651" si="1303">LEN(D651)-LEN(B651)+1</f>
        <v>3</v>
      </c>
      <c r="I651" s="43">
        <f t="shared" si="1303"/>
        <v>5</v>
      </c>
      <c r="J651" s="4" t="s">
        <v>36</v>
      </c>
      <c r="K651" s="4">
        <v>5.0</v>
      </c>
      <c r="L651" s="5" t="str">
        <f t="shared" ref="L651:M651" si="1304">IFS(J651="-", "-", J651=H651, "Final", J651=1, "Initial", J651&gt;1, "Medial")</f>
        <v>-</v>
      </c>
      <c r="M651" s="44" t="str">
        <f t="shared" si="1304"/>
        <v>Final</v>
      </c>
      <c r="N651" s="5" t="str">
        <f t="shared" si="5"/>
        <v>-</v>
      </c>
      <c r="O651" s="5" t="str">
        <f t="shared" si="6"/>
        <v>-</v>
      </c>
      <c r="P651" s="5" t="str">
        <f t="shared" si="7"/>
        <v>ɾi</v>
      </c>
      <c r="Q651" s="5">
        <f t="shared" si="8"/>
        <v>5</v>
      </c>
      <c r="R651" s="3"/>
      <c r="S651" s="3" t="s">
        <v>2020</v>
      </c>
      <c r="T651" s="3" t="s">
        <v>2021</v>
      </c>
      <c r="U651" s="3" t="s">
        <v>22</v>
      </c>
      <c r="V651" s="5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>
      <c r="A652" s="3" t="s">
        <v>14</v>
      </c>
      <c r="B652" s="3" t="s">
        <v>984</v>
      </c>
      <c r="C652" s="3" t="s">
        <v>2025</v>
      </c>
      <c r="D652" s="3" t="s">
        <v>984</v>
      </c>
      <c r="E652" s="3" t="s">
        <v>2026</v>
      </c>
      <c r="F652" s="3" t="s">
        <v>984</v>
      </c>
      <c r="G652" s="3" t="s">
        <v>984</v>
      </c>
      <c r="H652" s="43">
        <f t="shared" ref="H652:I652" si="1305">LEN(D652)-LEN(B652)+1</f>
        <v>1</v>
      </c>
      <c r="I652" s="43">
        <f t="shared" si="1305"/>
        <v>2</v>
      </c>
      <c r="J652" s="4">
        <v>1.0</v>
      </c>
      <c r="K652" s="4">
        <v>1.0</v>
      </c>
      <c r="L652" s="5" t="str">
        <f t="shared" ref="L652:M652" si="1306">IFS(J652="-", "-", J652=H652, "Final", J652=1, "Initial", J652&gt;1, "Medial")</f>
        <v>Final</v>
      </c>
      <c r="M652" s="44" t="str">
        <f t="shared" si="1306"/>
        <v>Initial</v>
      </c>
      <c r="N652" s="5" t="str">
        <f t="shared" si="5"/>
        <v>0</v>
      </c>
      <c r="O652" s="5" t="str">
        <f t="shared" si="6"/>
        <v>-</v>
      </c>
      <c r="P652" s="5" t="str">
        <f t="shared" si="7"/>
        <v>0</v>
      </c>
      <c r="Q652" s="5" t="str">
        <f t="shared" si="8"/>
        <v>ʀɨ</v>
      </c>
      <c r="R652" s="3" t="s">
        <v>80</v>
      </c>
      <c r="S652" s="3" t="s">
        <v>2027</v>
      </c>
      <c r="T652" s="3" t="s">
        <v>2028</v>
      </c>
      <c r="U652" s="3" t="s">
        <v>22</v>
      </c>
      <c r="V652" s="5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>
      <c r="A653" s="3" t="s">
        <v>14</v>
      </c>
      <c r="B653" s="3" t="s">
        <v>984</v>
      </c>
      <c r="C653" s="3" t="s">
        <v>2025</v>
      </c>
      <c r="D653" s="3" t="s">
        <v>984</v>
      </c>
      <c r="E653" s="3" t="s">
        <v>2026</v>
      </c>
      <c r="F653" s="3" t="s">
        <v>36</v>
      </c>
      <c r="G653" s="3" t="s">
        <v>1137</v>
      </c>
      <c r="H653" s="43">
        <f t="shared" ref="H653:I653" si="1307">LEN(D653)-LEN(B653)+1</f>
        <v>1</v>
      </c>
      <c r="I653" s="43">
        <f t="shared" si="1307"/>
        <v>2</v>
      </c>
      <c r="J653" s="4" t="s">
        <v>36</v>
      </c>
      <c r="K653" s="4">
        <v>2.0</v>
      </c>
      <c r="L653" s="5" t="str">
        <f t="shared" ref="L653:M653" si="1308">IFS(J653="-", "-", J653=H653, "Final", J653=1, "Initial", J653&gt;1, "Medial")</f>
        <v>-</v>
      </c>
      <c r="M653" s="44" t="str">
        <f t="shared" si="1308"/>
        <v>Final</v>
      </c>
      <c r="N653" s="5" t="str">
        <f t="shared" si="5"/>
        <v>ˈto</v>
      </c>
      <c r="O653" s="5" t="str">
        <f t="shared" si="6"/>
        <v>-</v>
      </c>
      <c r="P653" s="5" t="str">
        <f t="shared" si="7"/>
        <v>ˈto</v>
      </c>
      <c r="Q653" s="5">
        <f t="shared" si="8"/>
        <v>2</v>
      </c>
      <c r="R653" s="3"/>
      <c r="S653" s="3" t="s">
        <v>2027</v>
      </c>
      <c r="T653" s="3" t="s">
        <v>2028</v>
      </c>
      <c r="U653" s="3" t="s">
        <v>22</v>
      </c>
      <c r="V653" s="5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>
      <c r="A654" s="3" t="s">
        <v>14</v>
      </c>
      <c r="B654" s="3" t="s">
        <v>2029</v>
      </c>
      <c r="C654" s="3" t="s">
        <v>2030</v>
      </c>
      <c r="D654" s="3" t="s">
        <v>2031</v>
      </c>
      <c r="E654" s="3" t="s">
        <v>2032</v>
      </c>
      <c r="F654" s="3" t="s">
        <v>128</v>
      </c>
      <c r="G654" s="17" t="s">
        <v>36</v>
      </c>
      <c r="H654" s="43">
        <f t="shared" ref="H654:I654" si="1309">LEN(D654)-LEN(B654)+1</f>
        <v>2</v>
      </c>
      <c r="I654" s="43">
        <f t="shared" si="1309"/>
        <v>2</v>
      </c>
      <c r="J654" s="4">
        <v>1.0</v>
      </c>
      <c r="K654" s="17" t="s">
        <v>36</v>
      </c>
      <c r="L654" s="5" t="str">
        <f t="shared" ref="L654:M654" si="1310">IFS(J654="-", "-", J654=H654, "Final", J654=1, "Initial", J654&gt;1, "Medial")</f>
        <v>Initial</v>
      </c>
      <c r="M654" s="44" t="str">
        <f t="shared" si="1310"/>
        <v>-</v>
      </c>
      <c r="N654" s="5" t="str">
        <f t="shared" si="5"/>
        <v>0</v>
      </c>
      <c r="O654" s="5" t="str">
        <f t="shared" si="6"/>
        <v>ˈfɛw</v>
      </c>
      <c r="P654" s="5" t="str">
        <f t="shared" si="7"/>
        <v>0</v>
      </c>
      <c r="Q654" s="5" t="str">
        <f t="shared" si="8"/>
        <v>ˈfɛ</v>
      </c>
      <c r="R654" s="3"/>
      <c r="S654" s="3" t="s">
        <v>2033</v>
      </c>
      <c r="T654" s="3" t="s">
        <v>1514</v>
      </c>
      <c r="U654" s="3" t="s">
        <v>22</v>
      </c>
      <c r="V654" s="5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>
      <c r="A655" s="3" t="s">
        <v>14</v>
      </c>
      <c r="B655" s="3" t="s">
        <v>2029</v>
      </c>
      <c r="C655" s="3" t="s">
        <v>2030</v>
      </c>
      <c r="D655" s="3" t="s">
        <v>2031</v>
      </c>
      <c r="E655" s="3" t="s">
        <v>2032</v>
      </c>
      <c r="F655" s="3" t="s">
        <v>2034</v>
      </c>
      <c r="G655" s="3" t="s">
        <v>899</v>
      </c>
      <c r="H655" s="43">
        <f t="shared" ref="H655:I655" si="1311">LEN(D655)-LEN(B655)+1</f>
        <v>2</v>
      </c>
      <c r="I655" s="43">
        <f t="shared" si="1311"/>
        <v>2</v>
      </c>
      <c r="J655" s="4">
        <v>2.0</v>
      </c>
      <c r="K655" s="4">
        <v>1.0</v>
      </c>
      <c r="L655" s="5" t="str">
        <f t="shared" ref="L655:M655" si="1312">IFS(J655="-", "-", J655=H655, "Final", J655=1, "Initial", J655&gt;1, "Medial")</f>
        <v>Final</v>
      </c>
      <c r="M655" s="44" t="str">
        <f t="shared" si="1312"/>
        <v>Initial</v>
      </c>
      <c r="N655" s="5" t="str">
        <f t="shared" si="5"/>
        <v>u</v>
      </c>
      <c r="O655" s="5" t="str">
        <f t="shared" si="6"/>
        <v>-</v>
      </c>
      <c r="P655" s="5" t="str">
        <f t="shared" si="7"/>
        <v>-</v>
      </c>
      <c r="Q655" s="5" t="str">
        <f t="shared" si="8"/>
        <v>ʀu</v>
      </c>
      <c r="R655" s="3"/>
      <c r="S655" s="3" t="s">
        <v>2033</v>
      </c>
      <c r="T655" s="3" t="s">
        <v>1514</v>
      </c>
      <c r="U655" s="3" t="s">
        <v>22</v>
      </c>
      <c r="V655" s="5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>
      <c r="A656" s="3" t="s">
        <v>14</v>
      </c>
      <c r="B656" s="3" t="s">
        <v>2029</v>
      </c>
      <c r="C656" s="3" t="s">
        <v>2030</v>
      </c>
      <c r="D656" s="3" t="s">
        <v>2031</v>
      </c>
      <c r="E656" s="3" t="s">
        <v>2032</v>
      </c>
      <c r="F656" s="3" t="s">
        <v>36</v>
      </c>
      <c r="G656" s="3" t="s">
        <v>591</v>
      </c>
      <c r="H656" s="43">
        <f t="shared" ref="H656:I656" si="1313">LEN(D656)-LEN(B656)+1</f>
        <v>2</v>
      </c>
      <c r="I656" s="43">
        <f t="shared" si="1313"/>
        <v>2</v>
      </c>
      <c r="J656" s="4" t="s">
        <v>36</v>
      </c>
      <c r="K656" s="4">
        <v>2.0</v>
      </c>
      <c r="L656" s="5" t="str">
        <f t="shared" ref="L656:M656" si="1314">IFS(J656="-", "-", J656=H656, "Final", J656=1, "Initial", J656&gt;1, "Medial")</f>
        <v>-</v>
      </c>
      <c r="M656" s="44" t="str">
        <f t="shared" si="1314"/>
        <v>Final</v>
      </c>
      <c r="N656" s="5" t="str">
        <f t="shared" si="5"/>
        <v>ˈfɛw</v>
      </c>
      <c r="O656" s="5" t="str">
        <f t="shared" si="6"/>
        <v>-</v>
      </c>
      <c r="P656" s="5" t="str">
        <f t="shared" si="7"/>
        <v>ˈfɛ</v>
      </c>
      <c r="Q656" s="5">
        <f t="shared" si="8"/>
        <v>2</v>
      </c>
      <c r="R656" s="3"/>
      <c r="S656" s="3" t="s">
        <v>2033</v>
      </c>
      <c r="T656" s="3" t="s">
        <v>1514</v>
      </c>
      <c r="U656" s="3" t="s">
        <v>22</v>
      </c>
      <c r="V656" s="5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>
      <c r="A657" s="3" t="s">
        <v>14</v>
      </c>
      <c r="B657" s="3" t="s">
        <v>2035</v>
      </c>
      <c r="C657" s="3" t="s">
        <v>2036</v>
      </c>
      <c r="D657" s="3" t="s">
        <v>2037</v>
      </c>
      <c r="E657" s="3" t="s">
        <v>2038</v>
      </c>
      <c r="F657" s="3" t="s">
        <v>219</v>
      </c>
      <c r="G657" s="3" t="s">
        <v>219</v>
      </c>
      <c r="H657" s="43">
        <f t="shared" ref="H657:I657" si="1315">LEN(D657)-LEN(B657)+1</f>
        <v>2</v>
      </c>
      <c r="I657" s="43">
        <f t="shared" si="1315"/>
        <v>2</v>
      </c>
      <c r="J657" s="4">
        <v>1.0</v>
      </c>
      <c r="K657" s="4">
        <v>1.0</v>
      </c>
      <c r="L657" s="5" t="str">
        <f t="shared" ref="L657:M657" si="1316">IFS(J657="-", "-", J657=H657, "Final", J657=1, "Initial", J657&gt;1, "Medial")</f>
        <v>Initial</v>
      </c>
      <c r="M657" s="44" t="str">
        <f t="shared" si="1316"/>
        <v>Initial</v>
      </c>
      <c r="N657" s="5" t="str">
        <f t="shared" si="5"/>
        <v>0</v>
      </c>
      <c r="O657" s="5" t="str">
        <f t="shared" si="6"/>
        <v>ro</v>
      </c>
      <c r="P657" s="5" t="str">
        <f t="shared" si="7"/>
        <v>0</v>
      </c>
      <c r="Q657" s="5" t="str">
        <f t="shared" si="8"/>
        <v>ɾu</v>
      </c>
      <c r="R657" s="3"/>
      <c r="S657" s="3" t="s">
        <v>2039</v>
      </c>
      <c r="T657" s="3" t="s">
        <v>2040</v>
      </c>
      <c r="U657" s="3" t="s">
        <v>22</v>
      </c>
      <c r="V657" s="5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>
      <c r="A658" s="3" t="s">
        <v>14</v>
      </c>
      <c r="B658" s="3" t="s">
        <v>2035</v>
      </c>
      <c r="C658" s="3" t="s">
        <v>2036</v>
      </c>
      <c r="D658" s="3" t="s">
        <v>2037</v>
      </c>
      <c r="E658" s="3" t="s">
        <v>2038</v>
      </c>
      <c r="F658" s="3" t="s">
        <v>1982</v>
      </c>
      <c r="G658" s="3" t="s">
        <v>1983</v>
      </c>
      <c r="H658" s="43">
        <f t="shared" ref="H658:I658" si="1317">LEN(D658)-LEN(B658)+1</f>
        <v>2</v>
      </c>
      <c r="I658" s="43">
        <f t="shared" si="1317"/>
        <v>2</v>
      </c>
      <c r="J658" s="4">
        <v>2.0</v>
      </c>
      <c r="K658" s="4">
        <v>2.0</v>
      </c>
      <c r="L658" s="5" t="str">
        <f t="shared" ref="L658:M658" si="1318">IFS(J658="-", "-", J658=H658, "Final", J658=1, "Initial", J658&gt;1, "Medial")</f>
        <v>Final</v>
      </c>
      <c r="M658" s="44" t="str">
        <f t="shared" si="1318"/>
        <v>Final</v>
      </c>
      <c r="N658" s="5" t="str">
        <f t="shared" si="5"/>
        <v>ˈo</v>
      </c>
      <c r="O658" s="5">
        <f t="shared" si="6"/>
        <v>2</v>
      </c>
      <c r="P658" s="5" t="str">
        <f t="shared" si="7"/>
        <v>ˈo</v>
      </c>
      <c r="Q658" s="5">
        <f t="shared" si="8"/>
        <v>2</v>
      </c>
      <c r="R658" s="3"/>
      <c r="S658" s="3" t="s">
        <v>2039</v>
      </c>
      <c r="T658" s="3" t="s">
        <v>2040</v>
      </c>
      <c r="U658" s="3" t="s">
        <v>22</v>
      </c>
      <c r="V658" s="5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>
      <c r="A659" s="3" t="s">
        <v>14</v>
      </c>
      <c r="B659" s="3" t="s">
        <v>2041</v>
      </c>
      <c r="C659" s="3" t="s">
        <v>2042</v>
      </c>
      <c r="D659" s="3" t="s">
        <v>2043</v>
      </c>
      <c r="E659" s="3" t="s">
        <v>2044</v>
      </c>
      <c r="F659" s="3" t="s">
        <v>976</v>
      </c>
      <c r="G659" s="3" t="s">
        <v>977</v>
      </c>
      <c r="H659" s="43">
        <f t="shared" ref="H659:I659" si="1319">LEN(D659)-LEN(B659)+1</f>
        <v>2</v>
      </c>
      <c r="I659" s="43">
        <f t="shared" si="1319"/>
        <v>2</v>
      </c>
      <c r="J659" s="4">
        <v>1.0</v>
      </c>
      <c r="K659" s="4">
        <v>1.0</v>
      </c>
      <c r="L659" s="5" t="str">
        <f t="shared" ref="L659:M659" si="1320">IFS(J659="-", "-", J659=H659, "Final", J659=1, "Initial", J659&gt;1, "Medial")</f>
        <v>Initial</v>
      </c>
      <c r="M659" s="44" t="str">
        <f t="shared" si="1320"/>
        <v>Initial</v>
      </c>
      <c r="N659" s="5" t="str">
        <f t="shared" si="5"/>
        <v>0</v>
      </c>
      <c r="O659" s="5" t="str">
        <f t="shared" si="6"/>
        <v>tɐ</v>
      </c>
      <c r="P659" s="5" t="str">
        <f t="shared" si="7"/>
        <v>0</v>
      </c>
      <c r="Q659" s="5" t="str">
        <f t="shared" si="8"/>
        <v>tɐ</v>
      </c>
      <c r="R659" s="3"/>
      <c r="S659" s="3" t="s">
        <v>2045</v>
      </c>
      <c r="T659" s="3" t="s">
        <v>2046</v>
      </c>
      <c r="U659" s="3" t="s">
        <v>22</v>
      </c>
      <c r="V659" s="5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>
      <c r="A660" s="3" t="s">
        <v>14</v>
      </c>
      <c r="B660" s="3" t="s">
        <v>2041</v>
      </c>
      <c r="C660" s="3" t="s">
        <v>2042</v>
      </c>
      <c r="D660" s="3" t="s">
        <v>2043</v>
      </c>
      <c r="E660" s="3" t="s">
        <v>2044</v>
      </c>
      <c r="F660" s="3" t="s">
        <v>238</v>
      </c>
      <c r="G660" s="3" t="s">
        <v>238</v>
      </c>
      <c r="H660" s="43">
        <f t="shared" ref="H660:I660" si="1321">LEN(D660)-LEN(B660)+1</f>
        <v>2</v>
      </c>
      <c r="I660" s="43">
        <f t="shared" si="1321"/>
        <v>2</v>
      </c>
      <c r="J660" s="4">
        <v>2.0</v>
      </c>
      <c r="K660" s="4">
        <v>2.0</v>
      </c>
      <c r="L660" s="5" t="str">
        <f t="shared" ref="L660:M660" si="1322">IFS(J660="-", "-", J660=H660, "Final", J660=1, "Initial", J660&gt;1, "Medial")</f>
        <v>Final</v>
      </c>
      <c r="M660" s="44" t="str">
        <f t="shared" si="1322"/>
        <v>Final</v>
      </c>
      <c r="N660" s="5" t="str">
        <f t="shared" si="5"/>
        <v>ˈpa:</v>
      </c>
      <c r="O660" s="5">
        <f t="shared" si="6"/>
        <v>2</v>
      </c>
      <c r="P660" s="5" t="str">
        <f t="shared" si="7"/>
        <v>ˈpɾa</v>
      </c>
      <c r="Q660" s="5">
        <f t="shared" si="8"/>
        <v>2</v>
      </c>
      <c r="R660" s="3"/>
      <c r="S660" s="3" t="s">
        <v>2045</v>
      </c>
      <c r="T660" s="3" t="s">
        <v>2046</v>
      </c>
      <c r="U660" s="3" t="s">
        <v>22</v>
      </c>
      <c r="V660" s="5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>
      <c r="A661" s="3" t="s">
        <v>14</v>
      </c>
      <c r="B661" s="3" t="s">
        <v>2047</v>
      </c>
      <c r="C661" s="3" t="s">
        <v>2048</v>
      </c>
      <c r="D661" s="3" t="s">
        <v>2049</v>
      </c>
      <c r="E661" s="3" t="s">
        <v>2050</v>
      </c>
      <c r="F661" s="3" t="s">
        <v>2051</v>
      </c>
      <c r="G661" s="3" t="s">
        <v>2052</v>
      </c>
      <c r="H661" s="43">
        <f t="shared" ref="H661:I661" si="1323">LEN(D661)-LEN(B661)+1</f>
        <v>2</v>
      </c>
      <c r="I661" s="43">
        <f t="shared" si="1323"/>
        <v>2</v>
      </c>
      <c r="J661" s="4">
        <v>1.0</v>
      </c>
      <c r="K661" s="4">
        <v>1.0</v>
      </c>
      <c r="L661" s="5" t="str">
        <f t="shared" ref="L661:M661" si="1324">IFS(J661="-", "-", J661=H661, "Final", J661=1, "Initial", J661&gt;1, "Medial")</f>
        <v>Initial</v>
      </c>
      <c r="M661" s="44" t="str">
        <f t="shared" si="1324"/>
        <v>Initial</v>
      </c>
      <c r="N661" s="5" t="str">
        <f t="shared" si="5"/>
        <v>0</v>
      </c>
      <c r="O661" s="5" t="str">
        <f t="shared" si="6"/>
        <v>bu</v>
      </c>
      <c r="P661" s="5" t="str">
        <f t="shared" si="7"/>
        <v>0</v>
      </c>
      <c r="Q661" s="5" t="str">
        <f t="shared" si="8"/>
        <v>bu</v>
      </c>
      <c r="R661" s="3"/>
      <c r="S661" s="3" t="s">
        <v>2053</v>
      </c>
      <c r="T661" s="3" t="s">
        <v>2054</v>
      </c>
      <c r="U661" s="3" t="s">
        <v>22</v>
      </c>
      <c r="V661" s="5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>
      <c r="A662" s="3" t="s">
        <v>14</v>
      </c>
      <c r="B662" s="3" t="s">
        <v>2047</v>
      </c>
      <c r="C662" s="3" t="s">
        <v>2048</v>
      </c>
      <c r="D662" s="3" t="s">
        <v>2049</v>
      </c>
      <c r="E662" s="3" t="s">
        <v>2050</v>
      </c>
      <c r="F662" s="3" t="s">
        <v>143</v>
      </c>
      <c r="G662" s="3" t="s">
        <v>143</v>
      </c>
      <c r="H662" s="43">
        <f t="shared" ref="H662:I662" si="1325">LEN(D662)-LEN(B662)+1</f>
        <v>2</v>
      </c>
      <c r="I662" s="43">
        <f t="shared" si="1325"/>
        <v>2</v>
      </c>
      <c r="J662" s="4">
        <v>2.0</v>
      </c>
      <c r="K662" s="4">
        <v>2.0</v>
      </c>
      <c r="L662" s="5" t="str">
        <f t="shared" ref="L662:M662" si="1326">IFS(J662="-", "-", J662=H662, "Final", J662=1, "Initial", J662&gt;1, "Medial")</f>
        <v>Final</v>
      </c>
      <c r="M662" s="44" t="str">
        <f t="shared" si="1326"/>
        <v>Final</v>
      </c>
      <c r="N662" s="5" t="str">
        <f t="shared" si="5"/>
        <v>ˈsũ</v>
      </c>
      <c r="O662" s="5">
        <f t="shared" si="6"/>
        <v>2</v>
      </c>
      <c r="P662" s="5" t="str">
        <f t="shared" si="7"/>
        <v>ˈʃũ</v>
      </c>
      <c r="Q662" s="5">
        <f t="shared" si="8"/>
        <v>2</v>
      </c>
      <c r="R662" s="3"/>
      <c r="S662" s="3" t="s">
        <v>2053</v>
      </c>
      <c r="T662" s="3" t="s">
        <v>2054</v>
      </c>
      <c r="U662" s="3" t="s">
        <v>22</v>
      </c>
      <c r="V662" s="5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>
      <c r="A663" s="15" t="s">
        <v>14</v>
      </c>
      <c r="B663" s="15" t="s">
        <v>2055</v>
      </c>
      <c r="C663" s="15" t="s">
        <v>2056</v>
      </c>
      <c r="D663" s="15" t="s">
        <v>2057</v>
      </c>
      <c r="E663" s="15" t="s">
        <v>2058</v>
      </c>
      <c r="F663" s="15" t="s">
        <v>30</v>
      </c>
      <c r="G663" s="15" t="s">
        <v>49</v>
      </c>
      <c r="H663" s="43">
        <f t="shared" ref="H663:I663" si="1327">LEN(D663)-LEN(B663)+1</f>
        <v>2</v>
      </c>
      <c r="I663" s="43">
        <f t="shared" si="1327"/>
        <v>3</v>
      </c>
      <c r="J663" s="18">
        <v>1.0</v>
      </c>
      <c r="K663" s="18">
        <v>1.0</v>
      </c>
      <c r="L663" s="5" t="str">
        <f t="shared" ref="L663:M663" si="1328">IFS(J663="-", "-", J663=H663, "Final", J663=1, "Initial", J663&gt;1, "Medial")</f>
        <v>Initial</v>
      </c>
      <c r="M663" s="44" t="str">
        <f t="shared" si="1328"/>
        <v>Initial</v>
      </c>
      <c r="N663" s="5" t="str">
        <f t="shared" si="5"/>
        <v>0</v>
      </c>
      <c r="O663" s="5" t="str">
        <f t="shared" si="6"/>
        <v>ˈrja</v>
      </c>
      <c r="P663" s="5" t="str">
        <f t="shared" si="7"/>
        <v>0</v>
      </c>
      <c r="Q663" s="5" t="str">
        <f t="shared" si="8"/>
        <v>ˈɾɐj</v>
      </c>
      <c r="R663" s="15" t="s">
        <v>80</v>
      </c>
      <c r="S663" s="15" t="s">
        <v>2059</v>
      </c>
      <c r="T663" s="15" t="s">
        <v>2060</v>
      </c>
      <c r="U663" s="15" t="s">
        <v>22</v>
      </c>
      <c r="V663" s="20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</row>
    <row r="664">
      <c r="A664" s="15" t="s">
        <v>14</v>
      </c>
      <c r="B664" s="15" t="s">
        <v>2055</v>
      </c>
      <c r="C664" s="15" t="s">
        <v>2056</v>
      </c>
      <c r="D664" s="15" t="s">
        <v>2057</v>
      </c>
      <c r="E664" s="15" t="s">
        <v>2058</v>
      </c>
      <c r="F664" s="15" t="s">
        <v>481</v>
      </c>
      <c r="G664" s="15" t="s">
        <v>2061</v>
      </c>
      <c r="H664" s="43">
        <f t="shared" ref="H664:I664" si="1329">LEN(D664)-LEN(B664)+1</f>
        <v>2</v>
      </c>
      <c r="I664" s="43">
        <f t="shared" si="1329"/>
        <v>3</v>
      </c>
      <c r="J664" s="18">
        <v>2.0</v>
      </c>
      <c r="K664" s="18">
        <v>2.0</v>
      </c>
      <c r="L664" s="5" t="str">
        <f t="shared" ref="L664:M664" si="1330">IFS(J664="-", "-", J664=H664, "Final", J664=1, "Initial", J664&gt;1, "Medial")</f>
        <v>Final</v>
      </c>
      <c r="M664" s="44" t="str">
        <f t="shared" si="1330"/>
        <v>Medial</v>
      </c>
      <c r="N664" s="5" t="str">
        <f t="shared" si="5"/>
        <v>a</v>
      </c>
      <c r="O664" s="5" t="str">
        <f t="shared" si="6"/>
        <v>-</v>
      </c>
      <c r="P664" s="5" t="str">
        <f t="shared" si="7"/>
        <v>ɐ</v>
      </c>
      <c r="Q664" s="5" t="str">
        <f t="shared" si="8"/>
        <v>ɐ</v>
      </c>
      <c r="R664" s="15"/>
      <c r="S664" s="15" t="s">
        <v>2059</v>
      </c>
      <c r="T664" s="15" t="s">
        <v>2060</v>
      </c>
      <c r="U664" s="15" t="s">
        <v>22</v>
      </c>
      <c r="V664" s="20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</row>
    <row r="665">
      <c r="A665" s="15" t="s">
        <v>14</v>
      </c>
      <c r="B665" s="15" t="s">
        <v>2055</v>
      </c>
      <c r="C665" s="15" t="s">
        <v>2056</v>
      </c>
      <c r="D665" s="15" t="s">
        <v>2057</v>
      </c>
      <c r="E665" s="15" t="s">
        <v>2058</v>
      </c>
      <c r="F665" s="15" t="s">
        <v>36</v>
      </c>
      <c r="G665" s="15" t="s">
        <v>49</v>
      </c>
      <c r="H665" s="43">
        <f t="shared" ref="H665:I665" si="1331">LEN(D665)-LEN(B665)+1</f>
        <v>2</v>
      </c>
      <c r="I665" s="43">
        <f t="shared" si="1331"/>
        <v>3</v>
      </c>
      <c r="J665" s="18" t="s">
        <v>36</v>
      </c>
      <c r="K665" s="18">
        <v>3.0</v>
      </c>
      <c r="L665" s="5" t="str">
        <f t="shared" ref="L665:M665" si="1332">IFS(J665="-", "-", J665=H665, "Final", J665=1, "Initial", J665&gt;1, "Medial")</f>
        <v>-</v>
      </c>
      <c r="M665" s="44" t="str">
        <f t="shared" si="1332"/>
        <v>Final</v>
      </c>
      <c r="N665" s="5" t="str">
        <f t="shared" si="5"/>
        <v>ˈrja</v>
      </c>
      <c r="O665" s="5" t="str">
        <f t="shared" si="6"/>
        <v>-</v>
      </c>
      <c r="P665" s="5" t="str">
        <f t="shared" si="7"/>
        <v>ˈɾɐj</v>
      </c>
      <c r="Q665" s="5">
        <f t="shared" si="8"/>
        <v>3</v>
      </c>
      <c r="R665" s="15"/>
      <c r="S665" s="15" t="s">
        <v>2059</v>
      </c>
      <c r="T665" s="15" t="s">
        <v>2060</v>
      </c>
      <c r="U665" s="15" t="s">
        <v>22</v>
      </c>
      <c r="V665" s="20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</row>
    <row r="666">
      <c r="A666" s="3" t="s">
        <v>14</v>
      </c>
      <c r="B666" s="3" t="s">
        <v>2062</v>
      </c>
      <c r="C666" s="6" t="s">
        <v>2063</v>
      </c>
      <c r="D666" s="3" t="s">
        <v>2064</v>
      </c>
      <c r="E666" s="3" t="s">
        <v>2065</v>
      </c>
      <c r="F666" s="3" t="s">
        <v>19</v>
      </c>
      <c r="G666" s="3" t="s">
        <v>996</v>
      </c>
      <c r="H666" s="43">
        <f t="shared" ref="H666:I666" si="1333">LEN(D666)-LEN(B666)+1</f>
        <v>3</v>
      </c>
      <c r="I666" s="43">
        <f t="shared" si="1333"/>
        <v>2</v>
      </c>
      <c r="J666" s="4">
        <v>1.0</v>
      </c>
      <c r="K666" s="4">
        <v>1.0</v>
      </c>
      <c r="L666" s="5" t="str">
        <f t="shared" ref="L666:M666" si="1334">IFS(J666="-", "-", J666=H666, "Final", J666=1, "Initial", J666&gt;1, "Medial")</f>
        <v>Initial</v>
      </c>
      <c r="M666" s="44" t="str">
        <f t="shared" si="1334"/>
        <v>Initial</v>
      </c>
      <c r="N666" s="5" t="str">
        <f t="shared" si="5"/>
        <v>0</v>
      </c>
      <c r="O666" s="5" t="str">
        <f t="shared" si="6"/>
        <v>ru</v>
      </c>
      <c r="P666" s="5" t="str">
        <f t="shared" si="7"/>
        <v>0</v>
      </c>
      <c r="Q666" s="5" t="str">
        <f t="shared" si="8"/>
        <v>ku</v>
      </c>
      <c r="R666" s="3"/>
      <c r="S666" s="3" t="s">
        <v>2066</v>
      </c>
      <c r="T666" s="3" t="s">
        <v>2067</v>
      </c>
      <c r="U666" s="3" t="s">
        <v>22</v>
      </c>
      <c r="V666" s="5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>
      <c r="A667" s="3" t="s">
        <v>14</v>
      </c>
      <c r="B667" s="3" t="s">
        <v>2062</v>
      </c>
      <c r="C667" s="6" t="s">
        <v>2063</v>
      </c>
      <c r="D667" s="3" t="s">
        <v>2064</v>
      </c>
      <c r="E667" s="3" t="s">
        <v>2065</v>
      </c>
      <c r="F667" s="3" t="s">
        <v>1647</v>
      </c>
      <c r="G667" s="3" t="s">
        <v>425</v>
      </c>
      <c r="H667" s="43">
        <f t="shared" ref="H667:I667" si="1335">LEN(D667)-LEN(B667)+1</f>
        <v>3</v>
      </c>
      <c r="I667" s="43">
        <f t="shared" si="1335"/>
        <v>2</v>
      </c>
      <c r="J667" s="4">
        <v>2.0</v>
      </c>
      <c r="K667" s="4">
        <v>2.0</v>
      </c>
      <c r="L667" s="5" t="str">
        <f t="shared" ref="L667:M667" si="1336">IFS(J667="-", "-", J667=H667, "Final", J667=1, "Initial", J667&gt;1, "Medial")</f>
        <v>Medial</v>
      </c>
      <c r="M667" s="44" t="str">
        <f t="shared" si="1336"/>
        <v>Final</v>
      </c>
      <c r="N667" s="5" t="str">
        <f t="shared" si="5"/>
        <v>ˈa</v>
      </c>
      <c r="O667" s="5" t="str">
        <f t="shared" si="6"/>
        <v>ku</v>
      </c>
      <c r="P667" s="5" t="str">
        <f t="shared" si="7"/>
        <v>ˈaɾ</v>
      </c>
      <c r="Q667" s="5" t="str">
        <f t="shared" si="8"/>
        <v>-</v>
      </c>
      <c r="R667" s="3"/>
      <c r="S667" s="3" t="s">
        <v>2066</v>
      </c>
      <c r="T667" s="3" t="s">
        <v>2067</v>
      </c>
      <c r="U667" s="3" t="s">
        <v>22</v>
      </c>
      <c r="V667" s="5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>
      <c r="A668" s="3" t="s">
        <v>14</v>
      </c>
      <c r="B668" s="3" t="s">
        <v>2062</v>
      </c>
      <c r="C668" s="6" t="s">
        <v>2063</v>
      </c>
      <c r="D668" s="3" t="s">
        <v>2064</v>
      </c>
      <c r="E668" s="3" t="s">
        <v>2065</v>
      </c>
      <c r="F668" s="3" t="s">
        <v>425</v>
      </c>
      <c r="G668" s="3" t="s">
        <v>36</v>
      </c>
      <c r="H668" s="43">
        <f t="shared" ref="H668:I668" si="1337">LEN(D668)-LEN(B668)+1</f>
        <v>3</v>
      </c>
      <c r="I668" s="43">
        <f t="shared" si="1337"/>
        <v>2</v>
      </c>
      <c r="J668" s="4">
        <v>3.0</v>
      </c>
      <c r="K668" s="4" t="s">
        <v>36</v>
      </c>
      <c r="L668" s="5" t="str">
        <f t="shared" ref="L668:M668" si="1338">IFS(J668="-", "-", J668=H668, "Final", J668=1, "Initial", J668&gt;1, "Medial")</f>
        <v>Final</v>
      </c>
      <c r="M668" s="44" t="str">
        <f t="shared" si="1338"/>
        <v>-</v>
      </c>
      <c r="N668" s="5" t="str">
        <f t="shared" si="5"/>
        <v>ru</v>
      </c>
      <c r="O668" s="5">
        <f t="shared" si="6"/>
        <v>3</v>
      </c>
      <c r="P668" s="5" t="str">
        <f t="shared" si="7"/>
        <v>ku</v>
      </c>
      <c r="Q668" s="5" t="str">
        <f t="shared" si="8"/>
        <v>-</v>
      </c>
      <c r="R668" s="3"/>
      <c r="S668" s="3" t="s">
        <v>2066</v>
      </c>
      <c r="T668" s="3" t="s">
        <v>2067</v>
      </c>
      <c r="U668" s="3" t="s">
        <v>22</v>
      </c>
      <c r="V668" s="5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>
      <c r="A669" s="3" t="s">
        <v>14</v>
      </c>
      <c r="B669" s="3" t="s">
        <v>2068</v>
      </c>
      <c r="C669" s="3" t="s">
        <v>2069</v>
      </c>
      <c r="D669" s="3" t="s">
        <v>2070</v>
      </c>
      <c r="E669" s="3" t="s">
        <v>2071</v>
      </c>
      <c r="F669" s="3" t="s">
        <v>128</v>
      </c>
      <c r="G669" s="17" t="s">
        <v>36</v>
      </c>
      <c r="H669" s="43">
        <f t="shared" ref="H669:I669" si="1339">LEN(D669)-LEN(B669)+1</f>
        <v>2</v>
      </c>
      <c r="I669" s="43">
        <f t="shared" si="1339"/>
        <v>2</v>
      </c>
      <c r="J669" s="4">
        <v>1.0</v>
      </c>
      <c r="K669" s="4" t="s">
        <v>36</v>
      </c>
      <c r="L669" s="5" t="str">
        <f t="shared" ref="L669:M669" si="1340">IFS(J669="-", "-", J669=H669, "Final", J669=1, "Initial", J669&gt;1, "Medial")</f>
        <v>Initial</v>
      </c>
      <c r="M669" s="44" t="str">
        <f t="shared" si="1340"/>
        <v>-</v>
      </c>
      <c r="N669" s="5" t="str">
        <f t="shared" si="5"/>
        <v>0</v>
      </c>
      <c r="O669" s="5" t="str">
        <f t="shared" si="6"/>
        <v>ˈbaw</v>
      </c>
      <c r="P669" s="5" t="str">
        <f t="shared" si="7"/>
        <v>0</v>
      </c>
      <c r="Q669" s="5" t="str">
        <f t="shared" si="8"/>
        <v>ˈba</v>
      </c>
      <c r="R669" s="3"/>
      <c r="S669" s="3" t="s">
        <v>2072</v>
      </c>
      <c r="T669" s="3" t="s">
        <v>2073</v>
      </c>
      <c r="U669" s="3" t="s">
        <v>22</v>
      </c>
      <c r="V669" s="5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>
      <c r="A670" s="3" t="s">
        <v>14</v>
      </c>
      <c r="B670" s="3" t="s">
        <v>2068</v>
      </c>
      <c r="C670" s="3" t="s">
        <v>2069</v>
      </c>
      <c r="D670" s="3" t="s">
        <v>2070</v>
      </c>
      <c r="E670" s="3" t="s">
        <v>2071</v>
      </c>
      <c r="F670" s="3" t="s">
        <v>2074</v>
      </c>
      <c r="G670" s="3" t="s">
        <v>1248</v>
      </c>
      <c r="H670" s="43">
        <f t="shared" ref="H670:I670" si="1341">LEN(D670)-LEN(B670)+1</f>
        <v>2</v>
      </c>
      <c r="I670" s="43">
        <f t="shared" si="1341"/>
        <v>2</v>
      </c>
      <c r="J670" s="4">
        <v>2.0</v>
      </c>
      <c r="K670" s="4">
        <v>1.0</v>
      </c>
      <c r="L670" s="5" t="str">
        <f t="shared" ref="L670:M670" si="1342">IFS(J670="-", "-", J670=H670, "Final", J670=1, "Initial", J670&gt;1, "Medial")</f>
        <v>Final</v>
      </c>
      <c r="M670" s="44" t="str">
        <f t="shared" si="1342"/>
        <v>Initial</v>
      </c>
      <c r="N670" s="5" t="str">
        <f t="shared" si="5"/>
        <v>u</v>
      </c>
      <c r="O670" s="5" t="str">
        <f t="shared" si="6"/>
        <v>-</v>
      </c>
      <c r="P670" s="5" t="str">
        <f t="shared" si="7"/>
        <v>-</v>
      </c>
      <c r="Q670" s="5" t="str">
        <f t="shared" si="8"/>
        <v>ʀu</v>
      </c>
      <c r="R670" s="3"/>
      <c r="S670" s="3"/>
      <c r="T670" s="3"/>
      <c r="U670" s="3"/>
      <c r="V670" s="5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>
      <c r="A671" s="3" t="s">
        <v>14</v>
      </c>
      <c r="B671" s="3" t="s">
        <v>2068</v>
      </c>
      <c r="C671" s="3" t="s">
        <v>2069</v>
      </c>
      <c r="D671" s="3" t="s">
        <v>2070</v>
      </c>
      <c r="E671" s="3" t="s">
        <v>2071</v>
      </c>
      <c r="F671" s="17" t="s">
        <v>36</v>
      </c>
      <c r="G671" s="3" t="s">
        <v>591</v>
      </c>
      <c r="H671" s="43">
        <f t="shared" ref="H671:I671" si="1343">LEN(D671)-LEN(B671)+1</f>
        <v>2</v>
      </c>
      <c r="I671" s="43">
        <f t="shared" si="1343"/>
        <v>2</v>
      </c>
      <c r="J671" s="4" t="s">
        <v>36</v>
      </c>
      <c r="K671" s="4">
        <v>2.0</v>
      </c>
      <c r="L671" s="5" t="str">
        <f t="shared" ref="L671:M671" si="1344">IFS(J671="-", "-", J671=H671, "Final", J671=1, "Initial", J671&gt;1, "Medial")</f>
        <v>-</v>
      </c>
      <c r="M671" s="44" t="str">
        <f t="shared" si="1344"/>
        <v>Final</v>
      </c>
      <c r="N671" s="5" t="str">
        <f t="shared" si="5"/>
        <v>ˈbaw</v>
      </c>
      <c r="O671" s="5" t="str">
        <f t="shared" si="6"/>
        <v>-</v>
      </c>
      <c r="P671" s="5" t="str">
        <f t="shared" si="7"/>
        <v>ˈba</v>
      </c>
      <c r="Q671" s="5">
        <f t="shared" si="8"/>
        <v>2</v>
      </c>
      <c r="R671" s="3"/>
      <c r="S671" s="3" t="s">
        <v>2072</v>
      </c>
      <c r="T671" s="3" t="s">
        <v>2073</v>
      </c>
      <c r="U671" s="3" t="s">
        <v>22</v>
      </c>
      <c r="V671" s="5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>
      <c r="A672" s="15" t="s">
        <v>14</v>
      </c>
      <c r="B672" s="15" t="s">
        <v>2075</v>
      </c>
      <c r="C672" s="15" t="s">
        <v>2076</v>
      </c>
      <c r="D672" s="15" t="s">
        <v>2077</v>
      </c>
      <c r="E672" s="15" t="s">
        <v>2078</v>
      </c>
      <c r="F672" s="15"/>
      <c r="G672" s="15"/>
      <c r="H672" s="43">
        <f t="shared" ref="H672:I672" si="1345">LEN(D672)-LEN(B672)+1</f>
        <v>3</v>
      </c>
      <c r="I672" s="43">
        <f t="shared" si="1345"/>
        <v>2</v>
      </c>
      <c r="J672" s="18"/>
      <c r="K672" s="18"/>
      <c r="L672" s="5" t="str">
        <f t="shared" ref="L672:M672" si="1346">IFS(J672="-", "-", J672=H672, "Final", J672=1, "Initial", J672&gt;1, "Medial")</f>
        <v>#N/A</v>
      </c>
      <c r="M672" s="44" t="str">
        <f t="shared" si="1346"/>
        <v>#N/A</v>
      </c>
      <c r="N672" s="5" t="str">
        <f t="shared" si="5"/>
        <v>0</v>
      </c>
      <c r="O672" s="5" t="str">
        <f t="shared" si="6"/>
        <v/>
      </c>
      <c r="P672" s="5" t="str">
        <f t="shared" si="7"/>
        <v>0</v>
      </c>
      <c r="Q672" s="5" t="str">
        <f t="shared" si="8"/>
        <v/>
      </c>
      <c r="R672" s="15"/>
      <c r="S672" s="15" t="s">
        <v>2079</v>
      </c>
      <c r="T672" s="15" t="s">
        <v>2080</v>
      </c>
      <c r="U672" s="15" t="s">
        <v>22</v>
      </c>
      <c r="V672" s="15" t="s">
        <v>560</v>
      </c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</row>
    <row r="673">
      <c r="A673" s="3" t="s">
        <v>14</v>
      </c>
      <c r="B673" s="3" t="s">
        <v>2081</v>
      </c>
      <c r="C673" s="3" t="s">
        <v>2082</v>
      </c>
      <c r="D673" s="3" t="s">
        <v>2081</v>
      </c>
      <c r="E673" s="3" t="s">
        <v>2083</v>
      </c>
      <c r="F673" s="3" t="s">
        <v>2081</v>
      </c>
      <c r="G673" s="3" t="s">
        <v>2084</v>
      </c>
      <c r="H673" s="43">
        <f t="shared" ref="H673:I673" si="1347">LEN(D673)-LEN(B673)+1</f>
        <v>1</v>
      </c>
      <c r="I673" s="43">
        <f t="shared" si="1347"/>
        <v>2</v>
      </c>
      <c r="J673" s="4">
        <v>1.0</v>
      </c>
      <c r="K673" s="4">
        <v>1.0</v>
      </c>
      <c r="L673" s="5" t="str">
        <f t="shared" ref="L673:M673" si="1348">IFS(J673="-", "-", J673=H673, "Final", J673=1, "Initial", J673&gt;1, "Medial")</f>
        <v>Final</v>
      </c>
      <c r="M673" s="44" t="str">
        <f t="shared" si="1348"/>
        <v>Initial</v>
      </c>
      <c r="N673" s="5" t="str">
        <f t="shared" si="5"/>
        <v>0</v>
      </c>
      <c r="O673" s="5" t="str">
        <f t="shared" si="6"/>
        <v>-</v>
      </c>
      <c r="P673" s="5" t="str">
        <f t="shared" si="7"/>
        <v>0</v>
      </c>
      <c r="Q673" s="5" t="str">
        <f t="shared" si="8"/>
        <v>u</v>
      </c>
      <c r="R673" s="3" t="s">
        <v>80</v>
      </c>
      <c r="S673" s="3" t="s">
        <v>2085</v>
      </c>
      <c r="T673" s="3" t="s">
        <v>2086</v>
      </c>
      <c r="U673" s="3" t="s">
        <v>22</v>
      </c>
      <c r="V673" s="5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>
      <c r="A674" s="3" t="s">
        <v>14</v>
      </c>
      <c r="B674" s="3" t="s">
        <v>2081</v>
      </c>
      <c r="C674" s="3" t="s">
        <v>2082</v>
      </c>
      <c r="D674" s="3" t="s">
        <v>2081</v>
      </c>
      <c r="E674" s="3" t="s">
        <v>2083</v>
      </c>
      <c r="F674" s="3" t="s">
        <v>36</v>
      </c>
      <c r="G674" s="3" t="s">
        <v>128</v>
      </c>
      <c r="H674" s="43">
        <f t="shared" ref="H674:I674" si="1349">LEN(D674)-LEN(B674)+1</f>
        <v>1</v>
      </c>
      <c r="I674" s="43">
        <f t="shared" si="1349"/>
        <v>2</v>
      </c>
      <c r="J674" s="4" t="s">
        <v>36</v>
      </c>
      <c r="K674" s="4">
        <v>2.0</v>
      </c>
      <c r="L674" s="5" t="str">
        <f t="shared" ref="L674:M674" si="1350">IFS(J674="-", "-", J674=H674, "Final", J674=1, "Initial", J674&gt;1, "Medial")</f>
        <v>-</v>
      </c>
      <c r="M674" s="44" t="str">
        <f t="shared" si="1350"/>
        <v>Final</v>
      </c>
      <c r="N674" s="5" t="str">
        <f t="shared" si="5"/>
        <v>ˈfjo</v>
      </c>
      <c r="O674" s="5" t="str">
        <f t="shared" si="6"/>
        <v>-</v>
      </c>
      <c r="P674" s="5" t="str">
        <f t="shared" si="7"/>
        <v>ˈfɾi</v>
      </c>
      <c r="Q674" s="5">
        <f t="shared" si="8"/>
        <v>2</v>
      </c>
      <c r="R674" s="3"/>
      <c r="S674" s="3" t="s">
        <v>2085</v>
      </c>
      <c r="T674" s="3" t="s">
        <v>2086</v>
      </c>
      <c r="U674" s="3" t="s">
        <v>22</v>
      </c>
      <c r="V674" s="5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>
      <c r="A675" s="15" t="s">
        <v>14</v>
      </c>
      <c r="B675" s="15" t="s">
        <v>2087</v>
      </c>
      <c r="C675" s="15" t="s">
        <v>2088</v>
      </c>
      <c r="D675" s="15" t="s">
        <v>2089</v>
      </c>
      <c r="E675" s="15" t="s">
        <v>2090</v>
      </c>
      <c r="F675" s="15"/>
      <c r="G675" s="15"/>
      <c r="H675" s="43">
        <f t="shared" ref="H675:I675" si="1351">LEN(D675)-LEN(B675)+1</f>
        <v>3</v>
      </c>
      <c r="I675" s="43">
        <f t="shared" si="1351"/>
        <v>2</v>
      </c>
      <c r="J675" s="18"/>
      <c r="K675" s="18"/>
      <c r="L675" s="5" t="str">
        <f t="shared" ref="L675:M675" si="1352">IFS(J675="-", "-", J675=H675, "Final", J675=1, "Initial", J675&gt;1, "Medial")</f>
        <v>#N/A</v>
      </c>
      <c r="M675" s="44" t="str">
        <f t="shared" si="1352"/>
        <v>#N/A</v>
      </c>
      <c r="N675" s="5" t="str">
        <f t="shared" si="5"/>
        <v>0</v>
      </c>
      <c r="O675" s="5" t="str">
        <f t="shared" si="6"/>
        <v/>
      </c>
      <c r="P675" s="5" t="str">
        <f t="shared" si="7"/>
        <v>0</v>
      </c>
      <c r="Q675" s="5" t="str">
        <f t="shared" si="8"/>
        <v/>
      </c>
      <c r="R675" s="15"/>
      <c r="S675" s="15" t="s">
        <v>2091</v>
      </c>
      <c r="T675" s="15" t="s">
        <v>1209</v>
      </c>
      <c r="U675" s="15" t="s">
        <v>22</v>
      </c>
      <c r="V675" s="15" t="s">
        <v>560</v>
      </c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</row>
    <row r="676">
      <c r="A676" s="15" t="s">
        <v>14</v>
      </c>
      <c r="B676" s="15" t="s">
        <v>2092</v>
      </c>
      <c r="C676" s="15" t="s">
        <v>2093</v>
      </c>
      <c r="D676" s="15" t="s">
        <v>2094</v>
      </c>
      <c r="E676" s="15" t="s">
        <v>2095</v>
      </c>
      <c r="F676" s="15" t="s">
        <v>845</v>
      </c>
      <c r="G676" s="15" t="s">
        <v>845</v>
      </c>
      <c r="H676" s="43">
        <f t="shared" ref="H676:I676" si="1353">LEN(D676)-LEN(B676)+1</f>
        <v>2</v>
      </c>
      <c r="I676" s="43">
        <f t="shared" si="1353"/>
        <v>2</v>
      </c>
      <c r="J676" s="18">
        <v>1.0</v>
      </c>
      <c r="K676" s="18">
        <v>1.0</v>
      </c>
      <c r="L676" s="5" t="str">
        <f t="shared" ref="L676:M676" si="1354">IFS(J676="-", "-", J676=H676, "Final", J676=1, "Initial", J676&gt;1, "Medial")</f>
        <v>Initial</v>
      </c>
      <c r="M676" s="44" t="str">
        <f t="shared" si="1354"/>
        <v>Initial</v>
      </c>
      <c r="N676" s="5" t="str">
        <f t="shared" si="5"/>
        <v>0</v>
      </c>
      <c r="O676" s="5" t="str">
        <f t="shared" si="6"/>
        <v>ɛ</v>
      </c>
      <c r="P676" s="5" t="str">
        <f t="shared" si="7"/>
        <v>0</v>
      </c>
      <c r="Q676" s="5" t="str">
        <f t="shared" si="8"/>
        <v>ʎɐ</v>
      </c>
      <c r="R676" s="15" t="s">
        <v>80</v>
      </c>
      <c r="S676" s="15" t="s">
        <v>2096</v>
      </c>
      <c r="T676" s="15" t="s">
        <v>2097</v>
      </c>
      <c r="U676" s="15" t="s">
        <v>22</v>
      </c>
      <c r="V676" s="20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</row>
    <row r="677">
      <c r="A677" s="15" t="s">
        <v>14</v>
      </c>
      <c r="B677" s="15" t="s">
        <v>2092</v>
      </c>
      <c r="C677" s="15" t="s">
        <v>2093</v>
      </c>
      <c r="D677" s="15" t="s">
        <v>2092</v>
      </c>
      <c r="E677" s="15" t="s">
        <v>2095</v>
      </c>
      <c r="F677" s="15" t="s">
        <v>2098</v>
      </c>
      <c r="G677" s="15" t="s">
        <v>482</v>
      </c>
      <c r="H677" s="43">
        <f t="shared" ref="H677:I677" si="1355">LEN(D677)-LEN(B677)+1</f>
        <v>1</v>
      </c>
      <c r="I677" s="43">
        <f t="shared" si="1355"/>
        <v>2</v>
      </c>
      <c r="J677" s="18">
        <v>2.0</v>
      </c>
      <c r="K677" s="18">
        <v>2.0</v>
      </c>
      <c r="L677" s="5" t="str">
        <f t="shared" ref="L677:M677" si="1356">IFS(J677="-", "-", J677=H677, "Final", J677=1, "Initial", J677&gt;1, "Medial")</f>
        <v>Medial</v>
      </c>
      <c r="M677" s="44" t="str">
        <f t="shared" si="1356"/>
        <v>Final</v>
      </c>
      <c r="N677" s="5" t="str">
        <f t="shared" si="5"/>
        <v>ˈi</v>
      </c>
      <c r="O677" s="5">
        <f t="shared" si="6"/>
        <v>2</v>
      </c>
      <c r="P677" s="5" t="str">
        <f t="shared" si="7"/>
        <v>ˈi</v>
      </c>
      <c r="Q677" s="5">
        <f t="shared" si="8"/>
        <v>2</v>
      </c>
      <c r="R677" s="15"/>
      <c r="S677" s="15" t="s">
        <v>2096</v>
      </c>
      <c r="T677" s="15" t="s">
        <v>2097</v>
      </c>
      <c r="U677" s="15" t="s">
        <v>22</v>
      </c>
      <c r="V677" s="20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</row>
    <row r="678">
      <c r="A678" s="3" t="s">
        <v>14</v>
      </c>
      <c r="B678" s="3" t="s">
        <v>2099</v>
      </c>
      <c r="C678" s="3" t="s">
        <v>2100</v>
      </c>
      <c r="D678" s="3" t="s">
        <v>2101</v>
      </c>
      <c r="E678" s="3" t="s">
        <v>2102</v>
      </c>
      <c r="F678" s="3" t="s">
        <v>108</v>
      </c>
      <c r="G678" s="3" t="s">
        <v>175</v>
      </c>
      <c r="H678" s="43">
        <f t="shared" ref="H678:I678" si="1357">LEN(D678)-LEN(B678)+1</f>
        <v>2</v>
      </c>
      <c r="I678" s="43">
        <f t="shared" si="1357"/>
        <v>2</v>
      </c>
      <c r="J678" s="4">
        <v>1.0</v>
      </c>
      <c r="K678" s="4">
        <v>1.0</v>
      </c>
      <c r="L678" s="5" t="str">
        <f t="shared" ref="L678:M678" si="1358">IFS(J678="-", "-", J678=H678, "Final", J678=1, "Initial", J678&gt;1, "Medial")</f>
        <v>Initial</v>
      </c>
      <c r="M678" s="44" t="str">
        <f t="shared" si="1358"/>
        <v>Initial</v>
      </c>
      <c r="N678" s="5" t="str">
        <f t="shared" si="5"/>
        <v>0</v>
      </c>
      <c r="O678" s="5" t="str">
        <f t="shared" si="6"/>
        <v>ˈlo</v>
      </c>
      <c r="P678" s="5" t="str">
        <f t="shared" si="7"/>
        <v>0</v>
      </c>
      <c r="Q678" s="5" t="str">
        <f t="shared" si="8"/>
        <v>ˈloɾ</v>
      </c>
      <c r="R678" s="3"/>
      <c r="S678" s="3" t="s">
        <v>2103</v>
      </c>
      <c r="T678" s="3" t="s">
        <v>2104</v>
      </c>
      <c r="U678" s="3" t="s">
        <v>22</v>
      </c>
      <c r="V678" s="5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>
      <c r="A679" s="3" t="s">
        <v>14</v>
      </c>
      <c r="B679" s="3" t="s">
        <v>2099</v>
      </c>
      <c r="C679" s="3" t="s">
        <v>2100</v>
      </c>
      <c r="D679" s="3" t="s">
        <v>2101</v>
      </c>
      <c r="E679" s="3" t="s">
        <v>2102</v>
      </c>
      <c r="F679" s="3" t="s">
        <v>2105</v>
      </c>
      <c r="G679" s="3" t="s">
        <v>2106</v>
      </c>
      <c r="H679" s="43">
        <f t="shared" ref="H679:I679" si="1359">LEN(D679)-LEN(B679)+1</f>
        <v>2</v>
      </c>
      <c r="I679" s="43">
        <f t="shared" si="1359"/>
        <v>2</v>
      </c>
      <c r="J679" s="4">
        <v>2.0</v>
      </c>
      <c r="K679" s="4">
        <v>2.0</v>
      </c>
      <c r="L679" s="5" t="str">
        <f t="shared" ref="L679:M679" si="1360">IFS(J679="-", "-", J679=H679, "Final", J679=1, "Initial", J679&gt;1, "Medial")</f>
        <v>Final</v>
      </c>
      <c r="M679" s="44" t="str">
        <f t="shared" si="1360"/>
        <v>Final</v>
      </c>
      <c r="N679" s="5" t="str">
        <f t="shared" si="5"/>
        <v>ka</v>
      </c>
      <c r="O679" s="5">
        <f t="shared" si="6"/>
        <v>2</v>
      </c>
      <c r="P679" s="5" t="str">
        <f t="shared" si="7"/>
        <v>kɐ</v>
      </c>
      <c r="Q679" s="5">
        <f t="shared" si="8"/>
        <v>2</v>
      </c>
      <c r="R679" s="3"/>
      <c r="S679" s="3" t="s">
        <v>2103</v>
      </c>
      <c r="T679" s="3" t="s">
        <v>2104</v>
      </c>
      <c r="U679" s="3" t="s">
        <v>22</v>
      </c>
      <c r="V679" s="5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>
      <c r="A680" s="15" t="s">
        <v>14</v>
      </c>
      <c r="B680" s="15" t="s">
        <v>2107</v>
      </c>
      <c r="C680" s="15" t="s">
        <v>2108</v>
      </c>
      <c r="D680" s="15" t="s">
        <v>2109</v>
      </c>
      <c r="E680" s="15" t="s">
        <v>2110</v>
      </c>
      <c r="F680" s="15"/>
      <c r="G680" s="15"/>
      <c r="H680" s="43">
        <f t="shared" ref="H680:I680" si="1361">LEN(D680)-LEN(B680)+1</f>
        <v>2</v>
      </c>
      <c r="I680" s="43">
        <f t="shared" si="1361"/>
        <v>2</v>
      </c>
      <c r="J680" s="18"/>
      <c r="K680" s="18"/>
      <c r="L680" s="5" t="str">
        <f t="shared" ref="L680:M680" si="1362">IFS(J680="-", "-", J680=H680, "Final", J680=1, "Initial", J680&gt;1, "Medial")</f>
        <v>#N/A</v>
      </c>
      <c r="M680" s="44" t="str">
        <f t="shared" si="1362"/>
        <v>#N/A</v>
      </c>
      <c r="N680" s="5" t="str">
        <f t="shared" si="5"/>
        <v>0</v>
      </c>
      <c r="O680" s="5" t="str">
        <f t="shared" si="6"/>
        <v/>
      </c>
      <c r="P680" s="5" t="str">
        <f t="shared" si="7"/>
        <v>0</v>
      </c>
      <c r="Q680" s="5" t="str">
        <f t="shared" si="8"/>
        <v/>
      </c>
      <c r="R680" s="15"/>
      <c r="S680" s="15" t="s">
        <v>2111</v>
      </c>
      <c r="T680" s="15" t="s">
        <v>2112</v>
      </c>
      <c r="U680" s="15" t="s">
        <v>22</v>
      </c>
      <c r="V680" s="15" t="s">
        <v>560</v>
      </c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</row>
    <row r="681">
      <c r="A681" s="15" t="s">
        <v>14</v>
      </c>
      <c r="B681" s="15" t="s">
        <v>2113</v>
      </c>
      <c r="C681" s="15" t="s">
        <v>2114</v>
      </c>
      <c r="D681" s="15" t="s">
        <v>2115</v>
      </c>
      <c r="E681" s="15" t="s">
        <v>2116</v>
      </c>
      <c r="F681" s="15"/>
      <c r="G681" s="15"/>
      <c r="H681" s="43">
        <f t="shared" ref="H681:I681" si="1363">LEN(D681)-LEN(B681)+1</f>
        <v>2</v>
      </c>
      <c r="I681" s="43">
        <f t="shared" si="1363"/>
        <v>4</v>
      </c>
      <c r="J681" s="18"/>
      <c r="K681" s="18"/>
      <c r="L681" s="5" t="str">
        <f t="shared" ref="L681:M681" si="1364">IFS(J681="-", "-", J681=H681, "Final", J681=1, "Initial", J681&gt;1, "Medial")</f>
        <v>#N/A</v>
      </c>
      <c r="M681" s="44" t="str">
        <f t="shared" si="1364"/>
        <v>#N/A</v>
      </c>
      <c r="N681" s="5" t="str">
        <f t="shared" si="5"/>
        <v>0</v>
      </c>
      <c r="O681" s="5" t="str">
        <f t="shared" si="6"/>
        <v/>
      </c>
      <c r="P681" s="5" t="str">
        <f t="shared" si="7"/>
        <v>0</v>
      </c>
      <c r="Q681" s="5" t="str">
        <f t="shared" si="8"/>
        <v/>
      </c>
      <c r="R681" s="15"/>
      <c r="S681" s="15" t="s">
        <v>2117</v>
      </c>
      <c r="T681" s="15" t="s">
        <v>2118</v>
      </c>
      <c r="U681" s="15" t="s">
        <v>22</v>
      </c>
      <c r="V681" s="15" t="s">
        <v>560</v>
      </c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</row>
    <row r="682">
      <c r="A682" s="3" t="s">
        <v>14</v>
      </c>
      <c r="B682" s="3" t="s">
        <v>2119</v>
      </c>
      <c r="C682" s="3" t="s">
        <v>2120</v>
      </c>
      <c r="D682" s="3" t="s">
        <v>2121</v>
      </c>
      <c r="E682" s="3" t="s">
        <v>2122</v>
      </c>
      <c r="F682" s="3" t="s">
        <v>2123</v>
      </c>
      <c r="G682" s="3" t="s">
        <v>2124</v>
      </c>
      <c r="H682" s="43">
        <f t="shared" ref="H682:I682" si="1365">LEN(D682)-LEN(B682)+1</f>
        <v>2</v>
      </c>
      <c r="I682" s="43">
        <f t="shared" si="1365"/>
        <v>2</v>
      </c>
      <c r="J682" s="4">
        <v>1.0</v>
      </c>
      <c r="K682" s="4">
        <v>1.0</v>
      </c>
      <c r="L682" s="5" t="str">
        <f t="shared" ref="L682:M682" si="1366">IFS(J682="-", "-", J682=H682, "Final", J682=1, "Initial", J682&gt;1, "Medial")</f>
        <v>Initial</v>
      </c>
      <c r="M682" s="44" t="str">
        <f t="shared" si="1366"/>
        <v>Initial</v>
      </c>
      <c r="N682" s="5" t="str">
        <f t="shared" si="5"/>
        <v>0</v>
      </c>
      <c r="O682" s="5" t="str">
        <f t="shared" si="6"/>
        <v>vi</v>
      </c>
      <c r="P682" s="5" t="str">
        <f t="shared" si="7"/>
        <v>0</v>
      </c>
      <c r="Q682" s="5" t="str">
        <f t="shared" si="8"/>
        <v>vɐ̃j̃</v>
      </c>
      <c r="R682" s="3" t="s">
        <v>72</v>
      </c>
      <c r="S682" s="3" t="s">
        <v>2125</v>
      </c>
      <c r="T682" s="3" t="s">
        <v>2126</v>
      </c>
      <c r="U682" s="3" t="s">
        <v>22</v>
      </c>
      <c r="V682" s="5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>
      <c r="A683" s="3" t="s">
        <v>14</v>
      </c>
      <c r="B683" s="3" t="s">
        <v>2119</v>
      </c>
      <c r="C683" s="3" t="s">
        <v>2120</v>
      </c>
      <c r="D683" s="3" t="s">
        <v>2121</v>
      </c>
      <c r="E683" s="3" t="s">
        <v>2122</v>
      </c>
      <c r="F683" s="3" t="s">
        <v>276</v>
      </c>
      <c r="G683" s="3" t="s">
        <v>2127</v>
      </c>
      <c r="H683" s="43">
        <f t="shared" ref="H683:I683" si="1367">LEN(D683)-LEN(B683)+1</f>
        <v>2</v>
      </c>
      <c r="I683" s="43">
        <f t="shared" si="1367"/>
        <v>2</v>
      </c>
      <c r="J683" s="4">
        <v>2.0</v>
      </c>
      <c r="K683" s="4">
        <v>2.0</v>
      </c>
      <c r="L683" s="5" t="str">
        <f t="shared" ref="L683:M683" si="1368">IFS(J683="-", "-", J683=H683, "Final", J683=1, "Initial", J683&gt;1, "Medial")</f>
        <v>Final</v>
      </c>
      <c r="M683" s="44" t="str">
        <f t="shared" si="1368"/>
        <v>Final</v>
      </c>
      <c r="N683" s="5" t="str">
        <f t="shared" si="5"/>
        <v>ˈno</v>
      </c>
      <c r="O683" s="5">
        <f t="shared" si="6"/>
        <v>2</v>
      </c>
      <c r="P683" s="5" t="str">
        <f t="shared" si="7"/>
        <v>ˈnu</v>
      </c>
      <c r="Q683" s="5">
        <f t="shared" si="8"/>
        <v>2</v>
      </c>
      <c r="R683" s="3"/>
      <c r="S683" s="3" t="s">
        <v>2125</v>
      </c>
      <c r="T683" s="3" t="s">
        <v>2126</v>
      </c>
      <c r="U683" s="3" t="s">
        <v>22</v>
      </c>
      <c r="V683" s="5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>
      <c r="A684" s="3" t="s">
        <v>14</v>
      </c>
      <c r="B684" s="3" t="s">
        <v>2128</v>
      </c>
      <c r="C684" s="3" t="s">
        <v>2129</v>
      </c>
      <c r="D684" s="3" t="s">
        <v>2130</v>
      </c>
      <c r="E684" s="3" t="s">
        <v>2131</v>
      </c>
      <c r="F684" s="3" t="s">
        <v>128</v>
      </c>
      <c r="G684" s="3" t="s">
        <v>2132</v>
      </c>
      <c r="H684" s="43">
        <f t="shared" ref="H684:I684" si="1369">LEN(D684)-LEN(B684)+1</f>
        <v>2</v>
      </c>
      <c r="I684" s="43">
        <f t="shared" si="1369"/>
        <v>2</v>
      </c>
      <c r="J684" s="4">
        <v>1.0</v>
      </c>
      <c r="K684" s="4">
        <v>1.0</v>
      </c>
      <c r="L684" s="5" t="str">
        <f t="shared" ref="L684:M684" si="1370">IFS(J684="-", "-", J684=H684, "Final", J684=1, "Initial", J684&gt;1, "Medial")</f>
        <v>Initial</v>
      </c>
      <c r="M684" s="44" t="str">
        <f t="shared" si="1370"/>
        <v>Initial</v>
      </c>
      <c r="N684" s="5" t="str">
        <f t="shared" si="5"/>
        <v>0</v>
      </c>
      <c r="O684" s="5" t="str">
        <f t="shared" si="6"/>
        <v>ˈnwa</v>
      </c>
      <c r="P684" s="5" t="str">
        <f t="shared" si="7"/>
        <v>0</v>
      </c>
      <c r="Q684" s="5" t="str">
        <f t="shared" si="8"/>
        <v>ɐ</v>
      </c>
      <c r="R684" s="3" t="s">
        <v>2133</v>
      </c>
      <c r="S684" s="3" t="s">
        <v>2134</v>
      </c>
      <c r="T684" s="3" t="s">
        <v>2135</v>
      </c>
      <c r="U684" s="3" t="s">
        <v>22</v>
      </c>
      <c r="V684" s="5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>
      <c r="A685" s="3" t="s">
        <v>14</v>
      </c>
      <c r="B685" s="3" t="s">
        <v>2128</v>
      </c>
      <c r="C685" s="3" t="s">
        <v>2129</v>
      </c>
      <c r="D685" s="3" t="s">
        <v>2130</v>
      </c>
      <c r="E685" s="3" t="s">
        <v>2131</v>
      </c>
      <c r="F685" s="3" t="s">
        <v>2136</v>
      </c>
      <c r="G685" s="3" t="s">
        <v>49</v>
      </c>
      <c r="H685" s="43">
        <f t="shared" ref="H685:I685" si="1371">LEN(D685)-LEN(B685)+1</f>
        <v>2</v>
      </c>
      <c r="I685" s="43">
        <f t="shared" si="1371"/>
        <v>2</v>
      </c>
      <c r="J685" s="4">
        <v>2.0</v>
      </c>
      <c r="K685" s="4">
        <v>2.0</v>
      </c>
      <c r="L685" s="5" t="str">
        <f t="shared" ref="L685:M685" si="1372">IFS(J685="-", "-", J685=H685, "Final", J685=1, "Initial", J685&gt;1, "Medial")</f>
        <v>Final</v>
      </c>
      <c r="M685" s="44" t="str">
        <f t="shared" si="1372"/>
        <v>Final</v>
      </c>
      <c r="N685" s="5" t="str">
        <f t="shared" si="5"/>
        <v>u</v>
      </c>
      <c r="O685" s="5">
        <f t="shared" si="6"/>
        <v>2</v>
      </c>
      <c r="P685" s="5" t="str">
        <f t="shared" si="7"/>
        <v>ˈlu</v>
      </c>
      <c r="Q685" s="5">
        <f t="shared" si="8"/>
        <v>2</v>
      </c>
      <c r="R685" s="3"/>
      <c r="S685" s="3" t="s">
        <v>2134</v>
      </c>
      <c r="T685" s="3" t="s">
        <v>2135</v>
      </c>
      <c r="U685" s="3" t="s">
        <v>22</v>
      </c>
      <c r="V685" s="5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>
      <c r="A686" s="3" t="s">
        <v>14</v>
      </c>
      <c r="B686" s="3" t="s">
        <v>2137</v>
      </c>
      <c r="C686" s="3" t="s">
        <v>2138</v>
      </c>
      <c r="D686" s="3" t="s">
        <v>2139</v>
      </c>
      <c r="E686" s="3" t="s">
        <v>2140</v>
      </c>
      <c r="F686" s="3" t="s">
        <v>287</v>
      </c>
      <c r="G686" s="3" t="s">
        <v>2141</v>
      </c>
      <c r="H686" s="43">
        <f t="shared" ref="H686:I686" si="1373">LEN(D686)-LEN(B686)+1</f>
        <v>2</v>
      </c>
      <c r="I686" s="43">
        <f t="shared" si="1373"/>
        <v>2</v>
      </c>
      <c r="J686" s="4">
        <v>1.0</v>
      </c>
      <c r="K686" s="4">
        <v>1.0</v>
      </c>
      <c r="L686" s="5" t="str">
        <f t="shared" ref="L686:M686" si="1374">IFS(J686="-", "-", J686=H686, "Final", J686=1, "Initial", J686&gt;1, "Medial")</f>
        <v>Initial</v>
      </c>
      <c r="M686" s="44" t="str">
        <f t="shared" si="1374"/>
        <v>Initial</v>
      </c>
      <c r="N686" s="5" t="str">
        <f t="shared" si="5"/>
        <v>0</v>
      </c>
      <c r="O686" s="5" t="str">
        <f t="shared" si="6"/>
        <v>ˈɲɐ̃</v>
      </c>
      <c r="P686" s="5" t="str">
        <f t="shared" si="7"/>
        <v>0</v>
      </c>
      <c r="Q686" s="5" t="str">
        <f t="shared" si="8"/>
        <v>ɲɐ</v>
      </c>
      <c r="R686" s="3"/>
      <c r="S686" s="3" t="s">
        <v>2142</v>
      </c>
      <c r="T686" s="3" t="s">
        <v>2143</v>
      </c>
      <c r="U686" s="3" t="s">
        <v>22</v>
      </c>
      <c r="V686" s="5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>
      <c r="A687" s="3" t="s">
        <v>14</v>
      </c>
      <c r="B687" s="3" t="s">
        <v>2137</v>
      </c>
      <c r="C687" s="3" t="s">
        <v>2138</v>
      </c>
      <c r="D687" s="3" t="s">
        <v>2139</v>
      </c>
      <c r="E687" s="3" t="s">
        <v>2140</v>
      </c>
      <c r="F687" s="3" t="s">
        <v>624</v>
      </c>
      <c r="G687" s="3" t="s">
        <v>75</v>
      </c>
      <c r="H687" s="43">
        <f t="shared" ref="H687:I687" si="1375">LEN(D687)-LEN(B687)+1</f>
        <v>2</v>
      </c>
      <c r="I687" s="43">
        <f t="shared" si="1375"/>
        <v>2</v>
      </c>
      <c r="J687" s="4">
        <v>2.0</v>
      </c>
      <c r="K687" s="4">
        <v>2.0</v>
      </c>
      <c r="L687" s="5" t="str">
        <f t="shared" ref="L687:M687" si="1376">IFS(J687="-", "-", J687=H687, "Final", J687=1, "Initial", J687&gt;1, "Medial")</f>
        <v>Final</v>
      </c>
      <c r="M687" s="44" t="str">
        <f t="shared" si="1376"/>
        <v>Final</v>
      </c>
      <c r="N687" s="5" t="str">
        <f t="shared" si="5"/>
        <v>i</v>
      </c>
      <c r="O687" s="5">
        <f t="shared" si="6"/>
        <v>2</v>
      </c>
      <c r="P687" s="5" t="str">
        <f t="shared" si="7"/>
        <v>ˈlɐ</v>
      </c>
      <c r="Q687" s="5">
        <f t="shared" si="8"/>
        <v>2</v>
      </c>
      <c r="R687" s="3"/>
      <c r="S687" s="3" t="s">
        <v>2142</v>
      </c>
      <c r="T687" s="3" t="s">
        <v>2143</v>
      </c>
      <c r="U687" s="3" t="s">
        <v>22</v>
      </c>
      <c r="V687" s="5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>
      <c r="A688" s="3" t="s">
        <v>14</v>
      </c>
      <c r="B688" s="3" t="s">
        <v>2144</v>
      </c>
      <c r="C688" s="3" t="s">
        <v>1211</v>
      </c>
      <c r="D688" s="3" t="s">
        <v>2145</v>
      </c>
      <c r="E688" s="3" t="s">
        <v>1211</v>
      </c>
      <c r="F688" s="3" t="s">
        <v>29</v>
      </c>
      <c r="G688" s="17" t="s">
        <v>36</v>
      </c>
      <c r="H688" s="43">
        <f t="shared" ref="H688:I688" si="1377">LEN(D688)-LEN(B688)+1</f>
        <v>2</v>
      </c>
      <c r="I688" s="43">
        <f t="shared" si="1377"/>
        <v>1</v>
      </c>
      <c r="J688" s="4">
        <v>1.0</v>
      </c>
      <c r="K688" s="4">
        <v>1.0</v>
      </c>
      <c r="L688" s="5" t="str">
        <f t="shared" ref="L688:M688" si="1378">IFS(J688="-", "-", J688=H688, "Final", J688=1, "Initial", J688&gt;1, "Medial")</f>
        <v>Initial</v>
      </c>
      <c r="M688" s="44" t="str">
        <f t="shared" si="1378"/>
        <v>Final</v>
      </c>
      <c r="N688" s="5" t="str">
        <f t="shared" si="5"/>
        <v>0</v>
      </c>
      <c r="O688" s="5" t="str">
        <f t="shared" si="6"/>
        <v>ˈmwe</v>
      </c>
      <c r="P688" s="5" t="str">
        <f t="shared" si="7"/>
        <v>0</v>
      </c>
      <c r="Q688" s="5" t="str">
        <f t="shared" si="8"/>
        <v>ˈmaɾ</v>
      </c>
      <c r="R688" s="3"/>
      <c r="S688" s="3" t="s">
        <v>2146</v>
      </c>
      <c r="T688" s="3" t="s">
        <v>2147</v>
      </c>
      <c r="U688" s="3" t="s">
        <v>22</v>
      </c>
      <c r="V688" s="5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>
      <c r="A689" s="3" t="s">
        <v>14</v>
      </c>
      <c r="B689" s="3" t="s">
        <v>2144</v>
      </c>
      <c r="C689" s="3" t="s">
        <v>1211</v>
      </c>
      <c r="D689" s="3" t="s">
        <v>2145</v>
      </c>
      <c r="E689" s="3" t="s">
        <v>1211</v>
      </c>
      <c r="F689" s="3" t="s">
        <v>661</v>
      </c>
      <c r="G689" s="3" t="s">
        <v>1211</v>
      </c>
      <c r="H689" s="43">
        <f t="shared" ref="H689:I689" si="1379">LEN(D689)-LEN(B689)+1</f>
        <v>2</v>
      </c>
      <c r="I689" s="43">
        <f t="shared" si="1379"/>
        <v>1</v>
      </c>
      <c r="J689" s="4">
        <v>2.0</v>
      </c>
      <c r="K689" s="4" t="s">
        <v>36</v>
      </c>
      <c r="L689" s="5" t="str">
        <f t="shared" ref="L689:M689" si="1380">IFS(J689="-", "-", J689=H689, "Final", J689=1, "Initial", J689&gt;1, "Medial")</f>
        <v>Final</v>
      </c>
      <c r="M689" s="44" t="str">
        <f t="shared" si="1380"/>
        <v>-</v>
      </c>
      <c r="N689" s="5" t="str">
        <f t="shared" si="5"/>
        <v>o</v>
      </c>
      <c r="O689" s="5">
        <f t="shared" si="6"/>
        <v>2</v>
      </c>
      <c r="P689" s="5" t="str">
        <f t="shared" si="7"/>
        <v>-</v>
      </c>
      <c r="Q689" s="5" t="str">
        <f t="shared" si="8"/>
        <v>-</v>
      </c>
      <c r="R689" s="3"/>
      <c r="S689" s="3" t="s">
        <v>2146</v>
      </c>
      <c r="T689" s="3" t="s">
        <v>2147</v>
      </c>
      <c r="U689" s="3" t="s">
        <v>22</v>
      </c>
      <c r="V689" s="5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>
      <c r="A690" s="15" t="s">
        <v>14</v>
      </c>
      <c r="B690" s="15" t="s">
        <v>2148</v>
      </c>
      <c r="C690" s="15" t="s">
        <v>2149</v>
      </c>
      <c r="D690" s="15" t="s">
        <v>2150</v>
      </c>
      <c r="E690" s="15" t="s">
        <v>2149</v>
      </c>
      <c r="F690" s="15" t="s">
        <v>471</v>
      </c>
      <c r="G690" s="15" t="s">
        <v>36</v>
      </c>
      <c r="H690" s="43">
        <f t="shared" ref="H690:I690" si="1381">LEN(D690)-LEN(B690)+1</f>
        <v>2</v>
      </c>
      <c r="I690" s="43">
        <f t="shared" si="1381"/>
        <v>1</v>
      </c>
      <c r="J690" s="18">
        <v>1.0</v>
      </c>
      <c r="K690" s="18" t="s">
        <v>36</v>
      </c>
      <c r="L690" s="5" t="str">
        <f t="shared" ref="L690:M690" si="1382">IFS(J690="-", "-", J690=H690, "Final", J690=1, "Initial", J690&gt;1, "Medial")</f>
        <v>Initial</v>
      </c>
      <c r="M690" s="44" t="str">
        <f t="shared" si="1382"/>
        <v>-</v>
      </c>
      <c r="N690" s="5" t="str">
        <f t="shared" si="5"/>
        <v>0</v>
      </c>
      <c r="O690" s="5" t="str">
        <f t="shared" si="6"/>
        <v>ˈpɔ</v>
      </c>
      <c r="P690" s="5" t="str">
        <f t="shared" si="7"/>
        <v>0</v>
      </c>
      <c r="Q690" s="5" t="str">
        <f t="shared" si="8"/>
        <v>ˈpɔ</v>
      </c>
      <c r="R690" s="15"/>
      <c r="S690" s="15" t="s">
        <v>2151</v>
      </c>
      <c r="T690" s="15" t="s">
        <v>2152</v>
      </c>
      <c r="U690" s="15" t="s">
        <v>22</v>
      </c>
      <c r="V690" s="20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</row>
    <row r="691">
      <c r="A691" s="15" t="s">
        <v>14</v>
      </c>
      <c r="B691" s="15" t="s">
        <v>2148</v>
      </c>
      <c r="C691" s="15" t="s">
        <v>2149</v>
      </c>
      <c r="D691" s="15" t="s">
        <v>2150</v>
      </c>
      <c r="E691" s="15" t="s">
        <v>2149</v>
      </c>
      <c r="F691" s="15" t="s">
        <v>2149</v>
      </c>
      <c r="G691" s="15" t="s">
        <v>2149</v>
      </c>
      <c r="H691" s="43">
        <f t="shared" ref="H691:I691" si="1383">LEN(D691)-LEN(B691)+1</f>
        <v>2</v>
      </c>
      <c r="I691" s="43">
        <f t="shared" si="1383"/>
        <v>1</v>
      </c>
      <c r="J691" s="18">
        <v>2.0</v>
      </c>
      <c r="K691" s="18">
        <v>1.0</v>
      </c>
      <c r="L691" s="5" t="str">
        <f t="shared" ref="L691:M691" si="1384">IFS(J691="-", "-", J691=H691, "Final", J691=1, "Initial", J691&gt;1, "Medial")</f>
        <v>Final</v>
      </c>
      <c r="M691" s="44" t="str">
        <f t="shared" si="1384"/>
        <v>Final</v>
      </c>
      <c r="N691" s="5" t="str">
        <f t="shared" si="5"/>
        <v>ɔ</v>
      </c>
      <c r="O691" s="5">
        <f t="shared" si="6"/>
        <v>2</v>
      </c>
      <c r="P691" s="5" t="str">
        <f t="shared" si="7"/>
        <v>-</v>
      </c>
      <c r="Q691" s="5">
        <f t="shared" si="8"/>
        <v>1</v>
      </c>
      <c r="R691" s="15"/>
      <c r="S691" s="15" t="s">
        <v>2151</v>
      </c>
      <c r="T691" s="15" t="s">
        <v>2152</v>
      </c>
      <c r="U691" s="15" t="s">
        <v>22</v>
      </c>
      <c r="V691" s="20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</row>
    <row r="692">
      <c r="A692" s="3" t="s">
        <v>14</v>
      </c>
      <c r="B692" s="3" t="s">
        <v>2153</v>
      </c>
      <c r="C692" s="3" t="s">
        <v>2154</v>
      </c>
      <c r="D692" s="3" t="s">
        <v>2155</v>
      </c>
      <c r="E692" s="3" t="s">
        <v>2156</v>
      </c>
      <c r="F692" s="3" t="s">
        <v>29</v>
      </c>
      <c r="G692" s="3" t="s">
        <v>36</v>
      </c>
      <c r="H692" s="43">
        <f t="shared" ref="H692:I692" si="1385">LEN(D692)-LEN(B692)+1</f>
        <v>2</v>
      </c>
      <c r="I692" s="43">
        <f t="shared" si="1385"/>
        <v>2</v>
      </c>
      <c r="J692" s="4">
        <v>1.0</v>
      </c>
      <c r="K692" s="25" t="s">
        <v>36</v>
      </c>
      <c r="L692" s="5" t="str">
        <f t="shared" ref="L692:M692" si="1386">IFS(J692="-", "-", J692=H692, "Final", J692=1, "Initial", J692&gt;1, "Medial")</f>
        <v>Initial</v>
      </c>
      <c r="M692" s="44" t="str">
        <f t="shared" si="1386"/>
        <v>-</v>
      </c>
      <c r="N692" s="5" t="str">
        <f t="shared" si="5"/>
        <v>0</v>
      </c>
      <c r="O692" s="5" t="str">
        <f t="shared" si="6"/>
        <v>ˈrjo</v>
      </c>
      <c r="P692" s="5" t="str">
        <f t="shared" si="7"/>
        <v>0</v>
      </c>
      <c r="Q692" s="5" t="str">
        <f t="shared" si="8"/>
        <v>ˈʀi</v>
      </c>
      <c r="R692" s="3"/>
      <c r="S692" s="3" t="s">
        <v>2157</v>
      </c>
      <c r="T692" s="3" t="s">
        <v>2158</v>
      </c>
      <c r="U692" s="3" t="s">
        <v>22</v>
      </c>
      <c r="V692" s="5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>
      <c r="A693" s="3" t="s">
        <v>14</v>
      </c>
      <c r="B693" s="3" t="s">
        <v>2153</v>
      </c>
      <c r="C693" s="3" t="s">
        <v>2154</v>
      </c>
      <c r="D693" s="3" t="s">
        <v>2155</v>
      </c>
      <c r="E693" s="3" t="s">
        <v>2156</v>
      </c>
      <c r="F693" s="3" t="s">
        <v>2159</v>
      </c>
      <c r="G693" s="3" t="s">
        <v>344</v>
      </c>
      <c r="H693" s="43">
        <f t="shared" ref="H693:I693" si="1387">LEN(D693)-LEN(B693)+1</f>
        <v>2</v>
      </c>
      <c r="I693" s="43">
        <f t="shared" si="1387"/>
        <v>2</v>
      </c>
      <c r="J693" s="4">
        <v>2.0</v>
      </c>
      <c r="K693" s="4">
        <v>1.0</v>
      </c>
      <c r="L693" s="5" t="str">
        <f t="shared" ref="L693:M693" si="1388">IFS(J693="-", "-", J693=H693, "Final", J693=1, "Initial", J693&gt;1, "Medial")</f>
        <v>Final</v>
      </c>
      <c r="M693" s="44" t="str">
        <f t="shared" si="1388"/>
        <v>Initial</v>
      </c>
      <c r="N693" s="5" t="str">
        <f t="shared" si="5"/>
        <v>o</v>
      </c>
      <c r="O693" s="5" t="str">
        <f t="shared" si="6"/>
        <v>-</v>
      </c>
      <c r="P693" s="5" t="str">
        <f t="shared" si="7"/>
        <v>-</v>
      </c>
      <c r="Q693" s="5" t="str">
        <f t="shared" si="8"/>
        <v>u</v>
      </c>
      <c r="R693" s="3"/>
      <c r="S693" s="3" t="s">
        <v>2157</v>
      </c>
      <c r="T693" s="3" t="s">
        <v>2158</v>
      </c>
      <c r="U693" s="3" t="s">
        <v>22</v>
      </c>
      <c r="V693" s="5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>
      <c r="A694" s="3" t="s">
        <v>14</v>
      </c>
      <c r="B694" s="3" t="s">
        <v>2153</v>
      </c>
      <c r="C694" s="3" t="s">
        <v>2154</v>
      </c>
      <c r="D694" s="3" t="s">
        <v>2155</v>
      </c>
      <c r="E694" s="3" t="s">
        <v>2156</v>
      </c>
      <c r="F694" s="3" t="s">
        <v>36</v>
      </c>
      <c r="G694" s="3" t="s">
        <v>128</v>
      </c>
      <c r="H694" s="43">
        <f t="shared" ref="H694:I694" si="1389">LEN(D694)-LEN(B694)+1</f>
        <v>2</v>
      </c>
      <c r="I694" s="43">
        <f t="shared" si="1389"/>
        <v>2</v>
      </c>
      <c r="J694" s="4" t="s">
        <v>36</v>
      </c>
      <c r="K694" s="4">
        <v>2.0</v>
      </c>
      <c r="L694" s="5" t="str">
        <f t="shared" ref="L694:M694" si="1390">IFS(J694="-", "-", J694=H694, "Final", J694=1, "Initial", J694&gt;1, "Medial")</f>
        <v>-</v>
      </c>
      <c r="M694" s="44" t="str">
        <f t="shared" si="1390"/>
        <v>Final</v>
      </c>
      <c r="N694" s="5" t="str">
        <f t="shared" si="5"/>
        <v>ˈrjo</v>
      </c>
      <c r="O694" s="5" t="str">
        <f t="shared" si="6"/>
        <v>-</v>
      </c>
      <c r="P694" s="5" t="str">
        <f t="shared" si="7"/>
        <v>ˈʀi</v>
      </c>
      <c r="Q694" s="5">
        <f t="shared" si="8"/>
        <v>2</v>
      </c>
      <c r="R694" s="3"/>
      <c r="S694" s="3" t="s">
        <v>2157</v>
      </c>
      <c r="T694" s="3" t="s">
        <v>2158</v>
      </c>
      <c r="U694" s="3" t="s">
        <v>22</v>
      </c>
      <c r="V694" s="5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>
      <c r="A695" s="3" t="s">
        <v>14</v>
      </c>
      <c r="B695" s="3" t="s">
        <v>2160</v>
      </c>
      <c r="C695" s="3" t="s">
        <v>2161</v>
      </c>
      <c r="D695" s="3" t="s">
        <v>2162</v>
      </c>
      <c r="E695" s="3" t="s">
        <v>2161</v>
      </c>
      <c r="F695" s="3" t="s">
        <v>471</v>
      </c>
      <c r="G695" s="17" t="s">
        <v>36</v>
      </c>
      <c r="H695" s="43">
        <f t="shared" ref="H695:I695" si="1391">LEN(D695)-LEN(B695)+1</f>
        <v>2</v>
      </c>
      <c r="I695" s="43">
        <f t="shared" si="1391"/>
        <v>1</v>
      </c>
      <c r="J695" s="4">
        <v>1.0</v>
      </c>
      <c r="K695" s="4" t="s">
        <v>36</v>
      </c>
      <c r="L695" s="5" t="str">
        <f t="shared" ref="L695:M695" si="1392">IFS(J695="-", "-", J695=H695, "Final", J695=1, "Initial", J695&gt;1, "Medial")</f>
        <v>Initial</v>
      </c>
      <c r="M695" s="44" t="str">
        <f t="shared" si="1392"/>
        <v>-</v>
      </c>
      <c r="N695" s="5" t="str">
        <f t="shared" si="5"/>
        <v>0</v>
      </c>
      <c r="O695" s="5" t="str">
        <f t="shared" si="6"/>
        <v>ˈsɛ</v>
      </c>
      <c r="P695" s="5" t="str">
        <f t="shared" si="7"/>
        <v>0</v>
      </c>
      <c r="Q695" s="5" t="str">
        <f t="shared" si="8"/>
        <v>ˈsɛw</v>
      </c>
      <c r="R695" s="3"/>
      <c r="S695" s="3" t="s">
        <v>2163</v>
      </c>
      <c r="T695" s="3" t="s">
        <v>2164</v>
      </c>
      <c r="U695" s="3" t="s">
        <v>22</v>
      </c>
      <c r="V695" s="5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>
      <c r="A696" s="3" t="s">
        <v>14</v>
      </c>
      <c r="B696" s="3" t="s">
        <v>2160</v>
      </c>
      <c r="C696" s="3" t="s">
        <v>2161</v>
      </c>
      <c r="D696" s="3" t="s">
        <v>2162</v>
      </c>
      <c r="E696" s="3" t="s">
        <v>2161</v>
      </c>
      <c r="F696" s="3" t="s">
        <v>614</v>
      </c>
      <c r="G696" s="3" t="s">
        <v>2161</v>
      </c>
      <c r="H696" s="43">
        <f t="shared" ref="H696:I696" si="1393">LEN(D696)-LEN(B696)+1</f>
        <v>2</v>
      </c>
      <c r="I696" s="43">
        <f t="shared" si="1393"/>
        <v>1</v>
      </c>
      <c r="J696" s="4">
        <v>2.0</v>
      </c>
      <c r="K696" s="4">
        <v>1.0</v>
      </c>
      <c r="L696" s="5" t="str">
        <f t="shared" ref="L696:M696" si="1394">IFS(J696="-", "-", J696=H696, "Final", J696=1, "Initial", J696&gt;1, "Medial")</f>
        <v>Final</v>
      </c>
      <c r="M696" s="44" t="str">
        <f t="shared" si="1394"/>
        <v>Final</v>
      </c>
      <c r="N696" s="5" t="str">
        <f t="shared" si="5"/>
        <v>ɔ</v>
      </c>
      <c r="O696" s="5">
        <f t="shared" si="6"/>
        <v>2</v>
      </c>
      <c r="P696" s="5" t="str">
        <f t="shared" si="7"/>
        <v>-</v>
      </c>
      <c r="Q696" s="5">
        <f t="shared" si="8"/>
        <v>1</v>
      </c>
      <c r="R696" s="3"/>
      <c r="S696" s="3" t="s">
        <v>2163</v>
      </c>
      <c r="T696" s="3" t="s">
        <v>2164</v>
      </c>
      <c r="U696" s="3" t="s">
        <v>22</v>
      </c>
      <c r="V696" s="5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>
      <c r="A697" s="15" t="s">
        <v>14</v>
      </c>
      <c r="B697" s="15" t="s">
        <v>2165</v>
      </c>
      <c r="C697" s="15" t="s">
        <v>2166</v>
      </c>
      <c r="D697" s="15" t="s">
        <v>2167</v>
      </c>
      <c r="E697" s="15" t="s">
        <v>2168</v>
      </c>
      <c r="F697" s="15" t="s">
        <v>128</v>
      </c>
      <c r="G697" s="15" t="s">
        <v>36</v>
      </c>
      <c r="H697" s="43">
        <f t="shared" ref="H697:I697" si="1395">LEN(D697)-LEN(B697)+1</f>
        <v>3</v>
      </c>
      <c r="I697" s="43">
        <f t="shared" si="1395"/>
        <v>2</v>
      </c>
      <c r="J697" s="18">
        <v>1.0</v>
      </c>
      <c r="K697" s="18" t="s">
        <v>36</v>
      </c>
      <c r="L697" s="5" t="str">
        <f t="shared" ref="L697:M697" si="1396">IFS(J697="-", "-", J697=H697, "Final", J697=1, "Initial", J697&gt;1, "Medial")</f>
        <v>Initial</v>
      </c>
      <c r="M697" s="44" t="str">
        <f t="shared" si="1396"/>
        <v>-</v>
      </c>
      <c r="N697" s="5" t="str">
        <f t="shared" si="5"/>
        <v>0</v>
      </c>
      <c r="O697" s="5" t="str">
        <f t="shared" si="6"/>
        <v>ˈpi</v>
      </c>
      <c r="P697" s="5" t="str">
        <f t="shared" si="7"/>
        <v>0</v>
      </c>
      <c r="Q697" s="5" t="str">
        <f t="shared" si="8"/>
        <v>ˈpi</v>
      </c>
      <c r="R697" s="15"/>
      <c r="S697" s="15" t="s">
        <v>2169</v>
      </c>
      <c r="T697" s="15" t="s">
        <v>2170</v>
      </c>
      <c r="U697" s="15" t="s">
        <v>22</v>
      </c>
      <c r="V697" s="20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</row>
    <row r="698">
      <c r="A698" s="15" t="s">
        <v>14</v>
      </c>
      <c r="B698" s="15" t="s">
        <v>2165</v>
      </c>
      <c r="C698" s="15" t="s">
        <v>2166</v>
      </c>
      <c r="D698" s="15" t="s">
        <v>2167</v>
      </c>
      <c r="E698" s="15" t="s">
        <v>2168</v>
      </c>
      <c r="F698" s="15" t="s">
        <v>436</v>
      </c>
      <c r="G698" s="15" t="s">
        <v>436</v>
      </c>
      <c r="H698" s="43">
        <f t="shared" ref="H698:I698" si="1397">LEN(D698)-LEN(B698)+1</f>
        <v>3</v>
      </c>
      <c r="I698" s="43">
        <f t="shared" si="1397"/>
        <v>2</v>
      </c>
      <c r="J698" s="18">
        <v>2.0</v>
      </c>
      <c r="K698" s="18">
        <v>1.0</v>
      </c>
      <c r="L698" s="5" t="str">
        <f t="shared" ref="L698:M698" si="1398">IFS(J698="-", "-", J698=H698, "Final", J698=1, "Initial", J698&gt;1, "Medial")</f>
        <v>Medial</v>
      </c>
      <c r="M698" s="44" t="str">
        <f t="shared" si="1398"/>
        <v>Initial</v>
      </c>
      <c r="N698" s="5" t="str">
        <f t="shared" si="5"/>
        <v>u</v>
      </c>
      <c r="O698" s="5" t="str">
        <f t="shared" si="6"/>
        <v>ku</v>
      </c>
      <c r="P698" s="5" t="str">
        <f t="shared" si="7"/>
        <v>-</v>
      </c>
      <c r="Q698" s="5" t="str">
        <f t="shared" si="8"/>
        <v>ku</v>
      </c>
      <c r="R698" s="15"/>
      <c r="S698" s="15" t="s">
        <v>2169</v>
      </c>
      <c r="T698" s="15" t="s">
        <v>2170</v>
      </c>
      <c r="U698" s="15" t="s">
        <v>22</v>
      </c>
      <c r="V698" s="20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</row>
    <row r="699">
      <c r="A699" s="15" t="s">
        <v>14</v>
      </c>
      <c r="B699" s="15" t="s">
        <v>2165</v>
      </c>
      <c r="C699" s="15" t="s">
        <v>2166</v>
      </c>
      <c r="D699" s="15" t="s">
        <v>2167</v>
      </c>
      <c r="E699" s="15" t="s">
        <v>2168</v>
      </c>
      <c r="F699" s="15" t="s">
        <v>425</v>
      </c>
      <c r="G699" s="15" t="s">
        <v>425</v>
      </c>
      <c r="H699" s="43">
        <f t="shared" ref="H699:I699" si="1399">LEN(D699)-LEN(B699)+1</f>
        <v>3</v>
      </c>
      <c r="I699" s="43">
        <f t="shared" si="1399"/>
        <v>2</v>
      </c>
      <c r="J699" s="18">
        <v>3.0</v>
      </c>
      <c r="K699" s="18">
        <v>2.0</v>
      </c>
      <c r="L699" s="5" t="str">
        <f t="shared" ref="L699:M699" si="1400">IFS(J699="-", "-", J699=H699, "Final", J699=1, "Initial", J699&gt;1, "Medial")</f>
        <v>Final</v>
      </c>
      <c r="M699" s="44" t="str">
        <f t="shared" si="1400"/>
        <v>Final</v>
      </c>
      <c r="N699" s="5" t="str">
        <f t="shared" si="5"/>
        <v>ˈpi</v>
      </c>
      <c r="O699" s="5">
        <f t="shared" si="6"/>
        <v>3</v>
      </c>
      <c r="P699" s="5" t="str">
        <f t="shared" si="7"/>
        <v>ˈpi</v>
      </c>
      <c r="Q699" s="5">
        <f t="shared" si="8"/>
        <v>2</v>
      </c>
      <c r="R699" s="15"/>
      <c r="S699" s="15" t="s">
        <v>2169</v>
      </c>
      <c r="T699" s="15" t="s">
        <v>2170</v>
      </c>
      <c r="U699" s="15" t="s">
        <v>22</v>
      </c>
      <c r="V699" s="20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</row>
    <row r="700">
      <c r="A700" s="3" t="s">
        <v>14</v>
      </c>
      <c r="B700" s="3" t="s">
        <v>2171</v>
      </c>
      <c r="C700" s="3" t="s">
        <v>2172</v>
      </c>
      <c r="D700" s="3" t="s">
        <v>2173</v>
      </c>
      <c r="E700" s="3" t="s">
        <v>2174</v>
      </c>
      <c r="F700" s="3" t="s">
        <v>2175</v>
      </c>
      <c r="G700" s="3" t="s">
        <v>2176</v>
      </c>
      <c r="H700" s="43">
        <f t="shared" ref="H700:I700" si="1401">LEN(D700)-LEN(B700)+1</f>
        <v>2</v>
      </c>
      <c r="I700" s="43">
        <f t="shared" si="1401"/>
        <v>3</v>
      </c>
      <c r="J700" s="4">
        <v>1.0</v>
      </c>
      <c r="K700" s="4">
        <v>1.0</v>
      </c>
      <c r="L700" s="5" t="str">
        <f t="shared" ref="L700:M700" si="1402">IFS(J700="-", "-", J700=H700, "Final", J700=1, "Initial", J700&gt;1, "Medial")</f>
        <v>Initial</v>
      </c>
      <c r="M700" s="44" t="str">
        <f t="shared" si="1402"/>
        <v>Initial</v>
      </c>
      <c r="N700" s="5" t="str">
        <f t="shared" si="5"/>
        <v>0</v>
      </c>
      <c r="O700" s="5" t="str">
        <f t="shared" si="6"/>
        <v>-</v>
      </c>
      <c r="P700" s="5" t="str">
        <f t="shared" si="7"/>
        <v>0</v>
      </c>
      <c r="Q700" s="5" t="str">
        <f t="shared" si="8"/>
        <v>ˈva</v>
      </c>
      <c r="R700" s="3" t="s">
        <v>80</v>
      </c>
      <c r="S700" s="3" t="s">
        <v>2177</v>
      </c>
      <c r="T700" s="3" t="s">
        <v>2178</v>
      </c>
      <c r="U700" s="3" t="s">
        <v>22</v>
      </c>
      <c r="V700" s="5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>
      <c r="A701" s="3" t="s">
        <v>14</v>
      </c>
      <c r="B701" s="3" t="s">
        <v>2171</v>
      </c>
      <c r="C701" s="3" t="s">
        <v>2172</v>
      </c>
      <c r="D701" s="3" t="s">
        <v>2173</v>
      </c>
      <c r="E701" s="3" t="s">
        <v>2174</v>
      </c>
      <c r="F701" s="3" t="s">
        <v>36</v>
      </c>
      <c r="G701" s="3" t="s">
        <v>1429</v>
      </c>
      <c r="H701" s="43">
        <f t="shared" ref="H701:I701" si="1403">LEN(D701)-LEN(B701)+1</f>
        <v>2</v>
      </c>
      <c r="I701" s="43">
        <f t="shared" si="1403"/>
        <v>3</v>
      </c>
      <c r="J701" s="4" t="s">
        <v>36</v>
      </c>
      <c r="K701" s="4">
        <v>2.0</v>
      </c>
      <c r="L701" s="5" t="str">
        <f t="shared" ref="L701:M701" si="1404">IFS(J701="-", "-", J701=H701, "Final", J701=1, "Initial", J701&gt;1, "Medial")</f>
        <v>-</v>
      </c>
      <c r="M701" s="44" t="str">
        <f t="shared" si="1404"/>
        <v>Medial</v>
      </c>
      <c r="N701" s="5" t="str">
        <f t="shared" si="5"/>
        <v>rɔ</v>
      </c>
      <c r="O701" s="5" t="str">
        <f t="shared" si="6"/>
        <v>ˈvwɛ</v>
      </c>
      <c r="P701" s="5" t="str">
        <f t="shared" si="7"/>
        <v>oɾ</v>
      </c>
      <c r="Q701" s="5" t="str">
        <f t="shared" si="8"/>
        <v>ʎu</v>
      </c>
      <c r="R701" s="3"/>
      <c r="S701" s="3" t="s">
        <v>2177</v>
      </c>
      <c r="T701" s="3" t="s">
        <v>2178</v>
      </c>
      <c r="U701" s="3" t="s">
        <v>22</v>
      </c>
      <c r="V701" s="5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>
      <c r="A702" s="3" t="s">
        <v>14</v>
      </c>
      <c r="B702" s="3" t="s">
        <v>2171</v>
      </c>
      <c r="C702" s="3" t="s">
        <v>2172</v>
      </c>
      <c r="D702" s="3" t="s">
        <v>2173</v>
      </c>
      <c r="E702" s="3" t="s">
        <v>2174</v>
      </c>
      <c r="F702" s="3" t="s">
        <v>997</v>
      </c>
      <c r="G702" s="3" t="s">
        <v>24</v>
      </c>
      <c r="H702" s="43">
        <f t="shared" ref="H702:I702" si="1405">LEN(D702)-LEN(B702)+1</f>
        <v>2</v>
      </c>
      <c r="I702" s="43">
        <f t="shared" si="1405"/>
        <v>3</v>
      </c>
      <c r="J702" s="4">
        <v>2.0</v>
      </c>
      <c r="K702" s="4">
        <v>3.0</v>
      </c>
      <c r="L702" s="5" t="str">
        <f t="shared" ref="L702:M702" si="1406">IFS(J702="-", "-", J702=H702, "Final", J702=1, "Initial", J702&gt;1, "Medial")</f>
        <v>Final</v>
      </c>
      <c r="M702" s="44" t="str">
        <f t="shared" si="1406"/>
        <v>Final</v>
      </c>
      <c r="N702" s="5" t="str">
        <f t="shared" si="5"/>
        <v>-</v>
      </c>
      <c r="O702" s="5">
        <f t="shared" si="6"/>
        <v>2</v>
      </c>
      <c r="P702" s="5" t="str">
        <f t="shared" si="7"/>
        <v>ˈva</v>
      </c>
      <c r="Q702" s="5">
        <f t="shared" si="8"/>
        <v>3</v>
      </c>
      <c r="R702" s="3"/>
      <c r="S702" s="3" t="s">
        <v>2177</v>
      </c>
      <c r="T702" s="3" t="s">
        <v>2178</v>
      </c>
      <c r="U702" s="3" t="s">
        <v>22</v>
      </c>
      <c r="V702" s="5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>
      <c r="A703" s="3" t="s">
        <v>14</v>
      </c>
      <c r="B703" s="3" t="s">
        <v>2179</v>
      </c>
      <c r="C703" s="3" t="s">
        <v>2180</v>
      </c>
      <c r="D703" s="3" t="s">
        <v>2181</v>
      </c>
      <c r="E703" s="3" t="s">
        <v>2180</v>
      </c>
      <c r="F703" s="3" t="s">
        <v>128</v>
      </c>
      <c r="G703" s="17" t="s">
        <v>36</v>
      </c>
      <c r="H703" s="43">
        <f t="shared" ref="H703:I703" si="1407">LEN(D703)-LEN(B703)+1</f>
        <v>3</v>
      </c>
      <c r="I703" s="43">
        <f t="shared" si="1407"/>
        <v>1</v>
      </c>
      <c r="J703" s="4">
        <v>1.0</v>
      </c>
      <c r="K703" s="4" t="s">
        <v>36</v>
      </c>
      <c r="L703" s="5" t="str">
        <f t="shared" ref="L703:M703" si="1408">IFS(J703="-", "-", J703=H703, "Final", J703=1, "Initial", J703&gt;1, "Medial")</f>
        <v>Initial</v>
      </c>
      <c r="M703" s="44" t="str">
        <f t="shared" si="1408"/>
        <v>-</v>
      </c>
      <c r="N703" s="5" t="str">
        <f t="shared" si="5"/>
        <v>0</v>
      </c>
      <c r="O703" s="5" t="str">
        <f t="shared" si="6"/>
        <v>ˈsɔ</v>
      </c>
      <c r="P703" s="5" t="str">
        <f t="shared" si="7"/>
        <v>0</v>
      </c>
      <c r="Q703" s="5" t="str">
        <f t="shared" si="8"/>
        <v>ˈsɔl</v>
      </c>
      <c r="R703" s="3"/>
      <c r="S703" s="3" t="s">
        <v>2182</v>
      </c>
      <c r="T703" s="3" t="s">
        <v>2183</v>
      </c>
      <c r="U703" s="3" t="s">
        <v>22</v>
      </c>
      <c r="V703" s="5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>
      <c r="A704" s="3" t="s">
        <v>14</v>
      </c>
      <c r="B704" s="3" t="s">
        <v>2179</v>
      </c>
      <c r="C704" s="3" t="s">
        <v>2180</v>
      </c>
      <c r="D704" s="3" t="s">
        <v>2181</v>
      </c>
      <c r="E704" s="3" t="s">
        <v>2180</v>
      </c>
      <c r="F704" s="3" t="s">
        <v>250</v>
      </c>
      <c r="G704" s="3" t="s">
        <v>2180</v>
      </c>
      <c r="H704" s="43">
        <f t="shared" ref="H704:I704" si="1409">LEN(D704)-LEN(B704)+1</f>
        <v>3</v>
      </c>
      <c r="I704" s="43">
        <f t="shared" si="1409"/>
        <v>1</v>
      </c>
      <c r="J704" s="4">
        <v>2.0</v>
      </c>
      <c r="K704" s="4">
        <v>1.0</v>
      </c>
      <c r="L704" s="5" t="str">
        <f t="shared" ref="L704:M704" si="1410">IFS(J704="-", "-", J704=H704, "Final", J704=1, "Initial", J704&gt;1, "Medial")</f>
        <v>Medial</v>
      </c>
      <c r="M704" s="44" t="str">
        <f t="shared" si="1410"/>
        <v>Final</v>
      </c>
      <c r="N704" s="5" t="str">
        <f t="shared" si="5"/>
        <v>u</v>
      </c>
      <c r="O704" s="5" t="str">
        <f t="shared" si="6"/>
        <v>lu</v>
      </c>
      <c r="P704" s="5" t="str">
        <f t="shared" si="7"/>
        <v>-</v>
      </c>
      <c r="Q704" s="5" t="str">
        <f t="shared" si="8"/>
        <v>-</v>
      </c>
      <c r="R704" s="3"/>
      <c r="S704" s="3" t="s">
        <v>2182</v>
      </c>
      <c r="T704" s="3" t="s">
        <v>2183</v>
      </c>
      <c r="U704" s="3" t="s">
        <v>22</v>
      </c>
      <c r="V704" s="5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>
      <c r="A705" s="3" t="s">
        <v>14</v>
      </c>
      <c r="B705" s="3" t="s">
        <v>2179</v>
      </c>
      <c r="C705" s="3" t="s">
        <v>2180</v>
      </c>
      <c r="D705" s="3" t="s">
        <v>2181</v>
      </c>
      <c r="E705" s="3" t="s">
        <v>2180</v>
      </c>
      <c r="F705" s="3" t="s">
        <v>245</v>
      </c>
      <c r="G705" s="3" t="s">
        <v>36</v>
      </c>
      <c r="H705" s="43">
        <f t="shared" ref="H705:I705" si="1411">LEN(D705)-LEN(B705)+1</f>
        <v>3</v>
      </c>
      <c r="I705" s="43">
        <f t="shared" si="1411"/>
        <v>1</v>
      </c>
      <c r="J705" s="4">
        <v>3.0</v>
      </c>
      <c r="K705" s="4" t="s">
        <v>36</v>
      </c>
      <c r="L705" s="5" t="str">
        <f t="shared" ref="L705:M705" si="1412">IFS(J705="-", "-", J705=H705, "Final", J705=1, "Initial", J705&gt;1, "Medial")</f>
        <v>Final</v>
      </c>
      <c r="M705" s="44" t="str">
        <f t="shared" si="1412"/>
        <v>-</v>
      </c>
      <c r="N705" s="5" t="str">
        <f t="shared" si="5"/>
        <v>ˈsɔ</v>
      </c>
      <c r="O705" s="5">
        <f t="shared" si="6"/>
        <v>3</v>
      </c>
      <c r="P705" s="5" t="str">
        <f t="shared" si="7"/>
        <v>ˈsɔl</v>
      </c>
      <c r="Q705" s="5" t="str">
        <f t="shared" si="8"/>
        <v>-</v>
      </c>
      <c r="R705" s="3"/>
      <c r="S705" s="3" t="s">
        <v>2182</v>
      </c>
      <c r="T705" s="3" t="s">
        <v>2183</v>
      </c>
      <c r="U705" s="3" t="s">
        <v>22</v>
      </c>
      <c r="V705" s="5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>
      <c r="A706" s="3" t="s">
        <v>14</v>
      </c>
      <c r="B706" s="3" t="s">
        <v>2184</v>
      </c>
      <c r="C706" s="3" t="s">
        <v>2185</v>
      </c>
      <c r="D706" s="3" t="s">
        <v>2186</v>
      </c>
      <c r="E706" s="3" t="s">
        <v>2187</v>
      </c>
      <c r="F706" s="3" t="s">
        <v>301</v>
      </c>
      <c r="G706" s="3" t="s">
        <v>301</v>
      </c>
      <c r="H706" s="43">
        <f t="shared" ref="H706:I706" si="1413">LEN(D706)-LEN(B706)+1</f>
        <v>3</v>
      </c>
      <c r="I706" s="43">
        <f t="shared" si="1413"/>
        <v>3</v>
      </c>
      <c r="J706" s="4">
        <v>1.0</v>
      </c>
      <c r="K706" s="4">
        <v>1.0</v>
      </c>
      <c r="L706" s="5" t="str">
        <f t="shared" ref="L706:M706" si="1414">IFS(J706="-", "-", J706=H706, "Final", J706=1, "Initial", J706&gt;1, "Medial")</f>
        <v>Initial</v>
      </c>
      <c r="M706" s="44" t="str">
        <f t="shared" si="1414"/>
        <v>Initial</v>
      </c>
      <c r="N706" s="5" t="str">
        <f t="shared" si="5"/>
        <v>0</v>
      </c>
      <c r="O706" s="5" t="str">
        <f t="shared" si="6"/>
        <v>ˈtɛ</v>
      </c>
      <c r="P706" s="5" t="str">
        <f t="shared" si="7"/>
        <v>0</v>
      </c>
      <c r="Q706" s="5" t="str">
        <f t="shared" si="8"/>
        <v>ˈtɾe</v>
      </c>
      <c r="R706" s="3" t="s">
        <v>72</v>
      </c>
      <c r="S706" s="3" t="s">
        <v>2188</v>
      </c>
      <c r="T706" s="3" t="s">
        <v>2189</v>
      </c>
      <c r="U706" s="3" t="s">
        <v>22</v>
      </c>
      <c r="V706" s="5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>
      <c r="A707" s="3" t="s">
        <v>14</v>
      </c>
      <c r="B707" s="3" t="s">
        <v>2184</v>
      </c>
      <c r="C707" s="3" t="s">
        <v>2185</v>
      </c>
      <c r="D707" s="3" t="s">
        <v>2186</v>
      </c>
      <c r="E707" s="3" t="s">
        <v>2187</v>
      </c>
      <c r="F707" s="3" t="s">
        <v>2023</v>
      </c>
      <c r="G707" s="3" t="s">
        <v>2190</v>
      </c>
      <c r="H707" s="43">
        <f t="shared" ref="H707:I707" si="1415">LEN(D707)-LEN(B707)+1</f>
        <v>3</v>
      </c>
      <c r="I707" s="43">
        <f t="shared" si="1415"/>
        <v>3</v>
      </c>
      <c r="J707" s="4">
        <v>2.0</v>
      </c>
      <c r="K707" s="4">
        <v>2.0</v>
      </c>
      <c r="L707" s="5" t="str">
        <f t="shared" ref="L707:M707" si="1416">IFS(J707="-", "-", J707=H707, "Final", J707=1, "Initial", J707&gt;1, "Medial")</f>
        <v>Medial</v>
      </c>
      <c r="M707" s="44" t="str">
        <f t="shared" si="1416"/>
        <v>Medial</v>
      </c>
      <c r="N707" s="5" t="str">
        <f t="shared" si="5"/>
        <v>ʃ</v>
      </c>
      <c r="O707" s="5" t="str">
        <f t="shared" si="6"/>
        <v>lɐ</v>
      </c>
      <c r="P707" s="5" t="str">
        <f t="shared" si="7"/>
        <v>ʃ</v>
      </c>
      <c r="Q707" s="5" t="str">
        <f t="shared" si="8"/>
        <v>lɐ</v>
      </c>
      <c r="R707" s="3"/>
      <c r="S707" s="3" t="s">
        <v>2188</v>
      </c>
      <c r="T707" s="3" t="s">
        <v>2189</v>
      </c>
      <c r="U707" s="3" t="s">
        <v>22</v>
      </c>
      <c r="V707" s="5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>
      <c r="A708" s="3" t="s">
        <v>14</v>
      </c>
      <c r="B708" s="3" t="s">
        <v>2184</v>
      </c>
      <c r="C708" s="3" t="s">
        <v>2185</v>
      </c>
      <c r="D708" s="3" t="s">
        <v>2186</v>
      </c>
      <c r="E708" s="3" t="s">
        <v>2187</v>
      </c>
      <c r="F708" s="3" t="s">
        <v>1426</v>
      </c>
      <c r="G708" s="3" t="s">
        <v>1426</v>
      </c>
      <c r="H708" s="43">
        <f t="shared" ref="H708:I708" si="1417">LEN(D708)-LEN(B708)+1</f>
        <v>3</v>
      </c>
      <c r="I708" s="43">
        <f t="shared" si="1417"/>
        <v>3</v>
      </c>
      <c r="J708" s="4">
        <v>3.0</v>
      </c>
      <c r="K708" s="4">
        <v>3.0</v>
      </c>
      <c r="L708" s="5" t="str">
        <f t="shared" ref="L708:M708" si="1418">IFS(J708="-", "-", J708=H708, "Final", J708=1, "Initial", J708&gt;1, "Medial")</f>
        <v>Final</v>
      </c>
      <c r="M708" s="44" t="str">
        <f t="shared" si="1418"/>
        <v>Final</v>
      </c>
      <c r="N708" s="5" t="str">
        <f t="shared" si="5"/>
        <v>ˈtɛ</v>
      </c>
      <c r="O708" s="5">
        <f t="shared" si="6"/>
        <v>3</v>
      </c>
      <c r="P708" s="5" t="str">
        <f t="shared" si="7"/>
        <v>ˈtɾe</v>
      </c>
      <c r="Q708" s="5">
        <f t="shared" si="8"/>
        <v>3</v>
      </c>
      <c r="R708" s="3"/>
      <c r="S708" s="3" t="s">
        <v>2188</v>
      </c>
      <c r="T708" s="3" t="s">
        <v>2189</v>
      </c>
      <c r="U708" s="3" t="s">
        <v>22</v>
      </c>
      <c r="V708" s="5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>
      <c r="A709" s="3" t="s">
        <v>14</v>
      </c>
      <c r="B709" s="3" t="s">
        <v>2191</v>
      </c>
      <c r="C709" s="3" t="s">
        <v>2192</v>
      </c>
      <c r="D709" s="3" t="s">
        <v>2193</v>
      </c>
      <c r="E709" s="3" t="s">
        <v>2194</v>
      </c>
      <c r="F709" s="3" t="s">
        <v>128</v>
      </c>
      <c r="G709" s="17" t="s">
        <v>36</v>
      </c>
      <c r="H709" s="43">
        <f t="shared" ref="H709:I709" si="1419">LEN(D709)-LEN(B709)+1</f>
        <v>3</v>
      </c>
      <c r="I709" s="43">
        <f t="shared" si="1419"/>
        <v>2</v>
      </c>
      <c r="J709" s="4">
        <v>1.0</v>
      </c>
      <c r="K709" s="4" t="s">
        <v>36</v>
      </c>
      <c r="L709" s="5" t="str">
        <f t="shared" ref="L709:M709" si="1420">IFS(J709="-", "-", J709=H709, "Final", J709=1, "Initial", J709&gt;1, "Medial")</f>
        <v>Initial</v>
      </c>
      <c r="M709" s="44" t="str">
        <f t="shared" si="1420"/>
        <v>-</v>
      </c>
      <c r="N709" s="5" t="str">
        <f t="shared" si="5"/>
        <v>0</v>
      </c>
      <c r="O709" s="5" t="str">
        <f t="shared" si="6"/>
        <v>ˈsu</v>
      </c>
      <c r="P709" s="5" t="str">
        <f t="shared" si="7"/>
        <v>0</v>
      </c>
      <c r="Q709" s="5" t="str">
        <f t="shared" si="8"/>
        <v>ˈʃu</v>
      </c>
      <c r="R709" s="3"/>
      <c r="S709" s="3" t="s">
        <v>2195</v>
      </c>
      <c r="T709" s="3" t="s">
        <v>2196</v>
      </c>
      <c r="U709" s="3" t="s">
        <v>22</v>
      </c>
      <c r="V709" s="5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>
      <c r="A710" s="3" t="s">
        <v>14</v>
      </c>
      <c r="B710" s="3" t="s">
        <v>2191</v>
      </c>
      <c r="C710" s="3" t="s">
        <v>2192</v>
      </c>
      <c r="D710" s="3" t="s">
        <v>2193</v>
      </c>
      <c r="E710" s="3" t="s">
        <v>2194</v>
      </c>
      <c r="F710" s="3" t="s">
        <v>261</v>
      </c>
      <c r="G710" s="3" t="s">
        <v>2197</v>
      </c>
      <c r="H710" s="43">
        <f t="shared" ref="H710:I710" si="1421">LEN(D710)-LEN(B710)+1</f>
        <v>3</v>
      </c>
      <c r="I710" s="43">
        <f t="shared" si="1421"/>
        <v>2</v>
      </c>
      <c r="J710" s="4">
        <v>2.0</v>
      </c>
      <c r="K710" s="4">
        <v>1.0</v>
      </c>
      <c r="L710" s="5" t="str">
        <f t="shared" ref="L710:M710" si="1422">IFS(J710="-", "-", J710=H710, "Final", J710=1, "Initial", J710&gt;1, "Medial")</f>
        <v>Medial</v>
      </c>
      <c r="M710" s="44" t="str">
        <f t="shared" si="1422"/>
        <v>Initial</v>
      </c>
      <c r="N710" s="5" t="str">
        <f t="shared" si="5"/>
        <v>u</v>
      </c>
      <c r="O710" s="5" t="str">
        <f t="shared" si="6"/>
        <v>vɐ</v>
      </c>
      <c r="P710" s="5" t="str">
        <f t="shared" si="7"/>
        <v>-</v>
      </c>
      <c r="Q710" s="5" t="str">
        <f t="shared" si="8"/>
        <v>vɐ</v>
      </c>
      <c r="R710" s="3"/>
      <c r="S710" s="3" t="s">
        <v>2195</v>
      </c>
      <c r="T710" s="3" t="s">
        <v>2196</v>
      </c>
      <c r="U710" s="3" t="s">
        <v>22</v>
      </c>
      <c r="V710" s="5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>
      <c r="A711" s="3" t="s">
        <v>14</v>
      </c>
      <c r="B711" s="3" t="s">
        <v>2191</v>
      </c>
      <c r="C711" s="3" t="s">
        <v>2192</v>
      </c>
      <c r="D711" s="3" t="s">
        <v>2193</v>
      </c>
      <c r="E711" s="3" t="s">
        <v>2194</v>
      </c>
      <c r="F711" s="3" t="s">
        <v>724</v>
      </c>
      <c r="G711" s="3" t="s">
        <v>724</v>
      </c>
      <c r="H711" s="43">
        <f t="shared" ref="H711:I711" si="1423">LEN(D711)-LEN(B711)+1</f>
        <v>3</v>
      </c>
      <c r="I711" s="43">
        <f t="shared" si="1423"/>
        <v>2</v>
      </c>
      <c r="J711" s="4">
        <v>3.0</v>
      </c>
      <c r="K711" s="4">
        <v>2.0</v>
      </c>
      <c r="L711" s="5" t="str">
        <f t="shared" ref="L711:M711" si="1424">IFS(J711="-", "-", J711=H711, "Final", J711=1, "Initial", J711&gt;1, "Medial")</f>
        <v>Final</v>
      </c>
      <c r="M711" s="44" t="str">
        <f t="shared" si="1424"/>
        <v>Final</v>
      </c>
      <c r="N711" s="5" t="str">
        <f t="shared" si="5"/>
        <v>ˈsu</v>
      </c>
      <c r="O711" s="5">
        <f t="shared" si="6"/>
        <v>3</v>
      </c>
      <c r="P711" s="5" t="str">
        <f t="shared" si="7"/>
        <v>ˈʃu</v>
      </c>
      <c r="Q711" s="5">
        <f t="shared" si="8"/>
        <v>2</v>
      </c>
      <c r="R711" s="3"/>
      <c r="S711" s="3" t="s">
        <v>2195</v>
      </c>
      <c r="T711" s="3" t="s">
        <v>2196</v>
      </c>
      <c r="U711" s="3" t="s">
        <v>22</v>
      </c>
      <c r="V711" s="5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>
      <c r="A712" s="3" t="s">
        <v>14</v>
      </c>
      <c r="B712" s="3" t="s">
        <v>2023</v>
      </c>
      <c r="C712" s="3" t="s">
        <v>2198</v>
      </c>
      <c r="D712" s="3" t="s">
        <v>2023</v>
      </c>
      <c r="E712" s="3" t="s">
        <v>2199</v>
      </c>
      <c r="F712" s="3" t="s">
        <v>2023</v>
      </c>
      <c r="G712" s="3" t="s">
        <v>1040</v>
      </c>
      <c r="H712" s="43">
        <f t="shared" ref="H712:I712" si="1425">LEN(D712)-LEN(B712)+1</f>
        <v>1</v>
      </c>
      <c r="I712" s="43">
        <f t="shared" si="1425"/>
        <v>2</v>
      </c>
      <c r="J712" s="4">
        <v>1.0</v>
      </c>
      <c r="K712" s="4">
        <v>1.0</v>
      </c>
      <c r="L712" s="5" t="str">
        <f t="shared" ref="L712:M712" si="1426">IFS(J712="-", "-", J712=H712, "Final", J712=1, "Initial", J712&gt;1, "Medial")</f>
        <v>Final</v>
      </c>
      <c r="M712" s="44" t="str">
        <f t="shared" si="1426"/>
        <v>Initial</v>
      </c>
      <c r="N712" s="5" t="str">
        <f t="shared" si="5"/>
        <v>0</v>
      </c>
      <c r="O712" s="5" t="str">
        <f t="shared" si="6"/>
        <v>-</v>
      </c>
      <c r="P712" s="5" t="str">
        <f t="shared" si="7"/>
        <v>0</v>
      </c>
      <c r="Q712" s="5" t="str">
        <f t="shared" si="8"/>
        <v>ʀɐ</v>
      </c>
      <c r="R712" s="3" t="s">
        <v>80</v>
      </c>
      <c r="S712" s="3" t="s">
        <v>2200</v>
      </c>
      <c r="T712" s="3" t="s">
        <v>2201</v>
      </c>
      <c r="U712" s="3" t="s">
        <v>22</v>
      </c>
      <c r="V712" s="5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>
      <c r="A713" s="3" t="s">
        <v>14</v>
      </c>
      <c r="B713" s="3" t="s">
        <v>2023</v>
      </c>
      <c r="C713" s="3" t="s">
        <v>2198</v>
      </c>
      <c r="D713" s="3" t="s">
        <v>2023</v>
      </c>
      <c r="E713" s="3" t="s">
        <v>2199</v>
      </c>
      <c r="F713" s="3" t="s">
        <v>36</v>
      </c>
      <c r="G713" s="3" t="s">
        <v>668</v>
      </c>
      <c r="H713" s="43">
        <f t="shared" ref="H713:I713" si="1427">LEN(D713)-LEN(B713)+1</f>
        <v>1</v>
      </c>
      <c r="I713" s="43">
        <f t="shared" si="1427"/>
        <v>2</v>
      </c>
      <c r="J713" s="4" t="s">
        <v>36</v>
      </c>
      <c r="K713" s="4">
        <v>2.0</v>
      </c>
      <c r="L713" s="5" t="str">
        <f t="shared" ref="L713:M713" si="1428">IFS(J713="-", "-", J713=H713, "Final", J713=1, "Initial", J713&gt;1, "Medial")</f>
        <v>-</v>
      </c>
      <c r="M713" s="44" t="str">
        <f t="shared" si="1428"/>
        <v>Final</v>
      </c>
      <c r="N713" s="5" t="str">
        <f t="shared" si="5"/>
        <v>ˈtɛ</v>
      </c>
      <c r="O713" s="5" t="str">
        <f t="shared" si="6"/>
        <v>-</v>
      </c>
      <c r="P713" s="5" t="str">
        <f t="shared" si="7"/>
        <v>ˈte</v>
      </c>
      <c r="Q713" s="5">
        <f t="shared" si="8"/>
        <v>2</v>
      </c>
      <c r="R713" s="3"/>
      <c r="S713" s="3" t="s">
        <v>2200</v>
      </c>
      <c r="T713" s="3" t="s">
        <v>2201</v>
      </c>
      <c r="U713" s="3" t="s">
        <v>22</v>
      </c>
      <c r="V713" s="5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>
      <c r="A714" s="3" t="s">
        <v>14</v>
      </c>
      <c r="B714" s="3" t="s">
        <v>2202</v>
      </c>
      <c r="C714" s="3" t="s">
        <v>2203</v>
      </c>
      <c r="D714" s="3" t="s">
        <v>2204</v>
      </c>
      <c r="E714" s="3" t="s">
        <v>2205</v>
      </c>
      <c r="F714" s="3" t="s">
        <v>2206</v>
      </c>
      <c r="G714" s="3" t="s">
        <v>2207</v>
      </c>
      <c r="H714" s="43">
        <f t="shared" ref="H714:I714" si="1429">LEN(D714)-LEN(B714)+1</f>
        <v>3</v>
      </c>
      <c r="I714" s="43">
        <f t="shared" si="1429"/>
        <v>4</v>
      </c>
      <c r="J714" s="4">
        <v>1.0</v>
      </c>
      <c r="K714" s="4">
        <v>1.0</v>
      </c>
      <c r="L714" s="5" t="str">
        <f t="shared" ref="L714:M714" si="1430">IFS(J714="-", "-", J714=H714, "Final", J714=1, "Initial", J714&gt;1, "Medial")</f>
        <v>Initial</v>
      </c>
      <c r="M714" s="44" t="str">
        <f t="shared" si="1430"/>
        <v>Initial</v>
      </c>
      <c r="N714" s="5" t="str">
        <f t="shared" si="5"/>
        <v>0</v>
      </c>
      <c r="O714" s="5" t="str">
        <f t="shared" si="6"/>
        <v>ˈva</v>
      </c>
      <c r="P714" s="5" t="str">
        <f t="shared" si="7"/>
        <v>0</v>
      </c>
      <c r="Q714" s="5" t="str">
        <f t="shared" si="8"/>
        <v>vu</v>
      </c>
      <c r="R714" s="3"/>
      <c r="S714" s="3" t="s">
        <v>2208</v>
      </c>
      <c r="T714" s="3" t="s">
        <v>2209</v>
      </c>
      <c r="U714" s="3" t="s">
        <v>22</v>
      </c>
      <c r="V714" s="5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>
      <c r="A715" s="3" t="s">
        <v>14</v>
      </c>
      <c r="B715" s="3" t="s">
        <v>2202</v>
      </c>
      <c r="C715" s="3" t="s">
        <v>2203</v>
      </c>
      <c r="D715" s="3" t="s">
        <v>2204</v>
      </c>
      <c r="E715" s="3" t="s">
        <v>2205</v>
      </c>
      <c r="F715" s="3" t="s">
        <v>1429</v>
      </c>
      <c r="G715" s="3" t="s">
        <v>222</v>
      </c>
      <c r="H715" s="43">
        <f t="shared" ref="H715:I715" si="1431">LEN(D715)-LEN(B715)+1</f>
        <v>3</v>
      </c>
      <c r="I715" s="43">
        <f t="shared" si="1431"/>
        <v>4</v>
      </c>
      <c r="J715" s="4">
        <v>2.0</v>
      </c>
      <c r="K715" s="4">
        <v>2.0</v>
      </c>
      <c r="L715" s="5" t="str">
        <f t="shared" ref="L715:M715" si="1432">IFS(J715="-", "-", J715=H715, "Final", J715=1, "Initial", J715&gt;1, "Medial")</f>
        <v>Medial</v>
      </c>
      <c r="M715" s="44" t="str">
        <f t="shared" si="1432"/>
        <v>Medial</v>
      </c>
      <c r="N715" s="5" t="str">
        <f t="shared" si="5"/>
        <v>to</v>
      </c>
      <c r="O715" s="5" t="str">
        <f t="shared" si="6"/>
        <v>-</v>
      </c>
      <c r="P715" s="5" t="str">
        <f t="shared" si="7"/>
        <v>tɾu</v>
      </c>
      <c r="Q715" s="5" t="str">
        <f t="shared" si="8"/>
        <v>ˈa</v>
      </c>
      <c r="R715" s="3"/>
      <c r="S715" s="3" t="s">
        <v>2208</v>
      </c>
      <c r="T715" s="3" t="s">
        <v>2209</v>
      </c>
      <c r="U715" s="3" t="s">
        <v>22</v>
      </c>
      <c r="V715" s="5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>
      <c r="A716" s="3" t="s">
        <v>14</v>
      </c>
      <c r="B716" s="3" t="s">
        <v>2202</v>
      </c>
      <c r="C716" s="3" t="s">
        <v>2203</v>
      </c>
      <c r="D716" s="3" t="s">
        <v>2204</v>
      </c>
      <c r="E716" s="3" t="s">
        <v>2205</v>
      </c>
      <c r="F716" s="3" t="s">
        <v>36</v>
      </c>
      <c r="G716" s="3" t="s">
        <v>19</v>
      </c>
      <c r="H716" s="43">
        <f t="shared" ref="H716:I716" si="1433">LEN(D716)-LEN(B716)+1</f>
        <v>3</v>
      </c>
      <c r="I716" s="43">
        <f t="shared" si="1433"/>
        <v>4</v>
      </c>
      <c r="J716" s="4" t="s">
        <v>36</v>
      </c>
      <c r="K716" s="4">
        <v>3.0</v>
      </c>
      <c r="L716" s="5" t="str">
        <f t="shared" ref="L716:M716" si="1434">IFS(J716="-", "-", J716=H716, "Final", J716=1, "Initial", J716&gt;1, "Medial")</f>
        <v>-</v>
      </c>
      <c r="M716" s="44" t="str">
        <f t="shared" si="1434"/>
        <v>Medial</v>
      </c>
      <c r="N716" s="5" t="str">
        <f t="shared" si="5"/>
        <v>ˈva</v>
      </c>
      <c r="O716" s="5" t="str">
        <f t="shared" si="6"/>
        <v>dɐ</v>
      </c>
      <c r="P716" s="5" t="str">
        <f t="shared" si="7"/>
        <v>vu</v>
      </c>
      <c r="Q716" s="5" t="str">
        <f t="shared" si="8"/>
        <v>dɐ</v>
      </c>
      <c r="R716" s="3"/>
      <c r="S716" s="3" t="s">
        <v>2208</v>
      </c>
      <c r="T716" s="3" t="s">
        <v>2209</v>
      </c>
      <c r="U716" s="3" t="s">
        <v>22</v>
      </c>
      <c r="V716" s="5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>
      <c r="A717" s="3" t="s">
        <v>14</v>
      </c>
      <c r="B717" s="3" t="s">
        <v>2202</v>
      </c>
      <c r="C717" s="3" t="s">
        <v>2203</v>
      </c>
      <c r="D717" s="3" t="s">
        <v>2204</v>
      </c>
      <c r="E717" s="3" t="s">
        <v>2205</v>
      </c>
      <c r="F717" s="3" t="s">
        <v>116</v>
      </c>
      <c r="G717" s="3" t="s">
        <v>116</v>
      </c>
      <c r="H717" s="43">
        <f t="shared" ref="H717:I717" si="1435">LEN(D717)-LEN(B717)+1</f>
        <v>3</v>
      </c>
      <c r="I717" s="43">
        <f t="shared" si="1435"/>
        <v>4</v>
      </c>
      <c r="J717" s="4">
        <v>3.0</v>
      </c>
      <c r="K717" s="4">
        <v>4.0</v>
      </c>
      <c r="L717" s="5" t="str">
        <f t="shared" ref="L717:M717" si="1436">IFS(J717="-", "-", J717=H717, "Final", J717=1, "Initial", J717&gt;1, "Medial")</f>
        <v>Final</v>
      </c>
      <c r="M717" s="44" t="str">
        <f t="shared" si="1436"/>
        <v>Final</v>
      </c>
      <c r="N717" s="5" t="str">
        <f t="shared" si="5"/>
        <v>-</v>
      </c>
      <c r="O717" s="5">
        <f t="shared" si="6"/>
        <v>3</v>
      </c>
      <c r="P717" s="5" t="str">
        <f t="shared" si="7"/>
        <v>ˈa</v>
      </c>
      <c r="Q717" s="5">
        <f t="shared" si="8"/>
        <v>4</v>
      </c>
      <c r="R717" s="3"/>
      <c r="S717" s="3" t="s">
        <v>2208</v>
      </c>
      <c r="T717" s="3" t="s">
        <v>2209</v>
      </c>
      <c r="U717" s="3" t="s">
        <v>22</v>
      </c>
      <c r="V717" s="5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>
      <c r="A718" s="3" t="s">
        <v>14</v>
      </c>
      <c r="B718" s="3" t="s">
        <v>2210</v>
      </c>
      <c r="C718" s="3" t="s">
        <v>2211</v>
      </c>
      <c r="D718" s="3" t="s">
        <v>2212</v>
      </c>
      <c r="E718" s="3" t="s">
        <v>2213</v>
      </c>
      <c r="F718" s="3" t="s">
        <v>128</v>
      </c>
      <c r="G718" s="17" t="s">
        <v>36</v>
      </c>
      <c r="H718" s="43">
        <f t="shared" ref="H718:I718" si="1437">LEN(D718)-LEN(B718)+1</f>
        <v>3</v>
      </c>
      <c r="I718" s="43">
        <f t="shared" si="1437"/>
        <v>2</v>
      </c>
      <c r="J718" s="4">
        <v>1.0</v>
      </c>
      <c r="K718" s="4" t="s">
        <v>36</v>
      </c>
      <c r="L718" s="5" t="str">
        <f t="shared" ref="L718:M718" si="1438">IFS(J718="-", "-", J718=H718, "Final", J718=1, "Initial", J718&gt;1, "Medial")</f>
        <v>Initial</v>
      </c>
      <c r="M718" s="44" t="str">
        <f t="shared" si="1438"/>
        <v>-</v>
      </c>
      <c r="N718" s="5" t="str">
        <f t="shared" si="5"/>
        <v>0</v>
      </c>
      <c r="O718" s="5" t="str">
        <f t="shared" si="6"/>
        <v>ˈvɛ̃</v>
      </c>
      <c r="P718" s="5" t="str">
        <f t="shared" si="7"/>
        <v>0</v>
      </c>
      <c r="Q718" s="5" t="str">
        <f t="shared" si="8"/>
        <v>ˈvẽ</v>
      </c>
      <c r="R718" s="3"/>
      <c r="S718" s="3" t="s">
        <v>2214</v>
      </c>
      <c r="T718" s="3" t="s">
        <v>2215</v>
      </c>
      <c r="U718" s="3" t="s">
        <v>22</v>
      </c>
      <c r="V718" s="5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>
      <c r="A719" s="3" t="s">
        <v>14</v>
      </c>
      <c r="B719" s="3" t="s">
        <v>2210</v>
      </c>
      <c r="C719" s="3" t="s">
        <v>2211</v>
      </c>
      <c r="D719" s="3" t="s">
        <v>2212</v>
      </c>
      <c r="E719" s="3" t="s">
        <v>2213</v>
      </c>
      <c r="F719" s="3" t="s">
        <v>2216</v>
      </c>
      <c r="G719" s="3" t="s">
        <v>2217</v>
      </c>
      <c r="H719" s="43">
        <f t="shared" ref="H719:I719" si="1439">LEN(D719)-LEN(B719)+1</f>
        <v>3</v>
      </c>
      <c r="I719" s="43">
        <f t="shared" si="1439"/>
        <v>2</v>
      </c>
      <c r="J719" s="4">
        <v>2.0</v>
      </c>
      <c r="K719" s="4">
        <v>1.0</v>
      </c>
      <c r="L719" s="5" t="str">
        <f t="shared" ref="L719:M719" si="1440">IFS(J719="-", "-", J719=H719, "Final", J719=1, "Initial", J719&gt;1, "Medial")</f>
        <v>Medial</v>
      </c>
      <c r="M719" s="44" t="str">
        <f t="shared" si="1440"/>
        <v>Initial</v>
      </c>
      <c r="N719" s="5" t="str">
        <f t="shared" si="5"/>
        <v>u</v>
      </c>
      <c r="O719" s="5" t="str">
        <f t="shared" si="6"/>
        <v>tu</v>
      </c>
      <c r="P719" s="5" t="str">
        <f t="shared" si="7"/>
        <v>-</v>
      </c>
      <c r="Q719" s="5" t="str">
        <f t="shared" si="8"/>
        <v>tu</v>
      </c>
      <c r="R719" s="3"/>
      <c r="S719" s="3" t="s">
        <v>2214</v>
      </c>
      <c r="T719" s="3" t="s">
        <v>2215</v>
      </c>
      <c r="U719" s="3" t="s">
        <v>22</v>
      </c>
      <c r="V719" s="5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>
      <c r="A720" s="3" t="s">
        <v>14</v>
      </c>
      <c r="B720" s="3" t="s">
        <v>2210</v>
      </c>
      <c r="C720" s="3" t="s">
        <v>2211</v>
      </c>
      <c r="D720" s="3" t="s">
        <v>2212</v>
      </c>
      <c r="E720" s="3" t="s">
        <v>2213</v>
      </c>
      <c r="F720" s="3" t="s">
        <v>784</v>
      </c>
      <c r="G720" s="3" t="s">
        <v>784</v>
      </c>
      <c r="H720" s="43">
        <f t="shared" ref="H720:I720" si="1441">LEN(D720)-LEN(B720)+1</f>
        <v>3</v>
      </c>
      <c r="I720" s="43">
        <f t="shared" si="1441"/>
        <v>2</v>
      </c>
      <c r="J720" s="4">
        <v>3.0</v>
      </c>
      <c r="K720" s="4">
        <v>2.0</v>
      </c>
      <c r="L720" s="5" t="str">
        <f t="shared" ref="L720:M720" si="1442">IFS(J720="-", "-", J720=H720, "Final", J720=1, "Initial", J720&gt;1, "Medial")</f>
        <v>Final</v>
      </c>
      <c r="M720" s="44" t="str">
        <f t="shared" si="1442"/>
        <v>Final</v>
      </c>
      <c r="N720" s="5" t="str">
        <f t="shared" si="5"/>
        <v>ˈvɛ̃</v>
      </c>
      <c r="O720" s="5">
        <f t="shared" si="6"/>
        <v>3</v>
      </c>
      <c r="P720" s="5" t="str">
        <f t="shared" si="7"/>
        <v>ˈvẽ</v>
      </c>
      <c r="Q720" s="5">
        <f t="shared" si="8"/>
        <v>2</v>
      </c>
      <c r="R720" s="3"/>
      <c r="S720" s="3" t="s">
        <v>2214</v>
      </c>
      <c r="T720" s="3" t="s">
        <v>2215</v>
      </c>
      <c r="U720" s="3" t="s">
        <v>22</v>
      </c>
      <c r="V720" s="5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>
      <c r="A721" s="3" t="s">
        <v>14</v>
      </c>
      <c r="B721" s="3" t="s">
        <v>2218</v>
      </c>
      <c r="C721" s="3" t="s">
        <v>2219</v>
      </c>
      <c r="D721" s="3" t="s">
        <v>2220</v>
      </c>
      <c r="E721" s="3" t="s">
        <v>2219</v>
      </c>
      <c r="F721" s="3" t="s">
        <v>30</v>
      </c>
      <c r="G721" s="17" t="s">
        <v>36</v>
      </c>
      <c r="H721" s="43">
        <f t="shared" ref="H721:I721" si="1443">LEN(D721)-LEN(B721)+1</f>
        <v>2</v>
      </c>
      <c r="I721" s="43">
        <f t="shared" si="1443"/>
        <v>1</v>
      </c>
      <c r="J721" s="4">
        <v>1.0</v>
      </c>
      <c r="K721" s="4" t="s">
        <v>36</v>
      </c>
      <c r="L721" s="5" t="str">
        <f t="shared" ref="L721:M721" si="1444">IFS(J721="-", "-", J721=H721, "Final", J721=1, "Initial", J721&gt;1, "Medial")</f>
        <v>Initial</v>
      </c>
      <c r="M721" s="44" t="str">
        <f t="shared" si="1444"/>
        <v>-</v>
      </c>
      <c r="N721" s="5" t="str">
        <f t="shared" si="5"/>
        <v>0</v>
      </c>
      <c r="O721" s="5" t="str">
        <f t="shared" si="6"/>
        <v>ˈre</v>
      </c>
      <c r="P721" s="5" t="str">
        <f t="shared" si="7"/>
        <v>0</v>
      </c>
      <c r="Q721" s="5" t="str">
        <f t="shared" si="8"/>
        <v>ˈʀɐj</v>
      </c>
      <c r="R721" s="3"/>
      <c r="S721" s="3" t="s">
        <v>2221</v>
      </c>
      <c r="T721" s="3" t="s">
        <v>2222</v>
      </c>
      <c r="U721" s="3" t="s">
        <v>22</v>
      </c>
      <c r="V721" s="5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>
      <c r="A722" s="3" t="s">
        <v>14</v>
      </c>
      <c r="B722" s="3" t="s">
        <v>2218</v>
      </c>
      <c r="C722" s="3" t="s">
        <v>2219</v>
      </c>
      <c r="D722" s="3" t="s">
        <v>2220</v>
      </c>
      <c r="E722" s="3" t="s">
        <v>2219</v>
      </c>
      <c r="F722" s="3" t="s">
        <v>1346</v>
      </c>
      <c r="G722" s="3" t="s">
        <v>2219</v>
      </c>
      <c r="H722" s="43">
        <f t="shared" ref="H722:I722" si="1445">LEN(D722)-LEN(B722)+1</f>
        <v>2</v>
      </c>
      <c r="I722" s="43">
        <f t="shared" si="1445"/>
        <v>1</v>
      </c>
      <c r="J722" s="4">
        <v>2.0</v>
      </c>
      <c r="K722" s="4">
        <v>1.0</v>
      </c>
      <c r="L722" s="5" t="str">
        <f t="shared" ref="L722:M722" si="1446">IFS(J722="-", "-", J722=H722, "Final", J722=1, "Initial", J722&gt;1, "Medial")</f>
        <v>Final</v>
      </c>
      <c r="M722" s="44" t="str">
        <f t="shared" si="1446"/>
        <v>Final</v>
      </c>
      <c r="N722" s="5" t="str">
        <f t="shared" si="5"/>
        <v>a</v>
      </c>
      <c r="O722" s="5">
        <f t="shared" si="6"/>
        <v>2</v>
      </c>
      <c r="P722" s="5" t="str">
        <f t="shared" si="7"/>
        <v>-</v>
      </c>
      <c r="Q722" s="5">
        <f t="shared" si="8"/>
        <v>1</v>
      </c>
      <c r="R722" s="3"/>
      <c r="S722" s="3" t="s">
        <v>2221</v>
      </c>
      <c r="T722" s="3" t="s">
        <v>2222</v>
      </c>
      <c r="U722" s="3" t="s">
        <v>22</v>
      </c>
      <c r="V722" s="5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>
      <c r="A723" s="15" t="s">
        <v>14</v>
      </c>
      <c r="B723" s="15" t="s">
        <v>2223</v>
      </c>
      <c r="C723" s="15" t="s">
        <v>2224</v>
      </c>
      <c r="D723" s="15" t="s">
        <v>2225</v>
      </c>
      <c r="E723" s="15" t="s">
        <v>2226</v>
      </c>
      <c r="F723" s="15" t="s">
        <v>2227</v>
      </c>
      <c r="G723" s="15" t="s">
        <v>2227</v>
      </c>
      <c r="H723" s="43">
        <f t="shared" ref="H723:I723" si="1447">LEN(D723)-LEN(B723)+1</f>
        <v>2</v>
      </c>
      <c r="I723" s="43">
        <f t="shared" si="1447"/>
        <v>4</v>
      </c>
      <c r="J723" s="18">
        <v>1.0</v>
      </c>
      <c r="K723" s="18">
        <v>1.0</v>
      </c>
      <c r="L723" s="5" t="str">
        <f t="shared" ref="L723:M723" si="1448">IFS(J723="-", "-", J723=H723, "Final", J723=1, "Initial", J723&gt;1, "Medial")</f>
        <v>Initial</v>
      </c>
      <c r="M723" s="44" t="str">
        <f t="shared" si="1448"/>
        <v>Initial</v>
      </c>
      <c r="N723" s="5" t="str">
        <f t="shared" si="5"/>
        <v>0</v>
      </c>
      <c r="O723" s="5" t="str">
        <f t="shared" si="6"/>
        <v>ˈto</v>
      </c>
      <c r="P723" s="5" t="str">
        <f t="shared" si="7"/>
        <v>0</v>
      </c>
      <c r="Q723" s="5" t="str">
        <f t="shared" si="8"/>
        <v>ˈtoɾ</v>
      </c>
      <c r="R723" s="15" t="s">
        <v>80</v>
      </c>
      <c r="S723" s="15" t="s">
        <v>2228</v>
      </c>
      <c r="T723" s="15" t="s">
        <v>2229</v>
      </c>
      <c r="U723" s="15" t="s">
        <v>22</v>
      </c>
      <c r="V723" s="20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</row>
    <row r="724">
      <c r="A724" s="15" t="s">
        <v>14</v>
      </c>
      <c r="B724" s="15" t="s">
        <v>2223</v>
      </c>
      <c r="C724" s="15" t="s">
        <v>2224</v>
      </c>
      <c r="D724" s="15" t="s">
        <v>2225</v>
      </c>
      <c r="E724" s="15" t="s">
        <v>2226</v>
      </c>
      <c r="F724" s="15" t="s">
        <v>984</v>
      </c>
      <c r="G724" s="15" t="s">
        <v>2230</v>
      </c>
      <c r="H724" s="43">
        <f t="shared" ref="H724:I724" si="1449">LEN(D724)-LEN(B724)+1</f>
        <v>2</v>
      </c>
      <c r="I724" s="43">
        <f t="shared" si="1449"/>
        <v>4</v>
      </c>
      <c r="J724" s="18">
        <v>2.0</v>
      </c>
      <c r="K724" s="18">
        <v>2.0</v>
      </c>
      <c r="L724" s="5" t="str">
        <f t="shared" ref="L724:M724" si="1450">IFS(J724="-", "-", J724=H724, "Final", J724=1, "Initial", J724&gt;1, "Medial")</f>
        <v>Final</v>
      </c>
      <c r="M724" s="44" t="str">
        <f t="shared" si="1450"/>
        <v>Medial</v>
      </c>
      <c r="N724" s="5" t="str">
        <f t="shared" si="5"/>
        <v>do</v>
      </c>
      <c r="O724" s="5">
        <f t="shared" si="6"/>
        <v>2</v>
      </c>
      <c r="P724" s="5" t="str">
        <f t="shared" si="7"/>
        <v>do</v>
      </c>
      <c r="Q724" s="5">
        <f t="shared" si="8"/>
        <v>2</v>
      </c>
      <c r="R724" s="15"/>
      <c r="S724" s="15" t="s">
        <v>2228</v>
      </c>
      <c r="T724" s="15" t="s">
        <v>2229</v>
      </c>
      <c r="U724" s="15" t="s">
        <v>22</v>
      </c>
      <c r="V724" s="20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</row>
    <row r="725">
      <c r="A725" s="3" t="s">
        <v>14</v>
      </c>
      <c r="B725" s="3" t="s">
        <v>2231</v>
      </c>
      <c r="C725" s="3" t="s">
        <v>2232</v>
      </c>
      <c r="D725" s="3" t="s">
        <v>2233</v>
      </c>
      <c r="E725" s="3" t="s">
        <v>2234</v>
      </c>
      <c r="F725" s="3" t="s">
        <v>108</v>
      </c>
      <c r="G725" s="3" t="s">
        <v>2235</v>
      </c>
      <c r="H725" s="43">
        <f t="shared" ref="H725:I725" si="1451">LEN(D725)-LEN(B725)+1</f>
        <v>3</v>
      </c>
      <c r="I725" s="43">
        <f t="shared" si="1451"/>
        <v>4</v>
      </c>
      <c r="J725" s="4">
        <v>1.0</v>
      </c>
      <c r="K725" s="4">
        <v>1.0</v>
      </c>
      <c r="L725" s="5" t="str">
        <f t="shared" ref="L725:M725" si="1452">IFS(J725="-", "-", J725=H725, "Final", J725=1, "Initial", J725&gt;1, "Medial")</f>
        <v>Initial</v>
      </c>
      <c r="M725" s="44" t="str">
        <f t="shared" si="1452"/>
        <v>Initial</v>
      </c>
      <c r="N725" s="5" t="str">
        <f t="shared" si="5"/>
        <v>0</v>
      </c>
      <c r="O725" s="5" t="str">
        <f t="shared" si="6"/>
        <v>pĩ</v>
      </c>
      <c r="P725" s="5" t="str">
        <f t="shared" si="7"/>
        <v>0</v>
      </c>
      <c r="Q725" s="5" t="str">
        <f t="shared" si="8"/>
        <v>pĩ</v>
      </c>
      <c r="R725" s="3" t="s">
        <v>80</v>
      </c>
      <c r="S725" s="3" t="s">
        <v>2236</v>
      </c>
      <c r="T725" s="3" t="s">
        <v>2237</v>
      </c>
      <c r="U725" s="3" t="s">
        <v>22</v>
      </c>
      <c r="V725" s="5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>
      <c r="A726" s="3" t="s">
        <v>14</v>
      </c>
      <c r="B726" s="3" t="s">
        <v>2231</v>
      </c>
      <c r="C726" s="3" t="s">
        <v>2232</v>
      </c>
      <c r="D726" s="3" t="s">
        <v>2233</v>
      </c>
      <c r="E726" s="3" t="s">
        <v>2234</v>
      </c>
      <c r="F726" s="3" t="s">
        <v>1573</v>
      </c>
      <c r="G726" s="3" t="s">
        <v>1573</v>
      </c>
      <c r="H726" s="43">
        <f t="shared" ref="H726:I726" si="1453">LEN(D726)-LEN(B726)+1</f>
        <v>3</v>
      </c>
      <c r="I726" s="43">
        <f t="shared" si="1453"/>
        <v>4</v>
      </c>
      <c r="J726" s="4">
        <v>2.0</v>
      </c>
      <c r="K726" s="4">
        <v>2.0</v>
      </c>
      <c r="L726" s="5" t="str">
        <f t="shared" ref="L726:M726" si="1454">IFS(J726="-", "-", J726=H726, "Final", J726=1, "Initial", J726&gt;1, "Medial")</f>
        <v>Medial</v>
      </c>
      <c r="M726" s="44" t="str">
        <f t="shared" si="1454"/>
        <v>Medial</v>
      </c>
      <c r="N726" s="5" t="str">
        <f t="shared" si="5"/>
        <v>ka</v>
      </c>
      <c r="O726" s="5" t="str">
        <f t="shared" si="6"/>
        <v>-</v>
      </c>
      <c r="P726" s="5" t="str">
        <f t="shared" si="7"/>
        <v>kɐɾ</v>
      </c>
      <c r="Q726" s="5" t="str">
        <f t="shared" si="8"/>
        <v>ˈtej</v>
      </c>
      <c r="R726" s="3"/>
      <c r="S726" s="3" t="s">
        <v>2236</v>
      </c>
      <c r="T726" s="3" t="s">
        <v>2237</v>
      </c>
      <c r="U726" s="3" t="s">
        <v>22</v>
      </c>
      <c r="V726" s="5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>
      <c r="A727" s="3" t="s">
        <v>14</v>
      </c>
      <c r="B727" s="3" t="s">
        <v>2231</v>
      </c>
      <c r="C727" s="3" t="s">
        <v>2232</v>
      </c>
      <c r="D727" s="3" t="s">
        <v>2233</v>
      </c>
      <c r="E727" s="3" t="s">
        <v>2234</v>
      </c>
      <c r="F727" s="3" t="s">
        <v>36</v>
      </c>
      <c r="G727" s="3" t="s">
        <v>2238</v>
      </c>
      <c r="H727" s="43">
        <f t="shared" ref="H727:I727" si="1455">LEN(D727)-LEN(B727)+1</f>
        <v>3</v>
      </c>
      <c r="I727" s="43">
        <f t="shared" si="1455"/>
        <v>4</v>
      </c>
      <c r="J727" s="4" t="s">
        <v>36</v>
      </c>
      <c r="K727" s="4">
        <v>3.0</v>
      </c>
      <c r="L727" s="5" t="str">
        <f t="shared" ref="L727:M727" si="1456">IFS(J727="-", "-", J727=H727, "Final", J727=1, "Initial", J727&gt;1, "Medial")</f>
        <v>-</v>
      </c>
      <c r="M727" s="44" t="str">
        <f t="shared" si="1456"/>
        <v>Medial</v>
      </c>
      <c r="N727" s="5" t="str">
        <f t="shared" si="5"/>
        <v>pĩ</v>
      </c>
      <c r="O727" s="5" t="str">
        <f t="shared" si="6"/>
        <v>ˈtew</v>
      </c>
      <c r="P727" s="5" t="str">
        <f t="shared" si="7"/>
        <v>pĩ</v>
      </c>
      <c r="Q727" s="5" t="str">
        <f t="shared" si="8"/>
        <v>ɾu</v>
      </c>
      <c r="R727" s="3"/>
      <c r="S727" s="3" t="s">
        <v>2236</v>
      </c>
      <c r="T727" s="3" t="s">
        <v>2237</v>
      </c>
      <c r="U727" s="3" t="s">
        <v>22</v>
      </c>
      <c r="V727" s="5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>
      <c r="A728" s="3" t="s">
        <v>14</v>
      </c>
      <c r="B728" s="3" t="s">
        <v>2231</v>
      </c>
      <c r="C728" s="3" t="s">
        <v>2232</v>
      </c>
      <c r="D728" s="3" t="s">
        <v>2233</v>
      </c>
      <c r="E728" s="3" t="s">
        <v>2234</v>
      </c>
      <c r="F728" s="3" t="s">
        <v>2239</v>
      </c>
      <c r="G728" s="3" t="s">
        <v>1983</v>
      </c>
      <c r="H728" s="43">
        <f t="shared" ref="H728:I728" si="1457">LEN(D728)-LEN(B728)+1</f>
        <v>3</v>
      </c>
      <c r="I728" s="43">
        <f t="shared" si="1457"/>
        <v>4</v>
      </c>
      <c r="J728" s="4">
        <v>3.0</v>
      </c>
      <c r="K728" s="4">
        <v>4.0</v>
      </c>
      <c r="L728" s="5" t="str">
        <f t="shared" ref="L728:M728" si="1458">IFS(J728="-", "-", J728=H728, "Final", J728=1, "Initial", J728&gt;1, "Medial")</f>
        <v>Final</v>
      </c>
      <c r="M728" s="44" t="str">
        <f t="shared" si="1458"/>
        <v>Final</v>
      </c>
      <c r="N728" s="5" t="str">
        <f t="shared" si="5"/>
        <v>-</v>
      </c>
      <c r="O728" s="5">
        <f t="shared" si="6"/>
        <v>3</v>
      </c>
      <c r="P728" s="5" t="str">
        <f t="shared" si="7"/>
        <v>ˈtej</v>
      </c>
      <c r="Q728" s="5">
        <f t="shared" si="8"/>
        <v>4</v>
      </c>
      <c r="R728" s="3"/>
      <c r="S728" s="3" t="s">
        <v>2236</v>
      </c>
      <c r="T728" s="3" t="s">
        <v>2237</v>
      </c>
      <c r="U728" s="3" t="s">
        <v>22</v>
      </c>
      <c r="V728" s="5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>
      <c r="A729" s="3" t="s">
        <v>14</v>
      </c>
      <c r="B729" s="3" t="s">
        <v>2240</v>
      </c>
      <c r="C729" s="3" t="s">
        <v>2241</v>
      </c>
      <c r="D729" s="6" t="s">
        <v>2242</v>
      </c>
      <c r="E729" s="3" t="s">
        <v>2243</v>
      </c>
      <c r="F729" s="6" t="s">
        <v>233</v>
      </c>
      <c r="G729" s="3" t="s">
        <v>415</v>
      </c>
      <c r="H729" s="43">
        <f t="shared" ref="H729:I729" si="1459">LEN(D729)-LEN(B729)+1</f>
        <v>4</v>
      </c>
      <c r="I729" s="43">
        <f t="shared" si="1459"/>
        <v>3</v>
      </c>
      <c r="J729" s="4">
        <v>1.0</v>
      </c>
      <c r="K729" s="4">
        <v>1.0</v>
      </c>
      <c r="L729" s="5" t="str">
        <f t="shared" ref="L729:M729" si="1460">IFS(J729="-", "-", J729=H729, "Final", J729=1, "Initial", J729&gt;1, "Medial")</f>
        <v>Initial</v>
      </c>
      <c r="M729" s="44" t="str">
        <f t="shared" si="1460"/>
        <v>Initial</v>
      </c>
      <c r="N729" s="5" t="str">
        <f t="shared" si="5"/>
        <v>0</v>
      </c>
      <c r="O729" s="5" t="str">
        <f t="shared" si="6"/>
        <v>ʃi</v>
      </c>
      <c r="P729" s="5" t="str">
        <f t="shared" si="7"/>
        <v>0</v>
      </c>
      <c r="Q729" s="5" t="str">
        <f t="shared" si="8"/>
        <v>kɐ</v>
      </c>
      <c r="R729" s="3"/>
      <c r="S729" s="3" t="s">
        <v>2244</v>
      </c>
      <c r="T729" s="3" t="s">
        <v>2245</v>
      </c>
      <c r="U729" s="3" t="s">
        <v>22</v>
      </c>
      <c r="V729" s="5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>
      <c r="A730" s="3" t="s">
        <v>14</v>
      </c>
      <c r="B730" s="3" t="s">
        <v>2240</v>
      </c>
      <c r="C730" s="3" t="s">
        <v>2241</v>
      </c>
      <c r="D730" s="6" t="s">
        <v>2242</v>
      </c>
      <c r="E730" s="3" t="s">
        <v>2243</v>
      </c>
      <c r="F730" s="6" t="s">
        <v>848</v>
      </c>
      <c r="G730" s="3" t="s">
        <v>175</v>
      </c>
      <c r="H730" s="43">
        <f t="shared" ref="H730:I730" si="1461">LEN(D730)-LEN(B730)+1</f>
        <v>4</v>
      </c>
      <c r="I730" s="43">
        <f t="shared" si="1461"/>
        <v>3</v>
      </c>
      <c r="J730" s="4">
        <v>2.0</v>
      </c>
      <c r="K730" s="4">
        <v>2.0</v>
      </c>
      <c r="L730" s="5" t="str">
        <f t="shared" ref="L730:M730" si="1462">IFS(J730="-", "-", J730=H730, "Final", J730=1, "Initial", J730&gt;1, "Medial")</f>
        <v>Medial</v>
      </c>
      <c r="M730" s="44" t="str">
        <f t="shared" si="1462"/>
        <v>Medial</v>
      </c>
      <c r="N730" s="5" t="str">
        <f t="shared" si="5"/>
        <v>pi</v>
      </c>
      <c r="O730" s="5" t="str">
        <f t="shared" si="6"/>
        <v>ka</v>
      </c>
      <c r="P730" s="5" t="str">
        <f t="shared" si="7"/>
        <v>pɨʃ</v>
      </c>
      <c r="Q730" s="5" t="str">
        <f t="shared" si="8"/>
        <v>-</v>
      </c>
      <c r="R730" s="3"/>
      <c r="S730" s="3" t="s">
        <v>2244</v>
      </c>
      <c r="T730" s="3" t="s">
        <v>2245</v>
      </c>
      <c r="U730" s="3" t="s">
        <v>22</v>
      </c>
      <c r="V730" s="5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>
      <c r="A731" s="3" t="s">
        <v>14</v>
      </c>
      <c r="B731" s="3" t="s">
        <v>2240</v>
      </c>
      <c r="C731" s="3" t="s">
        <v>2241</v>
      </c>
      <c r="D731" s="6" t="s">
        <v>2242</v>
      </c>
      <c r="E731" s="3" t="s">
        <v>2243</v>
      </c>
      <c r="F731" s="6" t="s">
        <v>108</v>
      </c>
      <c r="G731" s="3" t="s">
        <v>36</v>
      </c>
      <c r="H731" s="43">
        <f t="shared" ref="H731:I731" si="1463">LEN(D731)-LEN(B731)+1</f>
        <v>4</v>
      </c>
      <c r="I731" s="43">
        <f t="shared" si="1463"/>
        <v>3</v>
      </c>
      <c r="J731" s="4">
        <v>3.0</v>
      </c>
      <c r="K731" s="4" t="s">
        <v>36</v>
      </c>
      <c r="L731" s="5" t="str">
        <f t="shared" ref="L731:M731" si="1464">IFS(J731="-", "-", J731=H731, "Final", J731=1, "Initial", J731&gt;1, "Medial")</f>
        <v>Medial</v>
      </c>
      <c r="M731" s="44" t="str">
        <f t="shared" si="1464"/>
        <v>-</v>
      </c>
      <c r="N731" s="5" t="str">
        <f t="shared" si="5"/>
        <v>ʃi</v>
      </c>
      <c r="O731" s="5" t="str">
        <f t="shared" si="6"/>
        <v>ˈdo</v>
      </c>
      <c r="P731" s="5" t="str">
        <f t="shared" si="7"/>
        <v>kɐ</v>
      </c>
      <c r="Q731" s="5" t="str">
        <f t="shared" si="8"/>
        <v>ˈdoɾ</v>
      </c>
      <c r="R731" s="3"/>
      <c r="S731" s="3" t="s">
        <v>2244</v>
      </c>
      <c r="T731" s="3" t="s">
        <v>2245</v>
      </c>
      <c r="U731" s="3" t="s">
        <v>22</v>
      </c>
      <c r="V731" s="5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>
      <c r="A732" s="3" t="s">
        <v>14</v>
      </c>
      <c r="B732" s="3" t="s">
        <v>2240</v>
      </c>
      <c r="C732" s="3" t="s">
        <v>2241</v>
      </c>
      <c r="D732" s="6" t="s">
        <v>2242</v>
      </c>
      <c r="E732" s="3" t="s">
        <v>2243</v>
      </c>
      <c r="F732" s="6" t="s">
        <v>878</v>
      </c>
      <c r="G732" s="3" t="s">
        <v>879</v>
      </c>
      <c r="H732" s="43">
        <f t="shared" ref="H732:I732" si="1465">LEN(D732)-LEN(B732)+1</f>
        <v>4</v>
      </c>
      <c r="I732" s="43">
        <f t="shared" si="1465"/>
        <v>3</v>
      </c>
      <c r="J732" s="4">
        <v>4.0</v>
      </c>
      <c r="K732" s="4">
        <v>3.0</v>
      </c>
      <c r="L732" s="5" t="str">
        <f t="shared" ref="L732:M732" si="1466">IFS(J732="-", "-", J732=H732, "Final", J732=1, "Initial", J732&gt;1, "Medial")</f>
        <v>Final</v>
      </c>
      <c r="M732" s="44" t="str">
        <f t="shared" si="1466"/>
        <v>Final</v>
      </c>
      <c r="N732" s="5" t="str">
        <f t="shared" si="5"/>
        <v>ka</v>
      </c>
      <c r="O732" s="5">
        <f t="shared" si="6"/>
        <v>4</v>
      </c>
      <c r="P732" s="5" t="str">
        <f t="shared" si="7"/>
        <v>-</v>
      </c>
      <c r="Q732" s="5">
        <f t="shared" si="8"/>
        <v>3</v>
      </c>
      <c r="R732" s="3"/>
      <c r="S732" s="3" t="s">
        <v>2244</v>
      </c>
      <c r="T732" s="3" t="s">
        <v>2245</v>
      </c>
      <c r="U732" s="3" t="s">
        <v>22</v>
      </c>
      <c r="V732" s="5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>
      <c r="A733" s="3" t="s">
        <v>14</v>
      </c>
      <c r="B733" s="3" t="s">
        <v>2246</v>
      </c>
      <c r="C733" s="3" t="s">
        <v>2247</v>
      </c>
      <c r="D733" s="3" t="s">
        <v>2248</v>
      </c>
      <c r="E733" s="3" t="s">
        <v>2249</v>
      </c>
      <c r="F733" s="3" t="s">
        <v>2250</v>
      </c>
      <c r="G733" s="3" t="s">
        <v>668</v>
      </c>
      <c r="H733" s="43">
        <f t="shared" ref="H733:I733" si="1467">LEN(D733)-LEN(B733)+1</f>
        <v>2</v>
      </c>
      <c r="I733" s="43">
        <f t="shared" si="1467"/>
        <v>3</v>
      </c>
      <c r="J733" s="4">
        <v>1.0</v>
      </c>
      <c r="K733" s="4">
        <v>1.0</v>
      </c>
      <c r="L733" s="5" t="str">
        <f t="shared" ref="L733:M733" si="1468">IFS(J733="-", "-", J733=H733, "Final", J733=1, "Initial", J733&gt;1, "Medial")</f>
        <v>Initial</v>
      </c>
      <c r="M733" s="44" t="str">
        <f t="shared" si="1468"/>
        <v>Initial</v>
      </c>
      <c r="N733" s="5" t="str">
        <f t="shared" si="5"/>
        <v>0</v>
      </c>
      <c r="O733" s="5" t="str">
        <f t="shared" si="6"/>
        <v>-</v>
      </c>
      <c r="P733" s="5" t="str">
        <f t="shared" si="7"/>
        <v>0</v>
      </c>
      <c r="Q733" s="5" t="str">
        <f t="shared" si="8"/>
        <v>ˈi</v>
      </c>
      <c r="R733" s="3" t="s">
        <v>80</v>
      </c>
      <c r="S733" s="3" t="s">
        <v>2251</v>
      </c>
      <c r="T733" s="3" t="s">
        <v>2252</v>
      </c>
      <c r="U733" s="3" t="s">
        <v>22</v>
      </c>
      <c r="V733" s="5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>
      <c r="A734" s="3" t="s">
        <v>14</v>
      </c>
      <c r="B734" s="3" t="s">
        <v>2246</v>
      </c>
      <c r="C734" s="3" t="s">
        <v>2247</v>
      </c>
      <c r="D734" s="3" t="s">
        <v>2248</v>
      </c>
      <c r="E734" s="3" t="s">
        <v>2249</v>
      </c>
      <c r="F734" s="3" t="s">
        <v>36</v>
      </c>
      <c r="G734" s="3" t="s">
        <v>845</v>
      </c>
      <c r="H734" s="43">
        <f t="shared" ref="H734:I734" si="1469">LEN(D734)-LEN(B734)+1</f>
        <v>2</v>
      </c>
      <c r="I734" s="43">
        <f t="shared" si="1469"/>
        <v>3</v>
      </c>
      <c r="J734" s="4" t="s">
        <v>36</v>
      </c>
      <c r="K734" s="4">
        <v>2.0</v>
      </c>
      <c r="L734" s="5" t="str">
        <f t="shared" ref="L734:M734" si="1470">IFS(J734="-", "-", J734=H734, "Final", J734=1, "Initial", J734&gt;1, "Medial")</f>
        <v>-</v>
      </c>
      <c r="M734" s="44" t="str">
        <f t="shared" si="1470"/>
        <v>Medial</v>
      </c>
      <c r="N734" s="5" t="str">
        <f t="shared" si="5"/>
        <v>ˈrã</v>
      </c>
      <c r="O734" s="5" t="str">
        <f t="shared" si="6"/>
        <v>ɲɐ</v>
      </c>
      <c r="P734" s="5" t="str">
        <f t="shared" si="7"/>
        <v>ʀɐ</v>
      </c>
      <c r="Q734" s="5" t="str">
        <f t="shared" si="8"/>
        <v>ɲɐ</v>
      </c>
      <c r="R734" s="3"/>
      <c r="S734" s="3" t="s">
        <v>2251</v>
      </c>
      <c r="T734" s="3" t="s">
        <v>2252</v>
      </c>
      <c r="U734" s="3" t="s">
        <v>22</v>
      </c>
      <c r="V734" s="5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>
      <c r="A735" s="3" t="s">
        <v>14</v>
      </c>
      <c r="B735" s="3" t="s">
        <v>2246</v>
      </c>
      <c r="C735" s="3" t="s">
        <v>2247</v>
      </c>
      <c r="D735" s="3" t="s">
        <v>2248</v>
      </c>
      <c r="E735" s="3" t="s">
        <v>2249</v>
      </c>
      <c r="F735" s="3" t="s">
        <v>75</v>
      </c>
      <c r="G735" s="3" t="s">
        <v>75</v>
      </c>
      <c r="H735" s="43">
        <f t="shared" ref="H735:I735" si="1471">LEN(D735)-LEN(B735)+1</f>
        <v>2</v>
      </c>
      <c r="I735" s="43">
        <f t="shared" si="1471"/>
        <v>3</v>
      </c>
      <c r="J735" s="4">
        <v>2.0</v>
      </c>
      <c r="K735" s="4">
        <v>3.0</v>
      </c>
      <c r="L735" s="5" t="str">
        <f t="shared" ref="L735:M735" si="1472">IFS(J735="-", "-", J735=H735, "Final", J735=1, "Initial", J735&gt;1, "Medial")</f>
        <v>Final</v>
      </c>
      <c r="M735" s="44" t="str">
        <f t="shared" si="1472"/>
        <v>Final</v>
      </c>
      <c r="N735" s="5" t="str">
        <f t="shared" si="5"/>
        <v>-</v>
      </c>
      <c r="O735" s="5">
        <f t="shared" si="6"/>
        <v>2</v>
      </c>
      <c r="P735" s="5" t="str">
        <f t="shared" si="7"/>
        <v>ˈi</v>
      </c>
      <c r="Q735" s="5">
        <f t="shared" si="8"/>
        <v>3</v>
      </c>
      <c r="R735" s="3"/>
      <c r="S735" s="3" t="s">
        <v>2251</v>
      </c>
      <c r="T735" s="3" t="s">
        <v>2252</v>
      </c>
      <c r="U735" s="3" t="s">
        <v>22</v>
      </c>
      <c r="V735" s="5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>
      <c r="A736" s="3" t="s">
        <v>14</v>
      </c>
      <c r="B736" s="3" t="s">
        <v>2253</v>
      </c>
      <c r="C736" s="3" t="s">
        <v>2254</v>
      </c>
      <c r="D736" s="3" t="s">
        <v>2255</v>
      </c>
      <c r="E736" s="3" t="s">
        <v>2256</v>
      </c>
      <c r="F736" s="3" t="s">
        <v>244</v>
      </c>
      <c r="G736" s="3" t="s">
        <v>402</v>
      </c>
      <c r="H736" s="43">
        <f t="shared" ref="H736:I736" si="1473">LEN(D736)-LEN(B736)+1</f>
        <v>3</v>
      </c>
      <c r="I736" s="43">
        <f t="shared" si="1473"/>
        <v>4</v>
      </c>
      <c r="J736" s="4">
        <v>1.0</v>
      </c>
      <c r="K736" s="4">
        <v>1.0</v>
      </c>
      <c r="L736" s="5" t="str">
        <f t="shared" ref="L736:M736" si="1474">IFS(J736="-", "-", J736=H736, "Final", J736=1, "Initial", J736&gt;1, "Medial")</f>
        <v>Initial</v>
      </c>
      <c r="M736" s="44" t="str">
        <f t="shared" si="1474"/>
        <v>Initial</v>
      </c>
      <c r="N736" s="5" t="str">
        <f t="shared" si="5"/>
        <v>0</v>
      </c>
      <c r="O736" s="5" t="str">
        <f t="shared" si="6"/>
        <v>pa</v>
      </c>
      <c r="P736" s="5" t="str">
        <f t="shared" si="7"/>
        <v>0</v>
      </c>
      <c r="Q736" s="5" t="str">
        <f t="shared" si="8"/>
        <v>pɐ</v>
      </c>
      <c r="R736" s="3" t="s">
        <v>80</v>
      </c>
      <c r="S736" s="3" t="s">
        <v>2257</v>
      </c>
      <c r="T736" s="3" t="s">
        <v>2258</v>
      </c>
      <c r="U736" s="3" t="s">
        <v>22</v>
      </c>
      <c r="V736" s="5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>
      <c r="A737" s="3" t="s">
        <v>14</v>
      </c>
      <c r="B737" s="3" t="s">
        <v>2253</v>
      </c>
      <c r="C737" s="3" t="s">
        <v>2254</v>
      </c>
      <c r="D737" s="3" t="s">
        <v>2255</v>
      </c>
      <c r="E737" s="3" t="s">
        <v>2256</v>
      </c>
      <c r="F737" s="3" t="s">
        <v>1541</v>
      </c>
      <c r="G737" s="3" t="s">
        <v>254</v>
      </c>
      <c r="H737" s="43">
        <f t="shared" ref="H737:I737" si="1475">LEN(D737)-LEN(B737)+1</f>
        <v>3</v>
      </c>
      <c r="I737" s="43">
        <f t="shared" si="1475"/>
        <v>4</v>
      </c>
      <c r="J737" s="4">
        <v>2.0</v>
      </c>
      <c r="K737" s="4">
        <v>2.0</v>
      </c>
      <c r="L737" s="5" t="str">
        <f t="shared" ref="L737:M737" si="1476">IFS(J737="-", "-", J737=H737, "Final", J737=1, "Initial", J737&gt;1, "Medial")</f>
        <v>Medial</v>
      </c>
      <c r="M737" s="44" t="str">
        <f t="shared" si="1476"/>
        <v>Medial</v>
      </c>
      <c r="N737" s="5" t="str">
        <f t="shared" si="5"/>
        <v>sa</v>
      </c>
      <c r="O737" s="5" t="str">
        <f t="shared" si="6"/>
        <v>-</v>
      </c>
      <c r="P737" s="5" t="str">
        <f t="shared" si="7"/>
        <v>sɐ</v>
      </c>
      <c r="Q737" s="5" t="str">
        <f t="shared" si="8"/>
        <v>ˈtej</v>
      </c>
      <c r="R737" s="3"/>
      <c r="S737" s="3" t="s">
        <v>2257</v>
      </c>
      <c r="T737" s="3" t="s">
        <v>2258</v>
      </c>
      <c r="U737" s="3" t="s">
        <v>22</v>
      </c>
      <c r="V737" s="5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>
      <c r="A738" s="3" t="s">
        <v>14</v>
      </c>
      <c r="B738" s="3" t="s">
        <v>2253</v>
      </c>
      <c r="C738" s="3" t="s">
        <v>2254</v>
      </c>
      <c r="D738" s="3" t="s">
        <v>2255</v>
      </c>
      <c r="E738" s="3" t="s">
        <v>2256</v>
      </c>
      <c r="F738" s="3" t="s">
        <v>36</v>
      </c>
      <c r="G738" s="3" t="s">
        <v>2238</v>
      </c>
      <c r="H738" s="43">
        <f t="shared" ref="H738:I738" si="1477">LEN(D738)-LEN(B738)+1</f>
        <v>3</v>
      </c>
      <c r="I738" s="43">
        <f t="shared" si="1477"/>
        <v>4</v>
      </c>
      <c r="J738" s="4" t="s">
        <v>36</v>
      </c>
      <c r="K738" s="4">
        <v>3.0</v>
      </c>
      <c r="L738" s="5" t="str">
        <f t="shared" ref="L738:M738" si="1478">IFS(J738="-", "-", J738=H738, "Final", J738=1, "Initial", J738&gt;1, "Medial")</f>
        <v>-</v>
      </c>
      <c r="M738" s="44" t="str">
        <f t="shared" si="1478"/>
        <v>Medial</v>
      </c>
      <c r="N738" s="5" t="str">
        <f t="shared" si="5"/>
        <v>pa</v>
      </c>
      <c r="O738" s="5" t="str">
        <f t="shared" si="6"/>
        <v>ˈtew</v>
      </c>
      <c r="P738" s="5" t="str">
        <f t="shared" si="7"/>
        <v>pɐ</v>
      </c>
      <c r="Q738" s="5" t="str">
        <f t="shared" si="8"/>
        <v>ɾu</v>
      </c>
      <c r="R738" s="3"/>
      <c r="S738" s="3" t="s">
        <v>2257</v>
      </c>
      <c r="T738" s="3" t="s">
        <v>2258</v>
      </c>
      <c r="U738" s="3" t="s">
        <v>22</v>
      </c>
      <c r="V738" s="5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>
      <c r="A739" s="3" t="s">
        <v>14</v>
      </c>
      <c r="B739" s="3" t="s">
        <v>2253</v>
      </c>
      <c r="C739" s="3" t="s">
        <v>2254</v>
      </c>
      <c r="D739" s="3" t="s">
        <v>2255</v>
      </c>
      <c r="E739" s="3" t="s">
        <v>2256</v>
      </c>
      <c r="F739" s="3" t="s">
        <v>2239</v>
      </c>
      <c r="G739" s="3" t="s">
        <v>1983</v>
      </c>
      <c r="H739" s="43">
        <f t="shared" ref="H739:I739" si="1479">LEN(D739)-LEN(B739)+1</f>
        <v>3</v>
      </c>
      <c r="I739" s="43">
        <f t="shared" si="1479"/>
        <v>4</v>
      </c>
      <c r="J739" s="4">
        <v>3.0</v>
      </c>
      <c r="K739" s="4">
        <v>4.0</v>
      </c>
      <c r="L739" s="5" t="str">
        <f t="shared" ref="L739:M739" si="1480">IFS(J739="-", "-", J739=H739, "Final", J739=1, "Initial", J739&gt;1, "Medial")</f>
        <v>Final</v>
      </c>
      <c r="M739" s="44" t="str">
        <f t="shared" si="1480"/>
        <v>Final</v>
      </c>
      <c r="N739" s="5" t="str">
        <f t="shared" si="5"/>
        <v>-</v>
      </c>
      <c r="O739" s="5">
        <f t="shared" si="6"/>
        <v>3</v>
      </c>
      <c r="P739" s="5" t="str">
        <f t="shared" si="7"/>
        <v>ˈtej</v>
      </c>
      <c r="Q739" s="5">
        <f t="shared" si="8"/>
        <v>4</v>
      </c>
      <c r="R739" s="3"/>
      <c r="S739" s="3" t="s">
        <v>2257</v>
      </c>
      <c r="T739" s="3" t="s">
        <v>2258</v>
      </c>
      <c r="U739" s="3" t="s">
        <v>22</v>
      </c>
      <c r="V739" s="5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>
      <c r="A740" s="3" t="s">
        <v>14</v>
      </c>
      <c r="B740" s="3" t="s">
        <v>2259</v>
      </c>
      <c r="C740" s="3" t="s">
        <v>2260</v>
      </c>
      <c r="D740" s="3" t="s">
        <v>2261</v>
      </c>
      <c r="E740" s="3" t="s">
        <v>2262</v>
      </c>
      <c r="F740" s="3" t="s">
        <v>1754</v>
      </c>
      <c r="G740" s="3" t="s">
        <v>2263</v>
      </c>
      <c r="H740" s="43">
        <f t="shared" ref="H740:I740" si="1481">LEN(D740)-LEN(B740)+1</f>
        <v>3</v>
      </c>
      <c r="I740" s="43">
        <f t="shared" si="1481"/>
        <v>3</v>
      </c>
      <c r="J740" s="4">
        <v>1.0</v>
      </c>
      <c r="K740" s="4">
        <v>1.0</v>
      </c>
      <c r="L740" s="5" t="str">
        <f t="shared" ref="L740:M740" si="1482">IFS(J740="-", "-", J740=H740, "Final", J740=1, "Initial", J740&gt;1, "Medial")</f>
        <v>Initial</v>
      </c>
      <c r="M740" s="44" t="str">
        <f t="shared" si="1482"/>
        <v>Initial</v>
      </c>
      <c r="N740" s="5" t="str">
        <f t="shared" si="5"/>
        <v>0</v>
      </c>
      <c r="O740" s="5" t="str">
        <f t="shared" si="6"/>
        <v>ˈda</v>
      </c>
      <c r="P740" s="5" t="str">
        <f t="shared" si="7"/>
        <v>0</v>
      </c>
      <c r="Q740" s="5" t="str">
        <f t="shared" si="8"/>
        <v>ˈda</v>
      </c>
      <c r="R740" s="3"/>
      <c r="S740" s="3" t="s">
        <v>2264</v>
      </c>
      <c r="T740" s="3" t="s">
        <v>2265</v>
      </c>
      <c r="U740" s="3" t="s">
        <v>22</v>
      </c>
      <c r="V740" s="5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>
      <c r="A741" s="3" t="s">
        <v>14</v>
      </c>
      <c r="B741" s="3" t="s">
        <v>2259</v>
      </c>
      <c r="C741" s="3" t="s">
        <v>2260</v>
      </c>
      <c r="D741" s="3" t="s">
        <v>2261</v>
      </c>
      <c r="E741" s="3" t="s">
        <v>2262</v>
      </c>
      <c r="F741" s="3" t="s">
        <v>1118</v>
      </c>
      <c r="G741" s="3" t="s">
        <v>1118</v>
      </c>
      <c r="H741" s="43">
        <f t="shared" ref="H741:I741" si="1483">LEN(D741)-LEN(B741)+1</f>
        <v>3</v>
      </c>
      <c r="I741" s="43">
        <f t="shared" si="1483"/>
        <v>3</v>
      </c>
      <c r="J741" s="4">
        <v>2.0</v>
      </c>
      <c r="K741" s="4">
        <v>2.0</v>
      </c>
      <c r="L741" s="5" t="str">
        <f t="shared" ref="L741:M741" si="1484">IFS(J741="-", "-", J741=H741, "Final", J741=1, "Initial", J741&gt;1, "Medial")</f>
        <v>Medial</v>
      </c>
      <c r="M741" s="44" t="str">
        <f t="shared" si="1484"/>
        <v>Medial</v>
      </c>
      <c r="N741" s="5" t="str">
        <f t="shared" si="5"/>
        <v>sɔ</v>
      </c>
      <c r="O741" s="5" t="str">
        <f t="shared" si="6"/>
        <v>di</v>
      </c>
      <c r="P741" s="5" t="str">
        <f t="shared" si="7"/>
        <v>sɔl</v>
      </c>
      <c r="Q741" s="5" t="str">
        <f t="shared" si="8"/>
        <v>du</v>
      </c>
      <c r="R741" s="3"/>
      <c r="S741" s="3" t="s">
        <v>2264</v>
      </c>
      <c r="T741" s="3" t="s">
        <v>2265</v>
      </c>
      <c r="U741" s="3" t="s">
        <v>22</v>
      </c>
      <c r="V741" s="5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>
      <c r="A742" s="3" t="s">
        <v>14</v>
      </c>
      <c r="B742" s="3" t="s">
        <v>2259</v>
      </c>
      <c r="C742" s="3" t="s">
        <v>2260</v>
      </c>
      <c r="D742" s="3" t="s">
        <v>2261</v>
      </c>
      <c r="E742" s="3" t="s">
        <v>2262</v>
      </c>
      <c r="F742" s="3" t="s">
        <v>172</v>
      </c>
      <c r="G742" s="3" t="s">
        <v>387</v>
      </c>
      <c r="H742" s="43">
        <f t="shared" ref="H742:I742" si="1485">LEN(D742)-LEN(B742)+1</f>
        <v>3</v>
      </c>
      <c r="I742" s="43">
        <f t="shared" si="1485"/>
        <v>3</v>
      </c>
      <c r="J742" s="4">
        <v>3.0</v>
      </c>
      <c r="K742" s="4">
        <v>3.0</v>
      </c>
      <c r="L742" s="5" t="str">
        <f t="shared" ref="L742:M742" si="1486">IFS(J742="-", "-", J742=H742, "Final", J742=1, "Initial", J742&gt;1, "Medial")</f>
        <v>Final</v>
      </c>
      <c r="M742" s="44" t="str">
        <f t="shared" si="1486"/>
        <v>Final</v>
      </c>
      <c r="N742" s="5" t="str">
        <f t="shared" si="5"/>
        <v>ˈda</v>
      </c>
      <c r="O742" s="5">
        <f t="shared" si="6"/>
        <v>3</v>
      </c>
      <c r="P742" s="5" t="str">
        <f t="shared" si="7"/>
        <v>ˈda</v>
      </c>
      <c r="Q742" s="5">
        <f t="shared" si="8"/>
        <v>3</v>
      </c>
      <c r="R742" s="3"/>
      <c r="S742" s="3" t="s">
        <v>2264</v>
      </c>
      <c r="T742" s="3" t="s">
        <v>2265</v>
      </c>
      <c r="U742" s="3" t="s">
        <v>22</v>
      </c>
      <c r="V742" s="5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>
      <c r="A743" s="3" t="s">
        <v>14</v>
      </c>
      <c r="B743" s="3" t="s">
        <v>2266</v>
      </c>
      <c r="C743" s="3" t="s">
        <v>2267</v>
      </c>
      <c r="D743" s="3" t="s">
        <v>2268</v>
      </c>
      <c r="E743" s="3" t="s">
        <v>2269</v>
      </c>
      <c r="F743" s="3" t="s">
        <v>349</v>
      </c>
      <c r="G743" s="3" t="s">
        <v>349</v>
      </c>
      <c r="H743" s="43">
        <f t="shared" ref="H743:I743" si="1487">LEN(D743)-LEN(B743)+1</f>
        <v>3</v>
      </c>
      <c r="I743" s="43">
        <f t="shared" si="1487"/>
        <v>3</v>
      </c>
      <c r="J743" s="4">
        <v>1.0</v>
      </c>
      <c r="K743" s="4">
        <v>1.0</v>
      </c>
      <c r="L743" s="5" t="str">
        <f t="shared" ref="L743:M743" si="1488">IFS(J743="-", "-", J743=H743, "Final", J743=1, "Initial", J743&gt;1, "Medial")</f>
        <v>Initial</v>
      </c>
      <c r="M743" s="44" t="str">
        <f t="shared" si="1488"/>
        <v>Initial</v>
      </c>
      <c r="N743" s="5" t="str">
        <f t="shared" si="5"/>
        <v>0</v>
      </c>
      <c r="O743" s="5" t="str">
        <f t="shared" si="6"/>
        <v>za</v>
      </c>
      <c r="P743" s="5" t="str">
        <f t="shared" si="7"/>
        <v>0</v>
      </c>
      <c r="Q743" s="5" t="str">
        <f t="shared" si="8"/>
        <v>zɐ</v>
      </c>
      <c r="R743" s="3"/>
      <c r="S743" s="3" t="s">
        <v>2270</v>
      </c>
      <c r="T743" s="3" t="s">
        <v>2271</v>
      </c>
      <c r="U743" s="3" t="s">
        <v>22</v>
      </c>
      <c r="V743" s="5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>
      <c r="A744" s="3" t="s">
        <v>14</v>
      </c>
      <c r="B744" s="3" t="s">
        <v>2266</v>
      </c>
      <c r="C744" s="3" t="s">
        <v>2267</v>
      </c>
      <c r="D744" s="3" t="s">
        <v>2268</v>
      </c>
      <c r="E744" s="3" t="s">
        <v>2269</v>
      </c>
      <c r="F744" s="3" t="s">
        <v>2272</v>
      </c>
      <c r="G744" s="3" t="s">
        <v>296</v>
      </c>
      <c r="H744" s="43">
        <f t="shared" ref="H744:I744" si="1489">LEN(D744)-LEN(B744)+1</f>
        <v>3</v>
      </c>
      <c r="I744" s="43">
        <f t="shared" si="1489"/>
        <v>3</v>
      </c>
      <c r="J744" s="4">
        <v>2.0</v>
      </c>
      <c r="K744" s="4">
        <v>2.0</v>
      </c>
      <c r="L744" s="5" t="str">
        <f t="shared" ref="L744:M744" si="1490">IFS(J744="-", "-", J744=H744, "Final", J744=1, "Initial", J744&gt;1, "Medial")</f>
        <v>Medial</v>
      </c>
      <c r="M744" s="44" t="str">
        <f t="shared" si="1490"/>
        <v>Medial</v>
      </c>
      <c r="N744" s="5" t="str">
        <f t="shared" si="5"/>
        <v>bi</v>
      </c>
      <c r="O744" s="5" t="str">
        <f t="shared" si="6"/>
        <v>ˈvɔ</v>
      </c>
      <c r="P744" s="5" t="str">
        <f t="shared" si="7"/>
        <v>bi</v>
      </c>
      <c r="Q744" s="5" t="str">
        <f t="shared" si="8"/>
        <v>ˈvɔ</v>
      </c>
      <c r="R744" s="3"/>
      <c r="S744" s="3" t="s">
        <v>2270</v>
      </c>
      <c r="T744" s="3" t="s">
        <v>2271</v>
      </c>
      <c r="U744" s="3" t="s">
        <v>22</v>
      </c>
      <c r="V744" s="5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>
      <c r="A745" s="3" t="s">
        <v>14</v>
      </c>
      <c r="B745" s="3" t="s">
        <v>2266</v>
      </c>
      <c r="C745" s="3" t="s">
        <v>2267</v>
      </c>
      <c r="D745" s="3" t="s">
        <v>2268</v>
      </c>
      <c r="E745" s="3" t="s">
        <v>2269</v>
      </c>
      <c r="F745" s="3" t="s">
        <v>2273</v>
      </c>
      <c r="G745" s="3" t="s">
        <v>2273</v>
      </c>
      <c r="H745" s="43">
        <f t="shared" ref="H745:I745" si="1491">LEN(D745)-LEN(B745)+1</f>
        <v>3</v>
      </c>
      <c r="I745" s="43">
        <f t="shared" si="1491"/>
        <v>3</v>
      </c>
      <c r="J745" s="4">
        <v>3.0</v>
      </c>
      <c r="K745" s="4">
        <v>3.0</v>
      </c>
      <c r="L745" s="5" t="str">
        <f t="shared" ref="L745:M745" si="1492">IFS(J745="-", "-", J745=H745, "Final", J745=1, "Initial", J745&gt;1, "Medial")</f>
        <v>Final</v>
      </c>
      <c r="M745" s="44" t="str">
        <f t="shared" si="1492"/>
        <v>Final</v>
      </c>
      <c r="N745" s="5" t="str">
        <f t="shared" si="5"/>
        <v>za</v>
      </c>
      <c r="O745" s="5">
        <f t="shared" si="6"/>
        <v>3</v>
      </c>
      <c r="P745" s="5" t="str">
        <f t="shared" si="7"/>
        <v>zɐ</v>
      </c>
      <c r="Q745" s="5">
        <f t="shared" si="8"/>
        <v>3</v>
      </c>
      <c r="R745" s="3"/>
      <c r="S745" s="3" t="s">
        <v>2270</v>
      </c>
      <c r="T745" s="3" t="s">
        <v>2271</v>
      </c>
      <c r="U745" s="3" t="s">
        <v>22</v>
      </c>
      <c r="V745" s="5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>
      <c r="A746" s="3" t="s">
        <v>14</v>
      </c>
      <c r="B746" s="3" t="s">
        <v>2274</v>
      </c>
      <c r="C746" s="3" t="s">
        <v>2275</v>
      </c>
      <c r="D746" s="3" t="s">
        <v>2276</v>
      </c>
      <c r="E746" s="3" t="s">
        <v>2276</v>
      </c>
      <c r="F746" s="3" t="s">
        <v>349</v>
      </c>
      <c r="G746" s="3" t="s">
        <v>349</v>
      </c>
      <c r="H746" s="43">
        <f t="shared" ref="H746:I746" si="1493">LEN(D746)-LEN(B746)+1</f>
        <v>3</v>
      </c>
      <c r="I746" s="43">
        <f t="shared" si="1493"/>
        <v>3</v>
      </c>
      <c r="J746" s="4">
        <v>1.0</v>
      </c>
      <c r="K746" s="4">
        <v>1.0</v>
      </c>
      <c r="L746" s="5" t="str">
        <f t="shared" ref="L746:M746" si="1494">IFS(J746="-", "-", J746=H746, "Final", J746=1, "Initial", J746&gt;1, "Medial")</f>
        <v>Initial</v>
      </c>
      <c r="M746" s="44" t="str">
        <f t="shared" si="1494"/>
        <v>Initial</v>
      </c>
      <c r="N746" s="5" t="str">
        <f t="shared" si="5"/>
        <v>0</v>
      </c>
      <c r="O746" s="5" t="str">
        <f t="shared" si="6"/>
        <v>zɐ</v>
      </c>
      <c r="P746" s="5" t="str">
        <f t="shared" si="7"/>
        <v>0</v>
      </c>
      <c r="Q746" s="5" t="str">
        <f t="shared" si="8"/>
        <v>zɐ</v>
      </c>
      <c r="R746" s="3"/>
      <c r="S746" s="3" t="s">
        <v>2277</v>
      </c>
      <c r="T746" s="3" t="s">
        <v>2278</v>
      </c>
      <c r="U746" s="3" t="s">
        <v>22</v>
      </c>
      <c r="V746" s="5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>
      <c r="A747" s="3" t="s">
        <v>14</v>
      </c>
      <c r="B747" s="3" t="s">
        <v>2274</v>
      </c>
      <c r="C747" s="3" t="s">
        <v>2275</v>
      </c>
      <c r="D747" s="3" t="s">
        <v>2276</v>
      </c>
      <c r="E747" s="3" t="s">
        <v>2276</v>
      </c>
      <c r="F747" s="3" t="s">
        <v>296</v>
      </c>
      <c r="G747" s="3" t="s">
        <v>296</v>
      </c>
      <c r="H747" s="43">
        <f t="shared" ref="H747:I747" si="1495">LEN(D747)-LEN(B747)+1</f>
        <v>3</v>
      </c>
      <c r="I747" s="43">
        <f t="shared" si="1495"/>
        <v>3</v>
      </c>
      <c r="J747" s="4">
        <v>2.0</v>
      </c>
      <c r="K747" s="4">
        <v>2.0</v>
      </c>
      <c r="L747" s="5" t="str">
        <f t="shared" ref="L747:M747" si="1496">IFS(J747="-", "-", J747=H747, "Final", J747=1, "Initial", J747&gt;1, "Medial")</f>
        <v>Medial</v>
      </c>
      <c r="M747" s="44" t="str">
        <f t="shared" si="1496"/>
        <v>Medial</v>
      </c>
      <c r="N747" s="5" t="str">
        <f t="shared" si="5"/>
        <v>bi</v>
      </c>
      <c r="O747" s="5" t="str">
        <f t="shared" si="6"/>
        <v>ˈvo</v>
      </c>
      <c r="P747" s="5" t="str">
        <f t="shared" si="7"/>
        <v>bi</v>
      </c>
      <c r="Q747" s="5" t="str">
        <f t="shared" si="8"/>
        <v>ˈvo</v>
      </c>
      <c r="R747" s="3"/>
      <c r="S747" s="3" t="s">
        <v>2277</v>
      </c>
      <c r="T747" s="3" t="s">
        <v>2278</v>
      </c>
      <c r="U747" s="3" t="s">
        <v>22</v>
      </c>
      <c r="V747" s="5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>
      <c r="A748" s="3" t="s">
        <v>14</v>
      </c>
      <c r="B748" s="3" t="s">
        <v>2274</v>
      </c>
      <c r="C748" s="3" t="s">
        <v>2275</v>
      </c>
      <c r="D748" s="3" t="s">
        <v>2276</v>
      </c>
      <c r="E748" s="3" t="s">
        <v>2276</v>
      </c>
      <c r="F748" s="3" t="s">
        <v>2279</v>
      </c>
      <c r="G748" s="3" t="s">
        <v>2279</v>
      </c>
      <c r="H748" s="43">
        <f t="shared" ref="H748:I748" si="1497">LEN(D748)-LEN(B748)+1</f>
        <v>3</v>
      </c>
      <c r="I748" s="43">
        <f t="shared" si="1497"/>
        <v>3</v>
      </c>
      <c r="J748" s="4">
        <v>3.0</v>
      </c>
      <c r="K748" s="4">
        <v>3.0</v>
      </c>
      <c r="L748" s="5" t="str">
        <f t="shared" ref="L748:M748" si="1498">IFS(J748="-", "-", J748=H748, "Final", J748=1, "Initial", J748&gt;1, "Medial")</f>
        <v>Final</v>
      </c>
      <c r="M748" s="44" t="str">
        <f t="shared" si="1498"/>
        <v>Final</v>
      </c>
      <c r="N748" s="5" t="str">
        <f t="shared" si="5"/>
        <v>zɐ</v>
      </c>
      <c r="O748" s="5">
        <f t="shared" si="6"/>
        <v>3</v>
      </c>
      <c r="P748" s="5" t="str">
        <f t="shared" si="7"/>
        <v>zɐ</v>
      </c>
      <c r="Q748" s="5">
        <f t="shared" si="8"/>
        <v>3</v>
      </c>
      <c r="R748" s="3"/>
      <c r="S748" s="3" t="s">
        <v>2277</v>
      </c>
      <c r="T748" s="3" t="s">
        <v>2278</v>
      </c>
      <c r="U748" s="3" t="s">
        <v>22</v>
      </c>
      <c r="V748" s="5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>
      <c r="A749" s="15" t="s">
        <v>14</v>
      </c>
      <c r="B749" s="15" t="s">
        <v>2280</v>
      </c>
      <c r="C749" s="15" t="s">
        <v>2281</v>
      </c>
      <c r="D749" s="15" t="s">
        <v>2282</v>
      </c>
      <c r="E749" s="15" t="s">
        <v>2283</v>
      </c>
      <c r="F749" s="15"/>
      <c r="G749" s="15"/>
      <c r="H749" s="43">
        <f t="shared" ref="H749:I749" si="1499">LEN(D749)-LEN(B749)+1</f>
        <v>4</v>
      </c>
      <c r="I749" s="43">
        <f t="shared" si="1499"/>
        <v>2</v>
      </c>
      <c r="J749" s="18"/>
      <c r="K749" s="18"/>
      <c r="L749" s="5" t="str">
        <f t="shared" ref="L749:M749" si="1500">IFS(J749="-", "-", J749=H749, "Final", J749=1, "Initial", J749&gt;1, "Medial")</f>
        <v>#N/A</v>
      </c>
      <c r="M749" s="44" t="str">
        <f t="shared" si="1500"/>
        <v>#N/A</v>
      </c>
      <c r="N749" s="5" t="str">
        <f t="shared" si="5"/>
        <v>0</v>
      </c>
      <c r="O749" s="5" t="str">
        <f t="shared" si="6"/>
        <v/>
      </c>
      <c r="P749" s="5" t="str">
        <f t="shared" si="7"/>
        <v>0</v>
      </c>
      <c r="Q749" s="5" t="str">
        <f t="shared" si="8"/>
        <v/>
      </c>
      <c r="R749" s="15"/>
      <c r="S749" s="15" t="s">
        <v>2284</v>
      </c>
      <c r="T749" s="15" t="s">
        <v>2285</v>
      </c>
      <c r="U749" s="15" t="s">
        <v>22</v>
      </c>
      <c r="V749" s="15" t="s">
        <v>560</v>
      </c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</row>
    <row r="750">
      <c r="A750" s="3" t="s">
        <v>14</v>
      </c>
      <c r="B750" s="3" t="s">
        <v>2286</v>
      </c>
      <c r="C750" s="3" t="s">
        <v>2286</v>
      </c>
      <c r="D750" s="3" t="s">
        <v>2287</v>
      </c>
      <c r="E750" s="3" t="s">
        <v>2287</v>
      </c>
      <c r="F750" s="3" t="s">
        <v>425</v>
      </c>
      <c r="G750" s="3" t="s">
        <v>425</v>
      </c>
      <c r="H750" s="43">
        <f t="shared" ref="H750:I750" si="1501">LEN(D750)-LEN(B750)+1</f>
        <v>3</v>
      </c>
      <c r="I750" s="43">
        <f t="shared" si="1501"/>
        <v>3</v>
      </c>
      <c r="J750" s="4">
        <v>1.0</v>
      </c>
      <c r="K750" s="4">
        <v>1.0</v>
      </c>
      <c r="L750" s="5" t="str">
        <f t="shared" ref="L750:M750" si="1502">IFS(J750="-", "-", J750=H750, "Final", J750=1, "Initial", J750&gt;1, "Medial")</f>
        <v>Initial</v>
      </c>
      <c r="M750" s="44" t="str">
        <f t="shared" si="1502"/>
        <v>Initial</v>
      </c>
      <c r="N750" s="5" t="str">
        <f t="shared" si="5"/>
        <v>0</v>
      </c>
      <c r="O750" s="5" t="str">
        <f t="shared" si="6"/>
        <v>ˈɲa</v>
      </c>
      <c r="P750" s="5" t="str">
        <f t="shared" si="7"/>
        <v>0</v>
      </c>
      <c r="Q750" s="5" t="str">
        <f t="shared" si="8"/>
        <v>ˈɲa</v>
      </c>
      <c r="R750" s="3"/>
      <c r="S750" s="3" t="s">
        <v>2288</v>
      </c>
      <c r="T750" s="3" t="s">
        <v>2289</v>
      </c>
      <c r="U750" s="3" t="s">
        <v>22</v>
      </c>
      <c r="V750" s="5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>
      <c r="A751" s="3" t="s">
        <v>14</v>
      </c>
      <c r="B751" s="3" t="s">
        <v>2286</v>
      </c>
      <c r="C751" s="3" t="s">
        <v>2286</v>
      </c>
      <c r="D751" s="3" t="s">
        <v>2287</v>
      </c>
      <c r="E751" s="3" t="s">
        <v>2287</v>
      </c>
      <c r="F751" s="3" t="s">
        <v>2290</v>
      </c>
      <c r="G751" s="3" t="s">
        <v>2290</v>
      </c>
      <c r="H751" s="43">
        <f t="shared" ref="H751:I751" si="1503">LEN(D751)-LEN(B751)+1</f>
        <v>3</v>
      </c>
      <c r="I751" s="43">
        <f t="shared" si="1503"/>
        <v>3</v>
      </c>
      <c r="J751" s="4">
        <v>2.0</v>
      </c>
      <c r="K751" s="4">
        <v>2.0</v>
      </c>
      <c r="L751" s="5" t="str">
        <f t="shared" ref="L751:M751" si="1504">IFS(J751="-", "-", J751=H751, "Final", J751=1, "Initial", J751&gt;1, "Medial")</f>
        <v>Medial</v>
      </c>
      <c r="M751" s="44" t="str">
        <f t="shared" si="1504"/>
        <v>Medial</v>
      </c>
      <c r="N751" s="5" t="str">
        <f t="shared" si="5"/>
        <v>ku</v>
      </c>
      <c r="O751" s="5" t="str">
        <f t="shared" si="6"/>
        <v>dɐ</v>
      </c>
      <c r="P751" s="5" t="str">
        <f t="shared" si="7"/>
        <v>ku</v>
      </c>
      <c r="Q751" s="5" t="str">
        <f t="shared" si="8"/>
        <v>dɐ</v>
      </c>
      <c r="R751" s="3"/>
      <c r="S751" s="3" t="s">
        <v>2288</v>
      </c>
      <c r="T751" s="3" t="s">
        <v>2289</v>
      </c>
      <c r="U751" s="3" t="s">
        <v>22</v>
      </c>
      <c r="V751" s="5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>
      <c r="A752" s="3" t="s">
        <v>14</v>
      </c>
      <c r="B752" s="3" t="s">
        <v>2286</v>
      </c>
      <c r="C752" s="3" t="s">
        <v>2286</v>
      </c>
      <c r="D752" s="3" t="s">
        <v>2287</v>
      </c>
      <c r="E752" s="3" t="s">
        <v>2287</v>
      </c>
      <c r="F752" s="3" t="s">
        <v>116</v>
      </c>
      <c r="G752" s="3" t="s">
        <v>116</v>
      </c>
      <c r="H752" s="43">
        <f t="shared" ref="H752:I752" si="1505">LEN(D752)-LEN(B752)+1</f>
        <v>3</v>
      </c>
      <c r="I752" s="43">
        <f t="shared" si="1505"/>
        <v>3</v>
      </c>
      <c r="J752" s="4">
        <v>3.0</v>
      </c>
      <c r="K752" s="4">
        <v>3.0</v>
      </c>
      <c r="L752" s="5" t="str">
        <f t="shared" ref="L752:M752" si="1506">IFS(J752="-", "-", J752=H752, "Final", J752=1, "Initial", J752&gt;1, "Medial")</f>
        <v>Final</v>
      </c>
      <c r="M752" s="44" t="str">
        <f t="shared" si="1506"/>
        <v>Final</v>
      </c>
      <c r="N752" s="5" t="str">
        <f t="shared" si="5"/>
        <v>ˈɲa</v>
      </c>
      <c r="O752" s="5">
        <f t="shared" si="6"/>
        <v>3</v>
      </c>
      <c r="P752" s="5" t="str">
        <f t="shared" si="7"/>
        <v>ˈɲa</v>
      </c>
      <c r="Q752" s="5">
        <f t="shared" si="8"/>
        <v>3</v>
      </c>
      <c r="R752" s="3"/>
      <c r="S752" s="3" t="s">
        <v>2288</v>
      </c>
      <c r="T752" s="3" t="s">
        <v>2289</v>
      </c>
      <c r="U752" s="3" t="s">
        <v>22</v>
      </c>
      <c r="V752" s="5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>
      <c r="A753" s="3" t="s">
        <v>14</v>
      </c>
      <c r="B753" s="3" t="s">
        <v>2291</v>
      </c>
      <c r="C753" s="3" t="s">
        <v>2291</v>
      </c>
      <c r="D753" s="3" t="s">
        <v>2292</v>
      </c>
      <c r="E753" s="3" t="s">
        <v>2292</v>
      </c>
      <c r="F753" s="3" t="s">
        <v>425</v>
      </c>
      <c r="G753" s="3" t="s">
        <v>425</v>
      </c>
      <c r="H753" s="43">
        <f t="shared" ref="H753:I753" si="1507">LEN(D753)-LEN(B753)+1</f>
        <v>3</v>
      </c>
      <c r="I753" s="43">
        <f t="shared" si="1507"/>
        <v>3</v>
      </c>
      <c r="J753" s="4">
        <v>1.0</v>
      </c>
      <c r="K753" s="4">
        <v>1.0</v>
      </c>
      <c r="L753" s="5" t="str">
        <f t="shared" ref="L753:M753" si="1508">IFS(J753="-", "-", J753=H753, "Final", J753=1, "Initial", J753&gt;1, "Medial")</f>
        <v>Initial</v>
      </c>
      <c r="M753" s="44" t="str">
        <f t="shared" si="1508"/>
        <v>Initial</v>
      </c>
      <c r="N753" s="5" t="str">
        <f t="shared" si="5"/>
        <v>0</v>
      </c>
      <c r="O753" s="5" t="str">
        <f t="shared" si="6"/>
        <v>ˈɲa</v>
      </c>
      <c r="P753" s="5" t="str">
        <f t="shared" si="7"/>
        <v>0</v>
      </c>
      <c r="Q753" s="5" t="str">
        <f t="shared" si="8"/>
        <v>ˈɲa</v>
      </c>
      <c r="R753" s="3"/>
      <c r="S753" s="3" t="s">
        <v>2293</v>
      </c>
      <c r="T753" s="3" t="s">
        <v>2294</v>
      </c>
      <c r="U753" s="3" t="s">
        <v>22</v>
      </c>
      <c r="V753" s="5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>
      <c r="A754" s="3" t="s">
        <v>14</v>
      </c>
      <c r="B754" s="3" t="s">
        <v>2291</v>
      </c>
      <c r="C754" s="3" t="s">
        <v>2291</v>
      </c>
      <c r="D754" s="3" t="s">
        <v>2292</v>
      </c>
      <c r="E754" s="3" t="s">
        <v>2292</v>
      </c>
      <c r="F754" s="3" t="s">
        <v>2290</v>
      </c>
      <c r="G754" s="3" t="s">
        <v>2290</v>
      </c>
      <c r="H754" s="43">
        <f t="shared" ref="H754:I754" si="1509">LEN(D754)-LEN(B754)+1</f>
        <v>3</v>
      </c>
      <c r="I754" s="43">
        <f t="shared" si="1509"/>
        <v>3</v>
      </c>
      <c r="J754" s="4">
        <v>2.0</v>
      </c>
      <c r="K754" s="4">
        <v>2.0</v>
      </c>
      <c r="L754" s="5" t="str">
        <f t="shared" ref="L754:M754" si="1510">IFS(J754="-", "-", J754=H754, "Final", J754=1, "Initial", J754&gt;1, "Medial")</f>
        <v>Medial</v>
      </c>
      <c r="M754" s="44" t="str">
        <f t="shared" si="1510"/>
        <v>Medial</v>
      </c>
      <c r="N754" s="5" t="str">
        <f t="shared" si="5"/>
        <v>ku</v>
      </c>
      <c r="O754" s="5" t="str">
        <f t="shared" si="6"/>
        <v>du</v>
      </c>
      <c r="P754" s="5" t="str">
        <f t="shared" si="7"/>
        <v>ku</v>
      </c>
      <c r="Q754" s="5" t="str">
        <f t="shared" si="8"/>
        <v>du</v>
      </c>
      <c r="R754" s="3"/>
      <c r="S754" s="3" t="s">
        <v>2293</v>
      </c>
      <c r="T754" s="3" t="s">
        <v>2294</v>
      </c>
      <c r="U754" s="3" t="s">
        <v>22</v>
      </c>
      <c r="V754" s="5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>
      <c r="A755" s="3" t="s">
        <v>14</v>
      </c>
      <c r="B755" s="3" t="s">
        <v>2291</v>
      </c>
      <c r="C755" s="3" t="s">
        <v>2291</v>
      </c>
      <c r="D755" s="3" t="s">
        <v>2292</v>
      </c>
      <c r="E755" s="3" t="s">
        <v>2292</v>
      </c>
      <c r="F755" s="3" t="s">
        <v>387</v>
      </c>
      <c r="G755" s="3" t="s">
        <v>387</v>
      </c>
      <c r="H755" s="43">
        <f t="shared" ref="H755:I755" si="1511">LEN(D755)-LEN(B755)+1</f>
        <v>3</v>
      </c>
      <c r="I755" s="43">
        <f t="shared" si="1511"/>
        <v>3</v>
      </c>
      <c r="J755" s="4">
        <v>3.0</v>
      </c>
      <c r="K755" s="4">
        <v>3.0</v>
      </c>
      <c r="L755" s="5" t="str">
        <f t="shared" ref="L755:M755" si="1512">IFS(J755="-", "-", J755=H755, "Final", J755=1, "Initial", J755&gt;1, "Medial")</f>
        <v>Final</v>
      </c>
      <c r="M755" s="44" t="str">
        <f t="shared" si="1512"/>
        <v>Final</v>
      </c>
      <c r="N755" s="5" t="str">
        <f t="shared" si="5"/>
        <v>ˈɲa</v>
      </c>
      <c r="O755" s="5">
        <f t="shared" si="6"/>
        <v>3</v>
      </c>
      <c r="P755" s="5" t="str">
        <f t="shared" si="7"/>
        <v>ˈɲa</v>
      </c>
      <c r="Q755" s="5">
        <f t="shared" si="8"/>
        <v>3</v>
      </c>
      <c r="R755" s="3"/>
      <c r="S755" s="3" t="s">
        <v>2293</v>
      </c>
      <c r="T755" s="3" t="s">
        <v>2294</v>
      </c>
      <c r="U755" s="3" t="s">
        <v>22</v>
      </c>
      <c r="V755" s="5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>
      <c r="A756" s="3" t="s">
        <v>14</v>
      </c>
      <c r="B756" s="3" t="s">
        <v>2295</v>
      </c>
      <c r="C756" s="3" t="s">
        <v>161</v>
      </c>
      <c r="D756" s="3" t="s">
        <v>2296</v>
      </c>
      <c r="E756" s="3" t="s">
        <v>155</v>
      </c>
      <c r="F756" s="3" t="s">
        <v>157</v>
      </c>
      <c r="G756" s="3" t="s">
        <v>158</v>
      </c>
      <c r="H756" s="43">
        <f t="shared" ref="H756:I756" si="1513">LEN(D756)-LEN(B756)+1</f>
        <v>2</v>
      </c>
      <c r="I756" s="43">
        <f t="shared" si="1513"/>
        <v>2</v>
      </c>
      <c r="J756" s="4">
        <v>1.0</v>
      </c>
      <c r="K756" s="4">
        <v>1.0</v>
      </c>
      <c r="L756" s="5" t="str">
        <f t="shared" ref="L756:M756" si="1514">IFS(J756="-", "-", J756=H756, "Final", J756=1, "Initial", J756&gt;1, "Medial")</f>
        <v>Initial</v>
      </c>
      <c r="M756" s="44" t="str">
        <f t="shared" si="1514"/>
        <v>Initial</v>
      </c>
      <c r="N756" s="5" t="str">
        <f t="shared" si="5"/>
        <v>0</v>
      </c>
      <c r="O756" s="5" t="str">
        <f t="shared" si="6"/>
        <v>ˈma</v>
      </c>
      <c r="P756" s="5" t="str">
        <f t="shared" si="7"/>
        <v>0</v>
      </c>
      <c r="Q756" s="5" t="str">
        <f t="shared" si="8"/>
        <v>ˈmɐ̃</v>
      </c>
      <c r="R756" s="3" t="s">
        <v>72</v>
      </c>
      <c r="S756" s="3" t="s">
        <v>2297</v>
      </c>
      <c r="T756" s="3" t="s">
        <v>2298</v>
      </c>
      <c r="U756" s="3" t="s">
        <v>22</v>
      </c>
      <c r="V756" s="5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>
      <c r="A757" s="3" t="s">
        <v>14</v>
      </c>
      <c r="B757" s="3" t="s">
        <v>2295</v>
      </c>
      <c r="C757" s="3" t="s">
        <v>161</v>
      </c>
      <c r="D757" s="3" t="s">
        <v>2296</v>
      </c>
      <c r="E757" s="3" t="s">
        <v>155</v>
      </c>
      <c r="F757" s="3" t="s">
        <v>451</v>
      </c>
      <c r="G757" s="3" t="s">
        <v>162</v>
      </c>
      <c r="H757" s="43">
        <f t="shared" ref="H757:I757" si="1515">LEN(D757)-LEN(B757)+1</f>
        <v>2</v>
      </c>
      <c r="I757" s="43">
        <f t="shared" si="1515"/>
        <v>2</v>
      </c>
      <c r="J757" s="4">
        <v>2.0</v>
      </c>
      <c r="K757" s="4">
        <v>2.0</v>
      </c>
      <c r="L757" s="5" t="str">
        <f t="shared" ref="L757:M757" si="1516">IFS(J757="-", "-", J757=H757, "Final", J757=1, "Initial", J757&gt;1, "Medial")</f>
        <v>Final</v>
      </c>
      <c r="M757" s="44" t="str">
        <f t="shared" si="1516"/>
        <v>Final</v>
      </c>
      <c r="N757" s="5" t="str">
        <f t="shared" si="5"/>
        <v>ma</v>
      </c>
      <c r="O757" s="5">
        <f t="shared" si="6"/>
        <v>2</v>
      </c>
      <c r="P757" s="5" t="str">
        <f t="shared" si="7"/>
        <v>mɐ</v>
      </c>
      <c r="Q757" s="5">
        <f t="shared" si="8"/>
        <v>2</v>
      </c>
      <c r="R757" s="3"/>
      <c r="S757" s="3" t="s">
        <v>2297</v>
      </c>
      <c r="T757" s="3" t="s">
        <v>2298</v>
      </c>
      <c r="U757" s="3" t="s">
        <v>22</v>
      </c>
      <c r="V757" s="5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>
      <c r="A758" s="15" t="s">
        <v>14</v>
      </c>
      <c r="B758" s="15" t="s">
        <v>2299</v>
      </c>
      <c r="C758" s="15" t="s">
        <v>2300</v>
      </c>
      <c r="D758" s="15" t="s">
        <v>2301</v>
      </c>
      <c r="E758" s="15" t="s">
        <v>452</v>
      </c>
      <c r="F758" s="15" t="s">
        <v>451</v>
      </c>
      <c r="G758" s="15" t="s">
        <v>1628</v>
      </c>
      <c r="H758" s="43">
        <f t="shared" ref="H758:I758" si="1517">LEN(D758)-LEN(B758)+1</f>
        <v>2</v>
      </c>
      <c r="I758" s="43">
        <f t="shared" si="1517"/>
        <v>-1</v>
      </c>
      <c r="J758" s="18">
        <v>1.0</v>
      </c>
      <c r="K758" s="18">
        <v>1.0</v>
      </c>
      <c r="L758" s="5" t="str">
        <f t="shared" ref="L758:M758" si="1518">IFS(J758="-", "-", J758=H758, "Final", J758=1, "Initial", J758&gt;1, "Medial")</f>
        <v>Initial</v>
      </c>
      <c r="M758" s="44" t="str">
        <f t="shared" si="1518"/>
        <v>Initial</v>
      </c>
      <c r="N758" s="5" t="str">
        <f t="shared" si="5"/>
        <v>0</v>
      </c>
      <c r="O758" s="5" t="str">
        <f t="shared" si="6"/>
        <v>nɐ</v>
      </c>
      <c r="P758" s="5" t="str">
        <f t="shared" si="7"/>
        <v>0</v>
      </c>
      <c r="Q758" s="5" t="str">
        <f t="shared" si="8"/>
        <v>ˈmɐ̃</v>
      </c>
      <c r="R758" s="15"/>
      <c r="S758" s="15" t="s">
        <v>2302</v>
      </c>
      <c r="T758" s="15" t="s">
        <v>2303</v>
      </c>
      <c r="U758" s="15" t="s">
        <v>22</v>
      </c>
      <c r="V758" s="20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</row>
    <row r="759">
      <c r="A759" s="15" t="s">
        <v>14</v>
      </c>
      <c r="B759" s="15" t="s">
        <v>2299</v>
      </c>
      <c r="C759" s="15" t="s">
        <v>2300</v>
      </c>
      <c r="D759" s="15" t="s">
        <v>2301</v>
      </c>
      <c r="E759" s="15" t="s">
        <v>65</v>
      </c>
      <c r="F759" s="15" t="s">
        <v>65</v>
      </c>
      <c r="G759" s="15" t="s">
        <v>162</v>
      </c>
      <c r="H759" s="43">
        <f t="shared" ref="H759:I759" si="1519">LEN(D759)-LEN(B759)+1</f>
        <v>2</v>
      </c>
      <c r="I759" s="43">
        <f t="shared" si="1519"/>
        <v>-2</v>
      </c>
      <c r="J759" s="18">
        <v>2.0</v>
      </c>
      <c r="K759" s="18">
        <v>2.0</v>
      </c>
      <c r="L759" s="5" t="str">
        <f t="shared" ref="L759:M759" si="1520">IFS(J759="-", "-", J759=H759, "Final", J759=1, "Initial", J759&gt;1, "Medial")</f>
        <v>Final</v>
      </c>
      <c r="M759" s="44" t="str">
        <f t="shared" si="1520"/>
        <v>Medial</v>
      </c>
      <c r="N759" s="5" t="str">
        <f t="shared" si="5"/>
        <v>ˈma</v>
      </c>
      <c r="O759" s="5">
        <f t="shared" si="6"/>
        <v>2</v>
      </c>
      <c r="P759" s="5" t="str">
        <f t="shared" si="7"/>
        <v>iɾ</v>
      </c>
      <c r="Q759" s="5">
        <f t="shared" si="8"/>
        <v>2</v>
      </c>
      <c r="R759" s="15"/>
      <c r="S759" s="15" t="s">
        <v>2302</v>
      </c>
      <c r="T759" s="15" t="s">
        <v>2303</v>
      </c>
      <c r="U759" s="15" t="s">
        <v>22</v>
      </c>
      <c r="V759" s="20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</row>
    <row r="760">
      <c r="A760" s="15" t="s">
        <v>14</v>
      </c>
      <c r="B760" s="15" t="s">
        <v>2304</v>
      </c>
      <c r="C760" s="15" t="s">
        <v>2305</v>
      </c>
      <c r="D760" s="15" t="s">
        <v>2306</v>
      </c>
      <c r="E760" s="15" t="s">
        <v>2307</v>
      </c>
      <c r="F760" s="15" t="s">
        <v>451</v>
      </c>
      <c r="G760" s="15" t="s">
        <v>452</v>
      </c>
      <c r="H760" s="43">
        <f t="shared" ref="H760:I760" si="1521">LEN(D760)-LEN(B760)+1</f>
        <v>2</v>
      </c>
      <c r="I760" s="43">
        <f t="shared" si="1521"/>
        <v>2</v>
      </c>
      <c r="J760" s="18">
        <v>1.0</v>
      </c>
      <c r="K760" s="18">
        <v>1.0</v>
      </c>
      <c r="L760" s="5" t="str">
        <f t="shared" ref="L760:M760" si="1522">IFS(J760="-", "-", J760=H760, "Final", J760=1, "Initial", J760&gt;1, "Medial")</f>
        <v>Initial</v>
      </c>
      <c r="M760" s="44" t="str">
        <f t="shared" si="1522"/>
        <v>Initial</v>
      </c>
      <c r="N760" s="5" t="str">
        <f t="shared" si="5"/>
        <v>0</v>
      </c>
      <c r="O760" s="5" t="str">
        <f t="shared" si="6"/>
        <v>nu</v>
      </c>
      <c r="P760" s="5" t="str">
        <f t="shared" si="7"/>
        <v>0</v>
      </c>
      <c r="Q760" s="5" t="str">
        <f t="shared" si="8"/>
        <v>nu</v>
      </c>
      <c r="R760" s="15"/>
      <c r="S760" s="15" t="s">
        <v>2308</v>
      </c>
      <c r="T760" s="15" t="s">
        <v>2309</v>
      </c>
      <c r="U760" s="15" t="s">
        <v>22</v>
      </c>
      <c r="V760" s="20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</row>
    <row r="761">
      <c r="A761" s="15" t="s">
        <v>14</v>
      </c>
      <c r="B761" s="15" t="s">
        <v>2304</v>
      </c>
      <c r="C761" s="15" t="s">
        <v>2305</v>
      </c>
      <c r="D761" s="15" t="s">
        <v>2306</v>
      </c>
      <c r="E761" s="15" t="s">
        <v>2307</v>
      </c>
      <c r="F761" s="15" t="s">
        <v>312</v>
      </c>
      <c r="G761" s="15" t="s">
        <v>312</v>
      </c>
      <c r="H761" s="43">
        <f t="shared" ref="H761:I761" si="1523">LEN(D761)-LEN(B761)+1</f>
        <v>2</v>
      </c>
      <c r="I761" s="43">
        <f t="shared" si="1523"/>
        <v>2</v>
      </c>
      <c r="J761" s="18">
        <v>2.0</v>
      </c>
      <c r="K761" s="18">
        <v>2.0</v>
      </c>
      <c r="L761" s="5" t="str">
        <f t="shared" ref="L761:M761" si="1524">IFS(J761="-", "-", J761=H761, "Final", J761=1, "Initial", J761&gt;1, "Medial")</f>
        <v>Final</v>
      </c>
      <c r="M761" s="44" t="str">
        <f t="shared" si="1524"/>
        <v>Final</v>
      </c>
      <c r="N761" s="5" t="str">
        <f t="shared" si="5"/>
        <v>ˈma</v>
      </c>
      <c r="O761" s="5">
        <f t="shared" si="6"/>
        <v>2</v>
      </c>
      <c r="P761" s="5" t="str">
        <f t="shared" si="7"/>
        <v>ˈmɐ</v>
      </c>
      <c r="Q761" s="5">
        <f t="shared" si="8"/>
        <v>2</v>
      </c>
      <c r="R761" s="15"/>
      <c r="S761" s="15" t="s">
        <v>2308</v>
      </c>
      <c r="T761" s="15" t="s">
        <v>2309</v>
      </c>
      <c r="U761" s="15" t="s">
        <v>22</v>
      </c>
      <c r="V761" s="20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</row>
    <row r="762">
      <c r="A762" s="3" t="s">
        <v>14</v>
      </c>
      <c r="B762" s="3" t="s">
        <v>2310</v>
      </c>
      <c r="C762" s="3" t="s">
        <v>2311</v>
      </c>
      <c r="D762" s="3" t="s">
        <v>2312</v>
      </c>
      <c r="E762" s="3" t="s">
        <v>2313</v>
      </c>
      <c r="F762" s="3" t="s">
        <v>2314</v>
      </c>
      <c r="G762" s="3" t="s">
        <v>158</v>
      </c>
      <c r="H762" s="43">
        <f t="shared" ref="H762:I762" si="1525">LEN(D762)-LEN(B762)+1</f>
        <v>2</v>
      </c>
      <c r="I762" s="43">
        <f t="shared" si="1525"/>
        <v>3</v>
      </c>
      <c r="J762" s="4">
        <v>1.0</v>
      </c>
      <c r="K762" s="4">
        <v>1.0</v>
      </c>
      <c r="L762" s="5" t="str">
        <f t="shared" ref="L762:M762" si="1526">IFS(J762="-", "-", J762=H762, "Final", J762=1, "Initial", J762&gt;1, "Medial")</f>
        <v>Initial</v>
      </c>
      <c r="M762" s="44" t="str">
        <f t="shared" si="1526"/>
        <v>Initial</v>
      </c>
      <c r="N762" s="5" t="str">
        <f t="shared" si="5"/>
        <v>0</v>
      </c>
      <c r="O762" s="5" t="str">
        <f t="shared" si="6"/>
        <v>-</v>
      </c>
      <c r="P762" s="5" t="str">
        <f t="shared" si="7"/>
        <v>0</v>
      </c>
      <c r="Q762" s="5" t="str">
        <f t="shared" si="8"/>
        <v>ˈɾi</v>
      </c>
      <c r="R762" s="3" t="s">
        <v>80</v>
      </c>
      <c r="S762" s="3" t="s">
        <v>2315</v>
      </c>
      <c r="T762" s="3" t="s">
        <v>2316</v>
      </c>
      <c r="U762" s="3" t="s">
        <v>22</v>
      </c>
      <c r="V762" s="5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>
      <c r="A763" s="3" t="s">
        <v>14</v>
      </c>
      <c r="B763" s="3" t="s">
        <v>2310</v>
      </c>
      <c r="C763" s="3" t="s">
        <v>2311</v>
      </c>
      <c r="D763" s="3" t="s">
        <v>2312</v>
      </c>
      <c r="E763" s="3" t="s">
        <v>2313</v>
      </c>
      <c r="F763" s="3" t="s">
        <v>36</v>
      </c>
      <c r="G763" s="3" t="s">
        <v>83</v>
      </c>
      <c r="H763" s="43">
        <f t="shared" ref="H763:I763" si="1527">LEN(D763)-LEN(B763)+1</f>
        <v>2</v>
      </c>
      <c r="I763" s="43">
        <f t="shared" si="1527"/>
        <v>3</v>
      </c>
      <c r="J763" s="4" t="s">
        <v>36</v>
      </c>
      <c r="K763" s="4">
        <v>2.0</v>
      </c>
      <c r="L763" s="5" t="str">
        <f t="shared" ref="L763:M763" si="1528">IFS(J763="-", "-", J763=H763, "Final", J763=1, "Initial", J763&gt;1, "Medial")</f>
        <v>-</v>
      </c>
      <c r="M763" s="44" t="str">
        <f t="shared" si="1528"/>
        <v>Medial</v>
      </c>
      <c r="N763" s="5" t="str">
        <f t="shared" si="5"/>
        <v>ˈma:</v>
      </c>
      <c r="O763" s="5" t="str">
        <f t="shared" si="6"/>
        <v>du</v>
      </c>
      <c r="P763" s="5" t="str">
        <f t="shared" si="7"/>
        <v>mɐ</v>
      </c>
      <c r="Q763" s="5" t="str">
        <f t="shared" si="8"/>
        <v>du</v>
      </c>
      <c r="R763" s="3"/>
      <c r="S763" s="3" t="s">
        <v>2315</v>
      </c>
      <c r="T763" s="3" t="s">
        <v>2316</v>
      </c>
      <c r="U763" s="3" t="s">
        <v>22</v>
      </c>
      <c r="V763" s="5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>
      <c r="A764" s="3" t="s">
        <v>14</v>
      </c>
      <c r="B764" s="3" t="s">
        <v>2310</v>
      </c>
      <c r="C764" s="3" t="s">
        <v>2311</v>
      </c>
      <c r="D764" s="3" t="s">
        <v>2312</v>
      </c>
      <c r="E764" s="3" t="s">
        <v>2313</v>
      </c>
      <c r="F764" s="3" t="s">
        <v>387</v>
      </c>
      <c r="G764" s="3" t="s">
        <v>387</v>
      </c>
      <c r="H764" s="43">
        <f t="shared" ref="H764:I764" si="1529">LEN(D764)-LEN(B764)+1</f>
        <v>2</v>
      </c>
      <c r="I764" s="43">
        <f t="shared" si="1529"/>
        <v>3</v>
      </c>
      <c r="J764" s="4">
        <v>2.0</v>
      </c>
      <c r="K764" s="4">
        <v>3.0</v>
      </c>
      <c r="L764" s="5" t="str">
        <f t="shared" ref="L764:M764" si="1530">IFS(J764="-", "-", J764=H764, "Final", J764=1, "Initial", J764&gt;1, "Medial")</f>
        <v>Final</v>
      </c>
      <c r="M764" s="44" t="str">
        <f t="shared" si="1530"/>
        <v>Final</v>
      </c>
      <c r="N764" s="5" t="str">
        <f t="shared" si="5"/>
        <v>-</v>
      </c>
      <c r="O764" s="5">
        <f t="shared" si="6"/>
        <v>2</v>
      </c>
      <c r="P764" s="5" t="str">
        <f t="shared" si="7"/>
        <v>ˈɾi</v>
      </c>
      <c r="Q764" s="5">
        <f t="shared" si="8"/>
        <v>3</v>
      </c>
      <c r="R764" s="3"/>
      <c r="S764" s="3" t="s">
        <v>2315</v>
      </c>
      <c r="T764" s="3" t="s">
        <v>2316</v>
      </c>
      <c r="U764" s="3" t="s">
        <v>22</v>
      </c>
      <c r="V764" s="5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>
      <c r="A765" s="15" t="s">
        <v>14</v>
      </c>
      <c r="B765" s="15" t="s">
        <v>2317</v>
      </c>
      <c r="C765" s="15" t="s">
        <v>2318</v>
      </c>
      <c r="D765" s="15" t="s">
        <v>2319</v>
      </c>
      <c r="E765" s="15" t="s">
        <v>2320</v>
      </c>
      <c r="F765" s="15" t="s">
        <v>706</v>
      </c>
      <c r="G765" s="15" t="s">
        <v>2321</v>
      </c>
      <c r="H765" s="43">
        <f t="shared" ref="H765:I765" si="1531">LEN(D765)-LEN(B765)+1</f>
        <v>2</v>
      </c>
      <c r="I765" s="43">
        <f t="shared" si="1531"/>
        <v>2</v>
      </c>
      <c r="J765" s="18">
        <v>1.0</v>
      </c>
      <c r="K765" s="18">
        <v>1.0</v>
      </c>
      <c r="L765" s="5" t="str">
        <f t="shared" ref="L765:M765" si="1532">IFS(J765="-", "-", J765=H765, "Final", J765=1, "Initial", J765&gt;1, "Medial")</f>
        <v>Initial</v>
      </c>
      <c r="M765" s="44" t="str">
        <f t="shared" si="1532"/>
        <v>Initial</v>
      </c>
      <c r="N765" s="5" t="str">
        <f t="shared" si="5"/>
        <v>0</v>
      </c>
      <c r="O765" s="5" t="str">
        <f t="shared" si="6"/>
        <v>ma</v>
      </c>
      <c r="P765" s="5" t="str">
        <f t="shared" si="7"/>
        <v>0</v>
      </c>
      <c r="Q765" s="5" t="str">
        <f t="shared" si="8"/>
        <v>mɐ</v>
      </c>
      <c r="R765" s="15" t="s">
        <v>80</v>
      </c>
      <c r="S765" s="15" t="s">
        <v>2322</v>
      </c>
      <c r="T765" s="15" t="s">
        <v>2323</v>
      </c>
      <c r="U765" s="15" t="s">
        <v>22</v>
      </c>
      <c r="V765" s="20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</row>
    <row r="766">
      <c r="A766" s="15" t="s">
        <v>14</v>
      </c>
      <c r="B766" s="15" t="s">
        <v>2317</v>
      </c>
      <c r="C766" s="15" t="s">
        <v>2318</v>
      </c>
      <c r="D766" s="15" t="s">
        <v>2319</v>
      </c>
      <c r="E766" s="15" t="s">
        <v>2320</v>
      </c>
      <c r="F766" s="15" t="s">
        <v>157</v>
      </c>
      <c r="G766" s="15" t="s">
        <v>158</v>
      </c>
      <c r="H766" s="43">
        <f t="shared" ref="H766:I766" si="1533">LEN(D766)-LEN(B766)+1</f>
        <v>2</v>
      </c>
      <c r="I766" s="43">
        <f t="shared" si="1533"/>
        <v>2</v>
      </c>
      <c r="J766" s="18">
        <v>2.0</v>
      </c>
      <c r="K766" s="18">
        <v>2.0</v>
      </c>
      <c r="L766" s="5" t="str">
        <f t="shared" ref="L766:M766" si="1534">IFS(J766="-", "-", J766=H766, "Final", J766=1, "Initial", J766&gt;1, "Medial")</f>
        <v>Final</v>
      </c>
      <c r="M766" s="44" t="str">
        <f t="shared" si="1534"/>
        <v>Final</v>
      </c>
      <c r="N766" s="5" t="str">
        <f t="shared" si="5"/>
        <v>ˈdɐ̃</v>
      </c>
      <c r="O766" s="5">
        <f t="shared" si="6"/>
        <v>2</v>
      </c>
      <c r="P766" s="5" t="str">
        <f t="shared" si="7"/>
        <v>ˈdɐ</v>
      </c>
      <c r="Q766" s="5">
        <f t="shared" si="8"/>
        <v>2</v>
      </c>
      <c r="R766" s="15"/>
      <c r="S766" s="15" t="s">
        <v>2322</v>
      </c>
      <c r="T766" s="15" t="s">
        <v>2323</v>
      </c>
      <c r="U766" s="15" t="s">
        <v>22</v>
      </c>
      <c r="V766" s="20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</row>
    <row r="767">
      <c r="A767" s="15" t="s">
        <v>14</v>
      </c>
      <c r="B767" s="15" t="s">
        <v>1542</v>
      </c>
      <c r="C767" s="15" t="s">
        <v>2324</v>
      </c>
      <c r="D767" s="15" t="s">
        <v>1544</v>
      </c>
      <c r="E767" s="15" t="s">
        <v>2325</v>
      </c>
      <c r="F767" s="15" t="s">
        <v>1541</v>
      </c>
      <c r="G767" s="15" t="s">
        <v>1396</v>
      </c>
      <c r="H767" s="43">
        <f t="shared" ref="H767:I767" si="1535">LEN(D767)-LEN(B767)+1</f>
        <v>2</v>
      </c>
      <c r="I767" s="43">
        <f t="shared" si="1535"/>
        <v>2</v>
      </c>
      <c r="J767" s="18">
        <v>1.0</v>
      </c>
      <c r="K767" s="18">
        <v>1.0</v>
      </c>
      <c r="L767" s="5" t="str">
        <f t="shared" ref="L767:M767" si="1536">IFS(J767="-", "-", J767=H767, "Final", J767=1, "Initial", J767&gt;1, "Medial")</f>
        <v>Initial</v>
      </c>
      <c r="M767" s="44" t="str">
        <f t="shared" si="1536"/>
        <v>Initial</v>
      </c>
      <c r="N767" s="5" t="str">
        <f t="shared" si="5"/>
        <v>0</v>
      </c>
      <c r="O767" s="5" t="str">
        <f t="shared" si="6"/>
        <v>ˈpa</v>
      </c>
      <c r="P767" s="5" t="str">
        <f t="shared" si="7"/>
        <v>0</v>
      </c>
      <c r="Q767" s="5" t="str">
        <f t="shared" si="8"/>
        <v>pɐ</v>
      </c>
      <c r="R767" s="15"/>
      <c r="S767" s="15" t="s">
        <v>2326</v>
      </c>
      <c r="T767" s="15" t="s">
        <v>2327</v>
      </c>
      <c r="U767" s="15" t="s">
        <v>22</v>
      </c>
      <c r="V767" s="20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</row>
    <row r="768">
      <c r="A768" s="15" t="s">
        <v>14</v>
      </c>
      <c r="B768" s="15" t="s">
        <v>1542</v>
      </c>
      <c r="C768" s="15" t="s">
        <v>2324</v>
      </c>
      <c r="D768" s="15" t="s">
        <v>1544</v>
      </c>
      <c r="E768" s="15" t="s">
        <v>2325</v>
      </c>
      <c r="F768" s="15" t="s">
        <v>1396</v>
      </c>
      <c r="G768" s="15" t="s">
        <v>254</v>
      </c>
      <c r="H768" s="43">
        <f t="shared" ref="H768:I768" si="1537">LEN(D768)-LEN(B768)+1</f>
        <v>2</v>
      </c>
      <c r="I768" s="43">
        <f t="shared" si="1537"/>
        <v>2</v>
      </c>
      <c r="J768" s="18">
        <v>2.0</v>
      </c>
      <c r="K768" s="18">
        <v>2.0</v>
      </c>
      <c r="L768" s="5" t="str">
        <f t="shared" ref="L768:M768" si="1538">IFS(J768="-", "-", J768=H768, "Final", J768=1, "Initial", J768&gt;1, "Medial")</f>
        <v>Final</v>
      </c>
      <c r="M768" s="44" t="str">
        <f t="shared" si="1538"/>
        <v>Final</v>
      </c>
      <c r="N768" s="5" t="str">
        <f t="shared" si="5"/>
        <v>pa</v>
      </c>
      <c r="O768" s="5">
        <f t="shared" si="6"/>
        <v>2</v>
      </c>
      <c r="P768" s="5" t="str">
        <f t="shared" si="7"/>
        <v>ˈpa</v>
      </c>
      <c r="Q768" s="5">
        <f t="shared" si="8"/>
        <v>2</v>
      </c>
      <c r="R768" s="15"/>
      <c r="S768" s="15" t="s">
        <v>2326</v>
      </c>
      <c r="T768" s="15" t="s">
        <v>2327</v>
      </c>
      <c r="U768" s="15" t="s">
        <v>22</v>
      </c>
      <c r="V768" s="20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</row>
    <row r="769">
      <c r="A769" s="3" t="s">
        <v>14</v>
      </c>
      <c r="B769" s="3" t="s">
        <v>2328</v>
      </c>
      <c r="C769" s="3" t="s">
        <v>2329</v>
      </c>
      <c r="D769" s="3" t="s">
        <v>2330</v>
      </c>
      <c r="E769" s="3" t="s">
        <v>2331</v>
      </c>
      <c r="F769" s="3" t="s">
        <v>268</v>
      </c>
      <c r="G769" s="3" t="s">
        <v>2332</v>
      </c>
      <c r="H769" s="43">
        <f t="shared" ref="H769:I769" si="1539">LEN(D769)-LEN(B769)+1</f>
        <v>2</v>
      </c>
      <c r="I769" s="43">
        <f t="shared" si="1539"/>
        <v>2</v>
      </c>
      <c r="J769" s="4">
        <v>1.0</v>
      </c>
      <c r="K769" s="4">
        <v>1.0</v>
      </c>
      <c r="L769" s="5" t="str">
        <f t="shared" ref="L769:M769" si="1540">IFS(J769="-", "-", J769=H769, "Final", J769=1, "Initial", J769&gt;1, "Medial")</f>
        <v>Initial</v>
      </c>
      <c r="M769" s="44" t="str">
        <f t="shared" si="1540"/>
        <v>Initial</v>
      </c>
      <c r="N769" s="5" t="str">
        <f t="shared" si="5"/>
        <v>0</v>
      </c>
      <c r="O769" s="5" t="str">
        <f t="shared" si="6"/>
        <v>o</v>
      </c>
      <c r="P769" s="5" t="str">
        <f t="shared" si="7"/>
        <v>0</v>
      </c>
      <c r="Q769" s="5" t="str">
        <f t="shared" si="8"/>
        <v>u</v>
      </c>
      <c r="R769" s="3"/>
      <c r="S769" s="3" t="s">
        <v>2333</v>
      </c>
      <c r="T769" s="3" t="s">
        <v>2334</v>
      </c>
      <c r="U769" s="3" t="s">
        <v>22</v>
      </c>
      <c r="V769" s="5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>
      <c r="A770" s="3" t="s">
        <v>14</v>
      </c>
      <c r="B770" s="3" t="s">
        <v>2328</v>
      </c>
      <c r="C770" s="3" t="s">
        <v>2329</v>
      </c>
      <c r="D770" s="3" t="s">
        <v>2330</v>
      </c>
      <c r="E770" s="3" t="s">
        <v>2331</v>
      </c>
      <c r="F770" s="3" t="s">
        <v>29</v>
      </c>
      <c r="G770" s="3" t="s">
        <v>128</v>
      </c>
      <c r="H770" s="43">
        <f t="shared" ref="H770:I770" si="1541">LEN(D770)-LEN(B770)+1</f>
        <v>2</v>
      </c>
      <c r="I770" s="43">
        <f t="shared" si="1541"/>
        <v>2</v>
      </c>
      <c r="J770" s="4">
        <v>2.0</v>
      </c>
      <c r="K770" s="4">
        <v>2.0</v>
      </c>
      <c r="L770" s="5" t="str">
        <f t="shared" ref="L770:M770" si="1542">IFS(J770="-", "-", J770=H770, "Final", J770=1, "Initial", J770&gt;1, "Medial")</f>
        <v>Final</v>
      </c>
      <c r="M770" s="44" t="str">
        <f t="shared" si="1542"/>
        <v>Final</v>
      </c>
      <c r="N770" s="5" t="str">
        <f t="shared" si="5"/>
        <v>ˈt̠ʃi</v>
      </c>
      <c r="O770" s="5">
        <f t="shared" si="6"/>
        <v>2</v>
      </c>
      <c r="P770" s="5" t="str">
        <f t="shared" si="7"/>
        <v>ˈti</v>
      </c>
      <c r="Q770" s="5">
        <f t="shared" si="8"/>
        <v>2</v>
      </c>
      <c r="R770" s="3"/>
      <c r="S770" s="3" t="s">
        <v>2333</v>
      </c>
      <c r="T770" s="3" t="s">
        <v>2334</v>
      </c>
      <c r="U770" s="3" t="s">
        <v>22</v>
      </c>
      <c r="V770" s="5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>
      <c r="A771" s="3" t="s">
        <v>14</v>
      </c>
      <c r="B771" s="3" t="s">
        <v>2335</v>
      </c>
      <c r="C771" s="3" t="s">
        <v>2336</v>
      </c>
      <c r="D771" s="3" t="s">
        <v>2337</v>
      </c>
      <c r="E771" s="3" t="s">
        <v>2338</v>
      </c>
      <c r="F771" s="3" t="s">
        <v>2339</v>
      </c>
      <c r="G771" s="3" t="s">
        <v>2340</v>
      </c>
      <c r="H771" s="43">
        <f t="shared" ref="H771:I771" si="1543">LEN(D771)-LEN(B771)+1</f>
        <v>2</v>
      </c>
      <c r="I771" s="43">
        <f t="shared" si="1543"/>
        <v>3</v>
      </c>
      <c r="J771" s="4">
        <v>1.0</v>
      </c>
      <c r="K771" s="4">
        <v>1.0</v>
      </c>
      <c r="L771" s="5" t="str">
        <f t="shared" ref="L771:M771" si="1544">IFS(J771="-", "-", J771=H771, "Final", J771=1, "Initial", J771&gt;1, "Medial")</f>
        <v>Initial</v>
      </c>
      <c r="M771" s="44" t="str">
        <f t="shared" si="1544"/>
        <v>Initial</v>
      </c>
      <c r="N771" s="5" t="str">
        <f t="shared" si="5"/>
        <v>0</v>
      </c>
      <c r="O771" s="5" t="str">
        <f t="shared" si="6"/>
        <v>-</v>
      </c>
      <c r="P771" s="5" t="str">
        <f t="shared" si="7"/>
        <v>0</v>
      </c>
      <c r="Q771" s="5" t="str">
        <f t="shared" si="8"/>
        <v>u</v>
      </c>
      <c r="R771" s="3" t="s">
        <v>80</v>
      </c>
      <c r="S771" s="3" t="s">
        <v>2341</v>
      </c>
      <c r="T771" s="3" t="s">
        <v>2342</v>
      </c>
      <c r="U771" s="3" t="s">
        <v>22</v>
      </c>
      <c r="V771" s="5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>
      <c r="A772" s="3" t="s">
        <v>14</v>
      </c>
      <c r="B772" s="3" t="s">
        <v>2335</v>
      </c>
      <c r="C772" s="3" t="s">
        <v>2336</v>
      </c>
      <c r="D772" s="3" t="s">
        <v>2337</v>
      </c>
      <c r="E772" s="3" t="s">
        <v>2338</v>
      </c>
      <c r="F772" s="3" t="s">
        <v>36</v>
      </c>
      <c r="G772" s="3" t="s">
        <v>128</v>
      </c>
      <c r="H772" s="43">
        <f t="shared" ref="H772:I772" si="1545">LEN(D772)-LEN(B772)+1</f>
        <v>2</v>
      </c>
      <c r="I772" s="43">
        <f t="shared" si="1545"/>
        <v>3</v>
      </c>
      <c r="J772" s="4" t="s">
        <v>36</v>
      </c>
      <c r="K772" s="4">
        <v>2.0</v>
      </c>
      <c r="L772" s="5" t="str">
        <f t="shared" ref="L772:M772" si="1546">IFS(J772="-", "-", J772=H772, "Final", J772=1, "Initial", J772&gt;1, "Medial")</f>
        <v>-</v>
      </c>
      <c r="M772" s="44" t="str">
        <f t="shared" si="1546"/>
        <v>Medial</v>
      </c>
      <c r="N772" s="5" t="str">
        <f t="shared" si="5"/>
        <v>ˈvju</v>
      </c>
      <c r="O772" s="5" t="str">
        <f t="shared" si="6"/>
        <v>vɐ</v>
      </c>
      <c r="P772" s="5" t="str">
        <f t="shared" si="7"/>
        <v>ˈvi</v>
      </c>
      <c r="Q772" s="5" t="str">
        <f t="shared" si="8"/>
        <v>vɐ</v>
      </c>
      <c r="R772" s="3"/>
      <c r="S772" s="3" t="s">
        <v>2341</v>
      </c>
      <c r="T772" s="3" t="s">
        <v>2342</v>
      </c>
      <c r="U772" s="3" t="s">
        <v>22</v>
      </c>
      <c r="V772" s="5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>
      <c r="A773" s="3" t="s">
        <v>14</v>
      </c>
      <c r="B773" s="3" t="s">
        <v>2335</v>
      </c>
      <c r="C773" s="3" t="s">
        <v>2336</v>
      </c>
      <c r="D773" s="3" t="s">
        <v>2337</v>
      </c>
      <c r="E773" s="3" t="s">
        <v>2338</v>
      </c>
      <c r="F773" s="3" t="s">
        <v>724</v>
      </c>
      <c r="G773" s="3" t="s">
        <v>724</v>
      </c>
      <c r="H773" s="43">
        <f t="shared" ref="H773:I773" si="1547">LEN(D773)-LEN(B773)+1</f>
        <v>2</v>
      </c>
      <c r="I773" s="43">
        <f t="shared" si="1547"/>
        <v>3</v>
      </c>
      <c r="J773" s="4">
        <v>2.0</v>
      </c>
      <c r="K773" s="4">
        <v>3.0</v>
      </c>
      <c r="L773" s="5" t="str">
        <f t="shared" ref="L773:M773" si="1548">IFS(J773="-", "-", J773=H773, "Final", J773=1, "Initial", J773&gt;1, "Medial")</f>
        <v>Final</v>
      </c>
      <c r="M773" s="44" t="str">
        <f t="shared" si="1548"/>
        <v>Final</v>
      </c>
      <c r="N773" s="5" t="str">
        <f t="shared" si="5"/>
        <v>-</v>
      </c>
      <c r="O773" s="5">
        <f t="shared" si="6"/>
        <v>2</v>
      </c>
      <c r="P773" s="5" t="str">
        <f t="shared" si="7"/>
        <v>u</v>
      </c>
      <c r="Q773" s="5">
        <f t="shared" si="8"/>
        <v>3</v>
      </c>
      <c r="R773" s="3"/>
      <c r="S773" s="3" t="s">
        <v>2341</v>
      </c>
      <c r="T773" s="3" t="s">
        <v>2342</v>
      </c>
      <c r="U773" s="3" t="s">
        <v>22</v>
      </c>
      <c r="V773" s="5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>
      <c r="A774" s="15" t="s">
        <v>14</v>
      </c>
      <c r="B774" s="15" t="s">
        <v>2343</v>
      </c>
      <c r="C774" s="15" t="s">
        <v>2344</v>
      </c>
      <c r="D774" s="15" t="s">
        <v>2345</v>
      </c>
      <c r="E774" s="15" t="s">
        <v>2344</v>
      </c>
      <c r="F774" s="15"/>
      <c r="G774" s="15"/>
      <c r="H774" s="43">
        <f t="shared" ref="H774:I774" si="1549">LEN(D774)-LEN(B774)+1</f>
        <v>2</v>
      </c>
      <c r="I774" s="43">
        <f t="shared" si="1549"/>
        <v>1</v>
      </c>
      <c r="J774" s="18"/>
      <c r="K774" s="18"/>
      <c r="L774" s="5" t="str">
        <f t="shared" ref="L774:M774" si="1550">IFS(J774="-", "-", J774=H774, "Final", J774=1, "Initial", J774&gt;1, "Medial")</f>
        <v>#N/A</v>
      </c>
      <c r="M774" s="44" t="str">
        <f t="shared" si="1550"/>
        <v>#N/A</v>
      </c>
      <c r="N774" s="5" t="str">
        <f t="shared" si="5"/>
        <v>0</v>
      </c>
      <c r="O774" s="5" t="str">
        <f t="shared" si="6"/>
        <v/>
      </c>
      <c r="P774" s="5" t="str">
        <f t="shared" si="7"/>
        <v>0</v>
      </c>
      <c r="Q774" s="5" t="str">
        <f t="shared" si="8"/>
        <v/>
      </c>
      <c r="R774" s="15"/>
      <c r="S774" s="15" t="s">
        <v>2346</v>
      </c>
      <c r="T774" s="15" t="s">
        <v>2347</v>
      </c>
      <c r="U774" s="15" t="s">
        <v>22</v>
      </c>
      <c r="V774" s="15" t="s">
        <v>560</v>
      </c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</row>
    <row r="775">
      <c r="A775" s="3" t="s">
        <v>14</v>
      </c>
      <c r="B775" s="3" t="s">
        <v>2348</v>
      </c>
      <c r="C775" s="3" t="s">
        <v>2349</v>
      </c>
      <c r="D775" s="3" t="s">
        <v>2350</v>
      </c>
      <c r="E775" s="3" t="s">
        <v>2351</v>
      </c>
      <c r="F775" s="3" t="s">
        <v>2352</v>
      </c>
      <c r="G775" s="3" t="s">
        <v>2352</v>
      </c>
      <c r="H775" s="43">
        <f t="shared" ref="H775:I775" si="1551">LEN(D775)-LEN(B775)+1</f>
        <v>2</v>
      </c>
      <c r="I775" s="43">
        <f t="shared" si="1551"/>
        <v>2</v>
      </c>
      <c r="J775" s="4">
        <v>1.0</v>
      </c>
      <c r="K775" s="4">
        <v>1.0</v>
      </c>
      <c r="L775" s="5" t="str">
        <f t="shared" ref="L775:M775" si="1552">IFS(J775="-", "-", J775=H775, "Final", J775=1, "Initial", J775&gt;1, "Medial")</f>
        <v>Initial</v>
      </c>
      <c r="M775" s="44" t="str">
        <f t="shared" si="1552"/>
        <v>Initial</v>
      </c>
      <c r="N775" s="5" t="str">
        <f t="shared" si="5"/>
        <v>0</v>
      </c>
      <c r="O775" s="5" t="str">
        <f t="shared" si="6"/>
        <v>li</v>
      </c>
      <c r="P775" s="5" t="str">
        <f t="shared" si="7"/>
        <v>0</v>
      </c>
      <c r="Q775" s="5" t="str">
        <f t="shared" si="8"/>
        <v>lɨ</v>
      </c>
      <c r="R775" s="3"/>
      <c r="S775" s="3" t="s">
        <v>2353</v>
      </c>
      <c r="T775" s="3" t="s">
        <v>2354</v>
      </c>
      <c r="U775" s="3" t="s">
        <v>22</v>
      </c>
      <c r="V775" s="5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>
      <c r="A776" s="3" t="s">
        <v>14</v>
      </c>
      <c r="B776" s="3" t="s">
        <v>2348</v>
      </c>
      <c r="C776" s="3" t="s">
        <v>2349</v>
      </c>
      <c r="D776" s="3" t="s">
        <v>2350</v>
      </c>
      <c r="E776" s="3" t="s">
        <v>2351</v>
      </c>
      <c r="F776" s="3" t="s">
        <v>197</v>
      </c>
      <c r="G776" s="3" t="s">
        <v>503</v>
      </c>
      <c r="H776" s="43">
        <f t="shared" ref="H776:I776" si="1553">LEN(D776)-LEN(B776)+1</f>
        <v>2</v>
      </c>
      <c r="I776" s="43">
        <f t="shared" si="1553"/>
        <v>2</v>
      </c>
      <c r="J776" s="4">
        <v>2.0</v>
      </c>
      <c r="K776" s="4">
        <v>2.0</v>
      </c>
      <c r="L776" s="5" t="str">
        <f t="shared" ref="L776:M776" si="1554">IFS(J776="-", "-", J776=H776, "Final", J776=1, "Initial", J776&gt;1, "Medial")</f>
        <v>Final</v>
      </c>
      <c r="M776" s="44" t="str">
        <f t="shared" si="1554"/>
        <v>Final</v>
      </c>
      <c r="N776" s="5" t="str">
        <f t="shared" si="5"/>
        <v>ˈe</v>
      </c>
      <c r="O776" s="5">
        <f t="shared" si="6"/>
        <v>2</v>
      </c>
      <c r="P776" s="5" t="str">
        <f t="shared" si="7"/>
        <v>ˈe</v>
      </c>
      <c r="Q776" s="5">
        <f t="shared" si="8"/>
        <v>2</v>
      </c>
      <c r="R776" s="3"/>
      <c r="S776" s="3" t="s">
        <v>2353</v>
      </c>
      <c r="T776" s="3" t="s">
        <v>2354</v>
      </c>
      <c r="U776" s="3" t="s">
        <v>22</v>
      </c>
      <c r="V776" s="5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>
      <c r="A777" s="3" t="s">
        <v>14</v>
      </c>
      <c r="B777" s="3" t="s">
        <v>2355</v>
      </c>
      <c r="C777" s="3" t="s">
        <v>2356</v>
      </c>
      <c r="D777" s="3" t="s">
        <v>2357</v>
      </c>
      <c r="E777" s="3" t="s">
        <v>2358</v>
      </c>
      <c r="F777" s="3" t="s">
        <v>845</v>
      </c>
      <c r="G777" s="3" t="s">
        <v>2352</v>
      </c>
      <c r="H777" s="43">
        <f t="shared" ref="H777:I777" si="1555">LEN(D777)-LEN(B777)+1</f>
        <v>2</v>
      </c>
      <c r="I777" s="43">
        <f t="shared" si="1555"/>
        <v>2</v>
      </c>
      <c r="J777" s="4">
        <v>1.0</v>
      </c>
      <c r="K777" s="4">
        <v>1.0</v>
      </c>
      <c r="L777" s="5" t="str">
        <f t="shared" ref="L777:M777" si="1556">IFS(J777="-", "-", J777=H777, "Final", J777=1, "Initial", J777&gt;1, "Medial")</f>
        <v>Initial</v>
      </c>
      <c r="M777" s="44" t="str">
        <f t="shared" si="1556"/>
        <v>Initial</v>
      </c>
      <c r="N777" s="5" t="str">
        <f t="shared" si="5"/>
        <v>0</v>
      </c>
      <c r="O777" s="5" t="str">
        <f t="shared" si="6"/>
        <v>nɛ</v>
      </c>
      <c r="P777" s="5" t="str">
        <f t="shared" si="7"/>
        <v>0</v>
      </c>
      <c r="Q777" s="5" t="str">
        <f t="shared" si="8"/>
        <v>lɨʃ</v>
      </c>
      <c r="R777" s="3"/>
      <c r="S777" s="3" t="s">
        <v>2359</v>
      </c>
      <c r="T777" s="3" t="s">
        <v>2360</v>
      </c>
      <c r="U777" s="3" t="s">
        <v>22</v>
      </c>
      <c r="V777" s="5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>
      <c r="A778" s="3" t="s">
        <v>14</v>
      </c>
      <c r="B778" s="3" t="s">
        <v>2355</v>
      </c>
      <c r="C778" s="3" t="s">
        <v>2356</v>
      </c>
      <c r="D778" s="3" t="s">
        <v>2357</v>
      </c>
      <c r="E778" s="3" t="s">
        <v>2358</v>
      </c>
      <c r="F778" s="3" t="s">
        <v>2361</v>
      </c>
      <c r="G778" s="3" t="s">
        <v>2362</v>
      </c>
      <c r="H778" s="43">
        <f t="shared" ref="H778:I778" si="1557">LEN(D778)-LEN(B778)+1</f>
        <v>2</v>
      </c>
      <c r="I778" s="43">
        <f t="shared" si="1557"/>
        <v>2</v>
      </c>
      <c r="J778" s="4">
        <v>2.0</v>
      </c>
      <c r="K778" s="4">
        <v>2.0</v>
      </c>
      <c r="L778" s="5" t="str">
        <f t="shared" ref="L778:M778" si="1558">IFS(J778="-", "-", J778=H778, "Final", J778=1, "Initial", J778&gt;1, "Medial")</f>
        <v>Final</v>
      </c>
      <c r="M778" s="44" t="str">
        <f t="shared" si="1558"/>
        <v>Final</v>
      </c>
      <c r="N778" s="5" t="str">
        <f t="shared" si="5"/>
        <v>ˈi</v>
      </c>
      <c r="O778" s="5">
        <f t="shared" si="6"/>
        <v>2</v>
      </c>
      <c r="P778" s="5" t="str">
        <f t="shared" si="7"/>
        <v>ˈe</v>
      </c>
      <c r="Q778" s="5">
        <f t="shared" si="8"/>
        <v>2</v>
      </c>
      <c r="R778" s="3"/>
      <c r="S778" s="3" t="s">
        <v>2359</v>
      </c>
      <c r="T778" s="3" t="s">
        <v>2360</v>
      </c>
      <c r="U778" s="3" t="s">
        <v>22</v>
      </c>
      <c r="V778" s="5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>
      <c r="A779" s="3" t="s">
        <v>14</v>
      </c>
      <c r="B779" s="3" t="s">
        <v>308</v>
      </c>
      <c r="C779" s="3" t="s">
        <v>308</v>
      </c>
      <c r="D779" s="3" t="s">
        <v>308</v>
      </c>
      <c r="E779" s="3" t="s">
        <v>308</v>
      </c>
      <c r="F779" s="3" t="s">
        <v>308</v>
      </c>
      <c r="G779" s="3" t="s">
        <v>308</v>
      </c>
      <c r="H779" s="43">
        <f t="shared" ref="H779:I779" si="1559">LEN(D779)-LEN(B779)+1</f>
        <v>1</v>
      </c>
      <c r="I779" s="43">
        <f t="shared" si="1559"/>
        <v>1</v>
      </c>
      <c r="J779" s="4">
        <v>1.0</v>
      </c>
      <c r="K779" s="4">
        <v>1.0</v>
      </c>
      <c r="L779" s="5" t="str">
        <f t="shared" ref="L779:M779" si="1560">IFS(J779="-", "-", J779=H779, "Final", J779=1, "Initial", J779&gt;1, "Medial")</f>
        <v>Final</v>
      </c>
      <c r="M779" s="44" t="str">
        <f t="shared" si="1560"/>
        <v>Final</v>
      </c>
      <c r="N779" s="5" t="str">
        <f t="shared" si="5"/>
        <v>0</v>
      </c>
      <c r="O779" s="5">
        <f t="shared" si="6"/>
        <v>1</v>
      </c>
      <c r="P779" s="5" t="str">
        <f t="shared" si="7"/>
        <v>0</v>
      </c>
      <c r="Q779" s="5">
        <f t="shared" si="8"/>
        <v>1</v>
      </c>
      <c r="R779" s="3"/>
      <c r="S779" s="3" t="s">
        <v>2363</v>
      </c>
      <c r="T779" s="3" t="s">
        <v>2364</v>
      </c>
      <c r="U779" s="3" t="s">
        <v>22</v>
      </c>
      <c r="V779" s="5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>
      <c r="A780" s="3" t="s">
        <v>14</v>
      </c>
      <c r="B780" s="3" t="s">
        <v>2365</v>
      </c>
      <c r="C780" s="3" t="s">
        <v>2366</v>
      </c>
      <c r="D780" s="3" t="s">
        <v>2367</v>
      </c>
      <c r="E780" s="3" t="s">
        <v>2368</v>
      </c>
      <c r="F780" s="3" t="s">
        <v>961</v>
      </c>
      <c r="G780" s="3" t="s">
        <v>420</v>
      </c>
      <c r="H780" s="43">
        <f t="shared" ref="H780:I780" si="1561">LEN(D780)-LEN(B780)+1</f>
        <v>2</v>
      </c>
      <c r="I780" s="43">
        <f t="shared" si="1561"/>
        <v>2</v>
      </c>
      <c r="J780" s="4">
        <v>1.0</v>
      </c>
      <c r="K780" s="4">
        <v>1.0</v>
      </c>
      <c r="L780" s="5" t="str">
        <f t="shared" ref="L780:M780" si="1562">IFS(J780="-", "-", J780=H780, "Final", J780=1, "Initial", J780&gt;1, "Medial")</f>
        <v>Initial</v>
      </c>
      <c r="M780" s="44" t="str">
        <f t="shared" si="1562"/>
        <v>Initial</v>
      </c>
      <c r="N780" s="5" t="str">
        <f t="shared" si="5"/>
        <v>0</v>
      </c>
      <c r="O780" s="5" t="str">
        <f t="shared" si="6"/>
        <v>mɐ</v>
      </c>
      <c r="P780" s="5" t="str">
        <f t="shared" si="7"/>
        <v>0</v>
      </c>
      <c r="Q780" s="5" t="str">
        <f t="shared" si="8"/>
        <v>mu</v>
      </c>
      <c r="R780" s="3"/>
      <c r="S780" s="3" t="s">
        <v>2369</v>
      </c>
      <c r="T780" s="3" t="s">
        <v>2370</v>
      </c>
      <c r="U780" s="3" t="s">
        <v>22</v>
      </c>
      <c r="V780" s="5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>
      <c r="A781" s="3" t="s">
        <v>14</v>
      </c>
      <c r="B781" s="3" t="s">
        <v>2365</v>
      </c>
      <c r="C781" s="3" t="s">
        <v>2366</v>
      </c>
      <c r="D781" s="3" t="s">
        <v>2367</v>
      </c>
      <c r="E781" s="3" t="s">
        <v>2368</v>
      </c>
      <c r="F781" s="3" t="s">
        <v>158</v>
      </c>
      <c r="G781" s="3" t="s">
        <v>610</v>
      </c>
      <c r="H781" s="43">
        <f t="shared" ref="H781:I781" si="1563">LEN(D781)-LEN(B781)+1</f>
        <v>2</v>
      </c>
      <c r="I781" s="43">
        <f t="shared" si="1563"/>
        <v>2</v>
      </c>
      <c r="J781" s="4">
        <v>2.0</v>
      </c>
      <c r="K781" s="4">
        <v>2.0</v>
      </c>
      <c r="L781" s="5" t="str">
        <f t="shared" ref="L781:M781" si="1564">IFS(J781="-", "-", J781=H781, "Final", J781=1, "Initial", J781&gt;1, "Medial")</f>
        <v>Final</v>
      </c>
      <c r="M781" s="44" t="str">
        <f t="shared" si="1564"/>
        <v>Final</v>
      </c>
      <c r="N781" s="5" t="str">
        <f t="shared" si="5"/>
        <v>ˈku</v>
      </c>
      <c r="O781" s="5">
        <f t="shared" si="6"/>
        <v>2</v>
      </c>
      <c r="P781" s="5" t="str">
        <f t="shared" si="7"/>
        <v>ˈko</v>
      </c>
      <c r="Q781" s="5">
        <f t="shared" si="8"/>
        <v>2</v>
      </c>
      <c r="R781" s="3"/>
      <c r="S781" s="3" t="s">
        <v>2369</v>
      </c>
      <c r="T781" s="3" t="s">
        <v>2370</v>
      </c>
      <c r="U781" s="3" t="s">
        <v>22</v>
      </c>
      <c r="V781" s="5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>
      <c r="A782" s="3" t="s">
        <v>14</v>
      </c>
      <c r="B782" s="3" t="s">
        <v>2371</v>
      </c>
      <c r="C782" s="3" t="s">
        <v>2372</v>
      </c>
      <c r="D782" s="3" t="s">
        <v>2373</v>
      </c>
      <c r="E782" s="3" t="s">
        <v>2374</v>
      </c>
      <c r="F782" s="3" t="s">
        <v>2375</v>
      </c>
      <c r="G782" s="3" t="s">
        <v>2376</v>
      </c>
      <c r="H782" s="43">
        <f t="shared" ref="H782:I782" si="1565">LEN(D782)-LEN(B782)+1</f>
        <v>2</v>
      </c>
      <c r="I782" s="43">
        <f t="shared" si="1565"/>
        <v>2</v>
      </c>
      <c r="J782" s="4">
        <v>1.0</v>
      </c>
      <c r="K782" s="4">
        <v>1.0</v>
      </c>
      <c r="L782" s="5" t="str">
        <f t="shared" ref="L782:M782" si="1566">IFS(J782="-", "-", J782=H782, "Final", J782=1, "Initial", J782&gt;1, "Medial")</f>
        <v>Initial</v>
      </c>
      <c r="M782" s="44" t="str">
        <f t="shared" si="1566"/>
        <v>Initial</v>
      </c>
      <c r="N782" s="5" t="str">
        <f t="shared" si="5"/>
        <v>0</v>
      </c>
      <c r="O782" s="5" t="str">
        <f t="shared" si="6"/>
        <v>t̠ʃi</v>
      </c>
      <c r="P782" s="5" t="str">
        <f t="shared" si="7"/>
        <v>0</v>
      </c>
      <c r="Q782" s="5" t="str">
        <f t="shared" si="8"/>
        <v>tu</v>
      </c>
      <c r="R782" s="3" t="s">
        <v>72</v>
      </c>
      <c r="S782" s="3" t="s">
        <v>2377</v>
      </c>
      <c r="T782" s="3" t="s">
        <v>2378</v>
      </c>
      <c r="U782" s="3" t="s">
        <v>22</v>
      </c>
      <c r="V782" s="5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>
      <c r="A783" s="3" t="s">
        <v>14</v>
      </c>
      <c r="B783" s="3" t="s">
        <v>2371</v>
      </c>
      <c r="C783" s="3" t="s">
        <v>2372</v>
      </c>
      <c r="D783" s="3" t="s">
        <v>2373</v>
      </c>
      <c r="E783" s="3" t="s">
        <v>2374</v>
      </c>
      <c r="F783" s="3" t="s">
        <v>55</v>
      </c>
      <c r="G783" s="3" t="s">
        <v>784</v>
      </c>
      <c r="H783" s="43">
        <f t="shared" ref="H783:I783" si="1567">LEN(D783)-LEN(B783)+1</f>
        <v>2</v>
      </c>
      <c r="I783" s="43">
        <f t="shared" si="1567"/>
        <v>2</v>
      </c>
      <c r="J783" s="4">
        <v>2.0</v>
      </c>
      <c r="K783" s="4">
        <v>2.0</v>
      </c>
      <c r="L783" s="5" t="str">
        <f t="shared" ref="L783:M783" si="1568">IFS(J783="-", "-", J783=H783, "Final", J783=1, "Initial", J783&gt;1, "Medial")</f>
        <v>Final</v>
      </c>
      <c r="M783" s="44" t="str">
        <f t="shared" si="1568"/>
        <v>Final</v>
      </c>
      <c r="N783" s="5" t="str">
        <f t="shared" si="5"/>
        <v>ˈmɔ̃</v>
      </c>
      <c r="O783" s="5">
        <f t="shared" si="6"/>
        <v>2</v>
      </c>
      <c r="P783" s="5" t="str">
        <f t="shared" si="7"/>
        <v>ˈmũj̃</v>
      </c>
      <c r="Q783" s="5" t="str">
        <f t="shared" si="8"/>
        <v>ˈmũj̃</v>
      </c>
      <c r="R783" s="3"/>
      <c r="S783" s="3" t="s">
        <v>2377</v>
      </c>
      <c r="T783" s="3" t="s">
        <v>2378</v>
      </c>
      <c r="U783" s="3" t="s">
        <v>22</v>
      </c>
      <c r="V783" s="5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>
      <c r="A784" s="3" t="s">
        <v>14</v>
      </c>
      <c r="B784" s="3" t="s">
        <v>2379</v>
      </c>
      <c r="C784" s="3" t="s">
        <v>2372</v>
      </c>
      <c r="D784" s="3" t="s">
        <v>2380</v>
      </c>
      <c r="E784" s="3" t="s">
        <v>2374</v>
      </c>
      <c r="F784" s="3" t="s">
        <v>2381</v>
      </c>
      <c r="G784" s="3" t="s">
        <v>2376</v>
      </c>
      <c r="H784" s="43">
        <f t="shared" ref="H784:I784" si="1569">LEN(D784)-LEN(B784)+1</f>
        <v>2</v>
      </c>
      <c r="I784" s="43">
        <f t="shared" si="1569"/>
        <v>2</v>
      </c>
      <c r="J784" s="4">
        <v>1.0</v>
      </c>
      <c r="K784" s="4">
        <v>1.0</v>
      </c>
      <c r="L784" s="5" t="str">
        <f t="shared" ref="L784:M784" si="1570">IFS(J784="-", "-", J784=H784, "Final", J784=1, "Initial", J784&gt;1, "Medial")</f>
        <v>Initial</v>
      </c>
      <c r="M784" s="44" t="str">
        <f t="shared" si="1570"/>
        <v>Initial</v>
      </c>
      <c r="N784" s="5" t="str">
        <f t="shared" si="5"/>
        <v>0</v>
      </c>
      <c r="O784" s="5" t="str">
        <f t="shared" si="6"/>
        <v>tu</v>
      </c>
      <c r="P784" s="5" t="str">
        <f t="shared" si="7"/>
        <v>tu</v>
      </c>
      <c r="Q784" s="5" t="str">
        <f t="shared" si="8"/>
        <v>tu</v>
      </c>
      <c r="R784" s="3" t="s">
        <v>72</v>
      </c>
      <c r="S784" s="3" t="s">
        <v>2377</v>
      </c>
      <c r="T784" s="3" t="s">
        <v>2378</v>
      </c>
      <c r="U784" s="3" t="s">
        <v>22</v>
      </c>
      <c r="V784" s="5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>
      <c r="A785" s="3" t="s">
        <v>14</v>
      </c>
      <c r="B785" s="3" t="s">
        <v>2379</v>
      </c>
      <c r="C785" s="3" t="s">
        <v>2372</v>
      </c>
      <c r="D785" s="3" t="s">
        <v>2380</v>
      </c>
      <c r="E785" s="3" t="s">
        <v>2374</v>
      </c>
      <c r="F785" s="3" t="s">
        <v>784</v>
      </c>
      <c r="G785" s="3" t="s">
        <v>784</v>
      </c>
      <c r="H785" s="43">
        <f t="shared" ref="H785:I785" si="1571">LEN(D785)-LEN(B785)+1</f>
        <v>2</v>
      </c>
      <c r="I785" s="43">
        <f t="shared" si="1571"/>
        <v>2</v>
      </c>
      <c r="J785" s="4">
        <v>2.0</v>
      </c>
      <c r="K785" s="4">
        <v>2.0</v>
      </c>
      <c r="L785" s="5" t="str">
        <f t="shared" ref="L785:M785" si="1572">IFS(J785="-", "-", J785=H785, "Final", J785=1, "Initial", J785&gt;1, "Medial")</f>
        <v>Final</v>
      </c>
      <c r="M785" s="44" t="str">
        <f t="shared" si="1572"/>
        <v>Final</v>
      </c>
      <c r="N785" s="5" t="str">
        <f t="shared" si="5"/>
        <v>ˈmũ</v>
      </c>
      <c r="O785" s="5">
        <f t="shared" si="6"/>
        <v>2</v>
      </c>
      <c r="P785" s="5" t="str">
        <f t="shared" si="7"/>
        <v>ˈmũj̃</v>
      </c>
      <c r="Q785" s="5">
        <f t="shared" si="8"/>
        <v>2</v>
      </c>
      <c r="R785" s="3"/>
      <c r="S785" s="3" t="s">
        <v>2377</v>
      </c>
      <c r="T785" s="3" t="s">
        <v>2378</v>
      </c>
      <c r="U785" s="3" t="s">
        <v>22</v>
      </c>
      <c r="V785" s="5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>
      <c r="A786" s="3" t="s">
        <v>14</v>
      </c>
      <c r="B786" s="3" t="s">
        <v>2382</v>
      </c>
      <c r="C786" s="3" t="s">
        <v>2382</v>
      </c>
      <c r="D786" s="3" t="s">
        <v>2383</v>
      </c>
      <c r="E786" s="3" t="s">
        <v>2383</v>
      </c>
      <c r="F786" s="3" t="s">
        <v>280</v>
      </c>
      <c r="G786" s="3" t="s">
        <v>280</v>
      </c>
      <c r="H786" s="43">
        <f t="shared" ref="H786:I786" si="1573">LEN(D786)-LEN(B786)+1</f>
        <v>2</v>
      </c>
      <c r="I786" s="43">
        <f t="shared" si="1573"/>
        <v>2</v>
      </c>
      <c r="J786" s="4">
        <v>1.0</v>
      </c>
      <c r="K786" s="4">
        <v>1.0</v>
      </c>
      <c r="L786" s="5" t="str">
        <f t="shared" ref="L786:M786" si="1574">IFS(J786="-", "-", J786=H786, "Final", J786=1, "Initial", J786&gt;1, "Medial")</f>
        <v>Initial</v>
      </c>
      <c r="M786" s="44" t="str">
        <f t="shared" si="1574"/>
        <v>Initial</v>
      </c>
      <c r="N786" s="5" t="str">
        <f t="shared" si="5"/>
        <v>0</v>
      </c>
      <c r="O786" s="5" t="str">
        <f t="shared" si="6"/>
        <v>dɐ</v>
      </c>
      <c r="P786" s="5" t="str">
        <f t="shared" si="7"/>
        <v>0</v>
      </c>
      <c r="Q786" s="5" t="str">
        <f t="shared" si="8"/>
        <v>dɐ</v>
      </c>
      <c r="R786" s="3"/>
      <c r="S786" s="3" t="s">
        <v>2384</v>
      </c>
      <c r="T786" s="3" t="s">
        <v>2385</v>
      </c>
      <c r="U786" s="3" t="s">
        <v>22</v>
      </c>
      <c r="V786" s="5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>
      <c r="A787" s="3" t="s">
        <v>14</v>
      </c>
      <c r="B787" s="3" t="s">
        <v>2382</v>
      </c>
      <c r="C787" s="3" t="s">
        <v>2382</v>
      </c>
      <c r="D787" s="3" t="s">
        <v>2383</v>
      </c>
      <c r="E787" s="3" t="s">
        <v>2383</v>
      </c>
      <c r="F787" s="3" t="s">
        <v>116</v>
      </c>
      <c r="G787" s="3" t="s">
        <v>116</v>
      </c>
      <c r="H787" s="43">
        <f t="shared" ref="H787:I787" si="1575">LEN(D787)-LEN(B787)+1</f>
        <v>2</v>
      </c>
      <c r="I787" s="43">
        <f t="shared" si="1575"/>
        <v>2</v>
      </c>
      <c r="J787" s="4">
        <v>2.0</v>
      </c>
      <c r="K787" s="4">
        <v>2.0</v>
      </c>
      <c r="L787" s="5" t="str">
        <f t="shared" ref="L787:M787" si="1576">IFS(J787="-", "-", J787=H787, "Final", J787=1, "Initial", J787&gt;1, "Medial")</f>
        <v>Final</v>
      </c>
      <c r="M787" s="44" t="str">
        <f t="shared" si="1576"/>
        <v>Final</v>
      </c>
      <c r="N787" s="5" t="str">
        <f t="shared" si="5"/>
        <v>ˈna</v>
      </c>
      <c r="O787" s="5">
        <f t="shared" si="6"/>
        <v>2</v>
      </c>
      <c r="P787" s="5" t="str">
        <f t="shared" si="7"/>
        <v>ˈna</v>
      </c>
      <c r="Q787" s="5">
        <f t="shared" si="8"/>
        <v>2</v>
      </c>
      <c r="R787" s="3"/>
      <c r="S787" s="3" t="s">
        <v>2384</v>
      </c>
      <c r="T787" s="3" t="s">
        <v>2385</v>
      </c>
      <c r="U787" s="3" t="s">
        <v>22</v>
      </c>
      <c r="V787" s="5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>
      <c r="A788" s="3" t="s">
        <v>14</v>
      </c>
      <c r="B788" s="3" t="s">
        <v>2386</v>
      </c>
      <c r="C788" s="3" t="s">
        <v>2387</v>
      </c>
      <c r="D788" s="3" t="s">
        <v>2386</v>
      </c>
      <c r="E788" s="3" t="s">
        <v>2387</v>
      </c>
      <c r="F788" s="3" t="s">
        <v>2386</v>
      </c>
      <c r="G788" s="3" t="s">
        <v>2387</v>
      </c>
      <c r="H788" s="43">
        <f t="shared" ref="H788:I788" si="1577">LEN(D788)-LEN(B788)+1</f>
        <v>1</v>
      </c>
      <c r="I788" s="43">
        <f t="shared" si="1577"/>
        <v>1</v>
      </c>
      <c r="J788" s="4">
        <v>1.0</v>
      </c>
      <c r="K788" s="4">
        <v>1.0</v>
      </c>
      <c r="L788" s="5" t="str">
        <f t="shared" ref="L788:M788" si="1578">IFS(J788="-", "-", J788=H788, "Final", J788=1, "Initial", J788&gt;1, "Medial")</f>
        <v>Final</v>
      </c>
      <c r="M788" s="44" t="str">
        <f t="shared" si="1578"/>
        <v>Final</v>
      </c>
      <c r="N788" s="5" t="str">
        <f t="shared" si="5"/>
        <v>0</v>
      </c>
      <c r="O788" s="5">
        <f t="shared" si="6"/>
        <v>1</v>
      </c>
      <c r="P788" s="5" t="str">
        <f t="shared" si="7"/>
        <v>0</v>
      </c>
      <c r="Q788" s="5">
        <f t="shared" si="8"/>
        <v>1</v>
      </c>
      <c r="R788" s="3"/>
      <c r="S788" s="3" t="s">
        <v>2388</v>
      </c>
      <c r="T788" s="3" t="s">
        <v>2389</v>
      </c>
      <c r="U788" s="3" t="s">
        <v>22</v>
      </c>
      <c r="V788" s="5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>
      <c r="A789" s="3" t="s">
        <v>14</v>
      </c>
      <c r="B789" s="3" t="s">
        <v>2390</v>
      </c>
      <c r="C789" s="3" t="s">
        <v>2391</v>
      </c>
      <c r="D789" s="3" t="s">
        <v>2392</v>
      </c>
      <c r="E789" s="3" t="s">
        <v>2393</v>
      </c>
      <c r="F789" s="3" t="s">
        <v>2124</v>
      </c>
      <c r="G789" s="3" t="s">
        <v>2394</v>
      </c>
      <c r="H789" s="43">
        <f t="shared" ref="H789:I789" si="1579">LEN(D789)-LEN(B789)+1</f>
        <v>2</v>
      </c>
      <c r="I789" s="43">
        <f t="shared" si="1579"/>
        <v>2</v>
      </c>
      <c r="J789" s="4">
        <v>1.0</v>
      </c>
      <c r="K789" s="4">
        <v>1.0</v>
      </c>
      <c r="L789" s="5" t="str">
        <f t="shared" ref="L789:M789" si="1580">IFS(J789="-", "-", J789=H789, "Final", J789=1, "Initial", J789&gt;1, "Medial")</f>
        <v>Initial</v>
      </c>
      <c r="M789" s="44" t="str">
        <f t="shared" si="1580"/>
        <v>Initial</v>
      </c>
      <c r="N789" s="5" t="str">
        <f t="shared" si="5"/>
        <v>0</v>
      </c>
      <c r="O789" s="5" t="str">
        <f t="shared" si="6"/>
        <v>kɐ</v>
      </c>
      <c r="P789" s="5" t="str">
        <f t="shared" si="7"/>
        <v>0</v>
      </c>
      <c r="Q789" s="5" t="str">
        <f t="shared" si="8"/>
        <v>kɐ</v>
      </c>
      <c r="R789" s="3" t="s">
        <v>72</v>
      </c>
      <c r="S789" s="3" t="s">
        <v>2395</v>
      </c>
      <c r="T789" s="3" t="s">
        <v>2396</v>
      </c>
      <c r="U789" s="3" t="s">
        <v>22</v>
      </c>
      <c r="V789" s="5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>
      <c r="A790" s="3" t="s">
        <v>14</v>
      </c>
      <c r="B790" s="3" t="s">
        <v>2390</v>
      </c>
      <c r="C790" s="3" t="s">
        <v>2391</v>
      </c>
      <c r="D790" s="3" t="s">
        <v>2392</v>
      </c>
      <c r="E790" s="3" t="s">
        <v>2393</v>
      </c>
      <c r="F790" s="3" t="s">
        <v>175</v>
      </c>
      <c r="G790" s="3" t="s">
        <v>175</v>
      </c>
      <c r="H790" s="43">
        <f t="shared" ref="H790:I790" si="1581">LEN(D790)-LEN(B790)+1</f>
        <v>2</v>
      </c>
      <c r="I790" s="43">
        <f t="shared" si="1581"/>
        <v>2</v>
      </c>
      <c r="J790" s="4">
        <v>2.0</v>
      </c>
      <c r="K790" s="4">
        <v>2.0</v>
      </c>
      <c r="L790" s="5" t="str">
        <f t="shared" ref="L790:M790" si="1582">IFS(J790="-", "-", J790=H790, "Final", J790=1, "Initial", J790&gt;1, "Medial")</f>
        <v>Final</v>
      </c>
      <c r="M790" s="44" t="str">
        <f t="shared" si="1582"/>
        <v>Final</v>
      </c>
      <c r="N790" s="5" t="str">
        <f t="shared" si="5"/>
        <v>ˈnu</v>
      </c>
      <c r="O790" s="5">
        <f t="shared" si="6"/>
        <v>2</v>
      </c>
      <c r="P790" s="5" t="str">
        <f t="shared" si="7"/>
        <v>ˈnũ</v>
      </c>
      <c r="Q790" s="5">
        <f t="shared" si="8"/>
        <v>2</v>
      </c>
      <c r="R790" s="3"/>
      <c r="S790" s="3" t="s">
        <v>2395</v>
      </c>
      <c r="T790" s="3" t="s">
        <v>2396</v>
      </c>
      <c r="U790" s="3" t="s">
        <v>22</v>
      </c>
      <c r="V790" s="5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>
      <c r="A791" s="3" t="s">
        <v>14</v>
      </c>
      <c r="B791" s="3" t="s">
        <v>2397</v>
      </c>
      <c r="C791" s="3" t="s">
        <v>2398</v>
      </c>
      <c r="D791" s="3" t="s">
        <v>2399</v>
      </c>
      <c r="E791" s="3" t="s">
        <v>2400</v>
      </c>
      <c r="F791" s="3" t="s">
        <v>1919</v>
      </c>
      <c r="G791" s="3" t="s">
        <v>1599</v>
      </c>
      <c r="H791" s="43">
        <f t="shared" ref="H791:I791" si="1583">LEN(D791)-LEN(B791)+1</f>
        <v>2</v>
      </c>
      <c r="I791" s="43">
        <f t="shared" si="1583"/>
        <v>2</v>
      </c>
      <c r="J791" s="4">
        <v>1.0</v>
      </c>
      <c r="K791" s="4">
        <v>1.0</v>
      </c>
      <c r="L791" s="5" t="str">
        <f t="shared" ref="L791:M791" si="1584">IFS(J791="-", "-", J791=H791, "Final", J791=1, "Initial", J791&gt;1, "Medial")</f>
        <v>Initial</v>
      </c>
      <c r="M791" s="44" t="str">
        <f t="shared" si="1584"/>
        <v>Initial</v>
      </c>
      <c r="N791" s="5" t="str">
        <f t="shared" si="5"/>
        <v>0</v>
      </c>
      <c r="O791" s="5" t="str">
        <f t="shared" si="6"/>
        <v>ke</v>
      </c>
      <c r="P791" s="5" t="str">
        <f t="shared" si="7"/>
        <v>0</v>
      </c>
      <c r="Q791" s="5" t="str">
        <f t="shared" si="8"/>
        <v>kɨ</v>
      </c>
      <c r="R791" s="3"/>
      <c r="S791" s="3" t="s">
        <v>2401</v>
      </c>
      <c r="T791" s="3" t="s">
        <v>2402</v>
      </c>
      <c r="U791" s="3" t="s">
        <v>22</v>
      </c>
      <c r="V791" s="5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>
      <c r="A792" s="3" t="s">
        <v>14</v>
      </c>
      <c r="B792" s="3" t="s">
        <v>2397</v>
      </c>
      <c r="C792" s="3" t="s">
        <v>2398</v>
      </c>
      <c r="D792" s="3" t="s">
        <v>2399</v>
      </c>
      <c r="E792" s="3" t="s">
        <v>2400</v>
      </c>
      <c r="F792" s="3" t="s">
        <v>262</v>
      </c>
      <c r="G792" s="3" t="s">
        <v>1269</v>
      </c>
      <c r="H792" s="43">
        <f t="shared" ref="H792:I792" si="1585">LEN(D792)-LEN(B792)+1</f>
        <v>2</v>
      </c>
      <c r="I792" s="43">
        <f t="shared" si="1585"/>
        <v>2</v>
      </c>
      <c r="J792" s="4">
        <v>2.0</v>
      </c>
      <c r="K792" s="4">
        <v>2.0</v>
      </c>
      <c r="L792" s="5" t="str">
        <f t="shared" ref="L792:M792" si="1586">IFS(J792="-", "-", J792=H792, "Final", J792=1, "Initial", J792&gt;1, "Medial")</f>
        <v>Final</v>
      </c>
      <c r="M792" s="44" t="str">
        <f t="shared" si="1586"/>
        <v>Final</v>
      </c>
      <c r="N792" s="5" t="str">
        <f t="shared" si="5"/>
        <v>ˈpo</v>
      </c>
      <c r="O792" s="5">
        <f t="shared" si="6"/>
        <v>2</v>
      </c>
      <c r="P792" s="5" t="str">
        <f t="shared" si="7"/>
        <v>puɾ</v>
      </c>
      <c r="Q792" s="5">
        <f t="shared" si="8"/>
        <v>2</v>
      </c>
      <c r="R792" s="3"/>
      <c r="S792" s="3" t="s">
        <v>2401</v>
      </c>
      <c r="T792" s="3" t="s">
        <v>2402</v>
      </c>
      <c r="U792" s="3" t="s">
        <v>22</v>
      </c>
      <c r="V792" s="5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>
      <c r="A793" s="3" t="s">
        <v>14</v>
      </c>
      <c r="B793" s="3" t="s">
        <v>2403</v>
      </c>
      <c r="C793" s="3" t="s">
        <v>2404</v>
      </c>
      <c r="D793" s="3" t="s">
        <v>2405</v>
      </c>
      <c r="E793" s="3" t="s">
        <v>2406</v>
      </c>
      <c r="F793" s="3" t="s">
        <v>1919</v>
      </c>
      <c r="G793" s="3" t="s">
        <v>1919</v>
      </c>
      <c r="H793" s="43">
        <f t="shared" ref="H793:I793" si="1587">LEN(D793)-LEN(B793)+1</f>
        <v>2</v>
      </c>
      <c r="I793" s="43">
        <f t="shared" si="1587"/>
        <v>2</v>
      </c>
      <c r="J793" s="4">
        <v>1.0</v>
      </c>
      <c r="K793" s="4">
        <v>1.0</v>
      </c>
      <c r="L793" s="5" t="str">
        <f t="shared" ref="L793:M793" si="1588">IFS(J793="-", "-", J793=H793, "Final", J793=1, "Initial", J793&gt;1, "Medial")</f>
        <v>Initial</v>
      </c>
      <c r="M793" s="44" t="str">
        <f t="shared" si="1588"/>
        <v>Initial</v>
      </c>
      <c r="N793" s="5" t="str">
        <f t="shared" si="5"/>
        <v>0</v>
      </c>
      <c r="O793" s="5" t="str">
        <f t="shared" si="6"/>
        <v>ko</v>
      </c>
      <c r="P793" s="5" t="str">
        <f t="shared" si="7"/>
        <v>0</v>
      </c>
      <c r="Q793" s="5" t="str">
        <f t="shared" si="8"/>
        <v>ku</v>
      </c>
      <c r="R793" s="3"/>
      <c r="S793" s="3" t="s">
        <v>2407</v>
      </c>
      <c r="T793" s="3" t="s">
        <v>2408</v>
      </c>
      <c r="U793" s="3" t="s">
        <v>22</v>
      </c>
      <c r="V793" s="5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>
      <c r="A794" s="3" t="s">
        <v>14</v>
      </c>
      <c r="B794" s="3" t="s">
        <v>2403</v>
      </c>
      <c r="C794" s="3" t="s">
        <v>2404</v>
      </c>
      <c r="D794" s="3" t="s">
        <v>2405</v>
      </c>
      <c r="E794" s="3" t="s">
        <v>2406</v>
      </c>
      <c r="F794" s="3" t="s">
        <v>419</v>
      </c>
      <c r="G794" s="3" t="s">
        <v>425</v>
      </c>
      <c r="H794" s="43">
        <f t="shared" ref="H794:I794" si="1589">LEN(D794)-LEN(B794)+1</f>
        <v>2</v>
      </c>
      <c r="I794" s="43">
        <f t="shared" si="1589"/>
        <v>2</v>
      </c>
      <c r="J794" s="4">
        <v>2.0</v>
      </c>
      <c r="K794" s="4">
        <v>2.0</v>
      </c>
      <c r="L794" s="5" t="str">
        <f t="shared" ref="L794:M794" si="1590">IFS(J794="-", "-", J794=H794, "Final", J794=1, "Initial", J794&gt;1, "Medial")</f>
        <v>Final</v>
      </c>
      <c r="M794" s="44" t="str">
        <f t="shared" si="1590"/>
        <v>Final</v>
      </c>
      <c r="N794" s="5" t="str">
        <f t="shared" si="5"/>
        <v>ˈpo</v>
      </c>
      <c r="O794" s="5">
        <f t="shared" si="6"/>
        <v>2</v>
      </c>
      <c r="P794" s="5" t="str">
        <f t="shared" si="7"/>
        <v>ˈpo</v>
      </c>
      <c r="Q794" s="5">
        <f t="shared" si="8"/>
        <v>2</v>
      </c>
      <c r="R794" s="3"/>
      <c r="S794" s="3" t="s">
        <v>2407</v>
      </c>
      <c r="T794" s="3" t="s">
        <v>2408</v>
      </c>
      <c r="U794" s="3" t="s">
        <v>22</v>
      </c>
      <c r="V794" s="5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>
      <c r="A795" s="3" t="s">
        <v>14</v>
      </c>
      <c r="B795" s="3" t="s">
        <v>2409</v>
      </c>
      <c r="C795" s="3" t="s">
        <v>2410</v>
      </c>
      <c r="D795" s="3" t="s">
        <v>2411</v>
      </c>
      <c r="E795" s="3" t="s">
        <v>2412</v>
      </c>
      <c r="F795" s="3" t="s">
        <v>2413</v>
      </c>
      <c r="G795" s="3" t="s">
        <v>2414</v>
      </c>
      <c r="H795" s="43">
        <f t="shared" ref="H795:I795" si="1591">LEN(D795)-LEN(B795)+1</f>
        <v>2</v>
      </c>
      <c r="I795" s="43">
        <f t="shared" si="1591"/>
        <v>2</v>
      </c>
      <c r="J795" s="4">
        <v>1.0</v>
      </c>
      <c r="K795" s="4">
        <v>1.0</v>
      </c>
      <c r="L795" s="5" t="str">
        <f t="shared" ref="L795:M795" si="1592">IFS(J795="-", "-", J795=H795, "Final", J795=1, "Initial", J795&gt;1, "Medial")</f>
        <v>Initial</v>
      </c>
      <c r="M795" s="44" t="str">
        <f t="shared" si="1592"/>
        <v>Initial</v>
      </c>
      <c r="N795" s="5" t="str">
        <f t="shared" si="5"/>
        <v>0</v>
      </c>
      <c r="O795" s="5" t="str">
        <f t="shared" si="6"/>
        <v>pi</v>
      </c>
      <c r="P795" s="5" t="str">
        <f t="shared" si="7"/>
        <v>0</v>
      </c>
      <c r="Q795" s="5" t="str">
        <f t="shared" si="8"/>
        <v>pɾɨ</v>
      </c>
      <c r="R795" s="3"/>
      <c r="S795" s="3" t="s">
        <v>2415</v>
      </c>
      <c r="T795" s="3" t="s">
        <v>2416</v>
      </c>
      <c r="U795" s="3" t="s">
        <v>22</v>
      </c>
      <c r="V795" s="5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>
      <c r="A796" s="3" t="s">
        <v>14</v>
      </c>
      <c r="B796" s="3" t="s">
        <v>2409</v>
      </c>
      <c r="C796" s="3" t="s">
        <v>2410</v>
      </c>
      <c r="D796" s="3" t="s">
        <v>2411</v>
      </c>
      <c r="E796" s="3" t="s">
        <v>2412</v>
      </c>
      <c r="F796" s="3" t="s">
        <v>233</v>
      </c>
      <c r="G796" s="3" t="s">
        <v>712</v>
      </c>
      <c r="H796" s="43">
        <f t="shared" ref="H796:I796" si="1593">LEN(D796)-LEN(B796)+1</f>
        <v>2</v>
      </c>
      <c r="I796" s="43">
        <f t="shared" si="1593"/>
        <v>2</v>
      </c>
      <c r="J796" s="4">
        <v>2.0</v>
      </c>
      <c r="K796" s="4">
        <v>2.0</v>
      </c>
      <c r="L796" s="5" t="str">
        <f t="shared" ref="L796:M796" si="1594">IFS(J796="-", "-", J796=H796, "Final", J796=1, "Initial", J796&gt;1, "Medial")</f>
        <v>Final</v>
      </c>
      <c r="M796" s="44" t="str">
        <f t="shared" si="1594"/>
        <v>Final</v>
      </c>
      <c r="N796" s="5" t="str">
        <f t="shared" si="5"/>
        <v>ˈsɛ̃</v>
      </c>
      <c r="O796" s="5">
        <f t="shared" si="6"/>
        <v>2</v>
      </c>
      <c r="P796" s="5" t="str">
        <f t="shared" si="7"/>
        <v>ˈsẽ</v>
      </c>
      <c r="Q796" s="5">
        <f t="shared" si="8"/>
        <v>2</v>
      </c>
      <c r="R796" s="3"/>
      <c r="S796" s="3" t="s">
        <v>2415</v>
      </c>
      <c r="T796" s="3" t="s">
        <v>2416</v>
      </c>
      <c r="U796" s="3" t="s">
        <v>22</v>
      </c>
      <c r="V796" s="5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>
      <c r="A797" s="3" t="s">
        <v>14</v>
      </c>
      <c r="B797" s="3" t="s">
        <v>2051</v>
      </c>
      <c r="C797" s="3" t="s">
        <v>2417</v>
      </c>
      <c r="D797" s="3" t="s">
        <v>2051</v>
      </c>
      <c r="E797" s="3" t="s">
        <v>2418</v>
      </c>
      <c r="F797" s="3" t="s">
        <v>2051</v>
      </c>
      <c r="G797" s="3" t="s">
        <v>987</v>
      </c>
      <c r="H797" s="43">
        <f t="shared" ref="H797:I797" si="1595">LEN(D797)-LEN(B797)+1</f>
        <v>1</v>
      </c>
      <c r="I797" s="43">
        <f t="shared" si="1595"/>
        <v>2</v>
      </c>
      <c r="J797" s="4">
        <v>1.0</v>
      </c>
      <c r="K797" s="4">
        <v>1.0</v>
      </c>
      <c r="L797" s="5" t="str">
        <f t="shared" ref="L797:M797" si="1596">IFS(J797="-", "-", J797=H797, "Final", J797=1, "Initial", J797&gt;1, "Medial")</f>
        <v>Final</v>
      </c>
      <c r="M797" s="44" t="str">
        <f t="shared" si="1596"/>
        <v>Initial</v>
      </c>
      <c r="N797" s="5" t="str">
        <f t="shared" si="5"/>
        <v>0</v>
      </c>
      <c r="O797" s="5" t="str">
        <f t="shared" si="6"/>
        <v>-</v>
      </c>
      <c r="P797" s="5" t="str">
        <f t="shared" si="7"/>
        <v>0</v>
      </c>
      <c r="Q797" s="5" t="str">
        <f t="shared" si="8"/>
        <v>ˈɲoɾ</v>
      </c>
      <c r="R797" s="3" t="s">
        <v>80</v>
      </c>
      <c r="S797" s="3" t="s">
        <v>2419</v>
      </c>
      <c r="T797" s="3" t="s">
        <v>2420</v>
      </c>
      <c r="U797" s="3" t="s">
        <v>22</v>
      </c>
      <c r="V797" s="5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>
      <c r="A798" s="3" t="s">
        <v>14</v>
      </c>
      <c r="B798" s="3" t="s">
        <v>2051</v>
      </c>
      <c r="C798" s="3" t="s">
        <v>2417</v>
      </c>
      <c r="D798" s="3" t="s">
        <v>2051</v>
      </c>
      <c r="E798" s="3" t="s">
        <v>2418</v>
      </c>
      <c r="F798" s="3" t="s">
        <v>36</v>
      </c>
      <c r="G798" s="3" t="s">
        <v>2421</v>
      </c>
      <c r="H798" s="43">
        <f t="shared" ref="H798:I798" si="1597">LEN(D798)-LEN(B798)+1</f>
        <v>1</v>
      </c>
      <c r="I798" s="43">
        <f t="shared" si="1597"/>
        <v>2</v>
      </c>
      <c r="J798" s="4" t="s">
        <v>36</v>
      </c>
      <c r="K798" s="4">
        <v>2.0</v>
      </c>
      <c r="L798" s="5" t="str">
        <f t="shared" ref="L798:M798" si="1598">IFS(J798="-", "-", J798=H798, "Final", J798=1, "Initial", J798&gt;1, "Medial")</f>
        <v>-</v>
      </c>
      <c r="M798" s="44" t="str">
        <f t="shared" si="1598"/>
        <v>Final</v>
      </c>
      <c r="N798" s="5" t="str">
        <f t="shared" si="5"/>
        <v>ˈsũ</v>
      </c>
      <c r="O798" s="5" t="str">
        <f t="shared" si="6"/>
        <v>-</v>
      </c>
      <c r="P798" s="5" t="str">
        <f t="shared" si="7"/>
        <v>sɨ</v>
      </c>
      <c r="Q798" s="5">
        <f t="shared" si="8"/>
        <v>2</v>
      </c>
      <c r="R798" s="3"/>
      <c r="S798" s="3" t="s">
        <v>2419</v>
      </c>
      <c r="T798" s="3" t="s">
        <v>2420</v>
      </c>
      <c r="U798" s="3" t="s">
        <v>22</v>
      </c>
      <c r="V798" s="5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>
      <c r="A799" s="3" t="s">
        <v>14</v>
      </c>
      <c r="B799" s="3" t="s">
        <v>2422</v>
      </c>
      <c r="C799" s="3" t="s">
        <v>2422</v>
      </c>
      <c r="D799" s="3" t="s">
        <v>2423</v>
      </c>
      <c r="E799" s="3" t="s">
        <v>2423</v>
      </c>
      <c r="F799" s="3" t="s">
        <v>2424</v>
      </c>
      <c r="G799" s="3" t="s">
        <v>2424</v>
      </c>
      <c r="H799" s="43">
        <f t="shared" ref="H799:I799" si="1599">LEN(D799)-LEN(B799)+1</f>
        <v>2</v>
      </c>
      <c r="I799" s="43">
        <f t="shared" si="1599"/>
        <v>2</v>
      </c>
      <c r="J799" s="4">
        <v>1.0</v>
      </c>
      <c r="K799" s="4">
        <v>1.0</v>
      </c>
      <c r="L799" s="5" t="str">
        <f t="shared" ref="L799:M799" si="1600">IFS(J799="-", "-", J799=H799, "Final", J799=1, "Initial", J799&gt;1, "Medial")</f>
        <v>Initial</v>
      </c>
      <c r="M799" s="44" t="str">
        <f t="shared" si="1600"/>
        <v>Initial</v>
      </c>
      <c r="N799" s="5" t="str">
        <f t="shared" si="5"/>
        <v>0</v>
      </c>
      <c r="O799" s="5" t="str">
        <f t="shared" si="6"/>
        <v>du</v>
      </c>
      <c r="P799" s="5" t="str">
        <f t="shared" si="7"/>
        <v>0</v>
      </c>
      <c r="Q799" s="5" t="str">
        <f t="shared" si="8"/>
        <v>du</v>
      </c>
      <c r="R799" s="3"/>
      <c r="S799" s="3" t="s">
        <v>2425</v>
      </c>
      <c r="T799" s="3" t="s">
        <v>2426</v>
      </c>
      <c r="U799" s="3" t="s">
        <v>22</v>
      </c>
      <c r="V799" s="5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>
      <c r="A800" s="3" t="s">
        <v>14</v>
      </c>
      <c r="B800" s="3" t="s">
        <v>2422</v>
      </c>
      <c r="C800" s="3" t="s">
        <v>2422</v>
      </c>
      <c r="D800" s="3" t="s">
        <v>2423</v>
      </c>
      <c r="E800" s="3" t="s">
        <v>2423</v>
      </c>
      <c r="F800" s="3" t="s">
        <v>387</v>
      </c>
      <c r="G800" s="3" t="s">
        <v>387</v>
      </c>
      <c r="H800" s="43">
        <f t="shared" ref="H800:I800" si="1601">LEN(D800)-LEN(B800)+1</f>
        <v>2</v>
      </c>
      <c r="I800" s="43">
        <f t="shared" si="1601"/>
        <v>2</v>
      </c>
      <c r="J800" s="4">
        <v>2.0</v>
      </c>
      <c r="K800" s="4">
        <v>2.0</v>
      </c>
      <c r="L800" s="5" t="str">
        <f t="shared" ref="L800:M800" si="1602">IFS(J800="-", "-", J800=H800, "Final", J800=1, "Initial", J800&gt;1, "Medial")</f>
        <v>Final</v>
      </c>
      <c r="M800" s="44" t="str">
        <f t="shared" si="1602"/>
        <v>Final</v>
      </c>
      <c r="N800" s="5" t="str">
        <f t="shared" si="5"/>
        <v>ˈtu</v>
      </c>
      <c r="O800" s="5">
        <f t="shared" si="6"/>
        <v>2</v>
      </c>
      <c r="P800" s="5" t="str">
        <f t="shared" si="7"/>
        <v>ˈtu</v>
      </c>
      <c r="Q800" s="5">
        <f t="shared" si="8"/>
        <v>2</v>
      </c>
      <c r="R800" s="3"/>
      <c r="S800" s="3" t="s">
        <v>2425</v>
      </c>
      <c r="T800" s="3" t="s">
        <v>2426</v>
      </c>
      <c r="U800" s="3" t="s">
        <v>22</v>
      </c>
      <c r="V800" s="5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>
      <c r="A801" s="15" t="s">
        <v>14</v>
      </c>
      <c r="B801" s="15" t="s">
        <v>2427</v>
      </c>
      <c r="C801" s="15" t="s">
        <v>2428</v>
      </c>
      <c r="D801" s="15" t="s">
        <v>2429</v>
      </c>
      <c r="E801" s="15" t="s">
        <v>2430</v>
      </c>
      <c r="F801" s="15"/>
      <c r="G801" s="15"/>
      <c r="H801" s="43">
        <f t="shared" ref="H801:I801" si="1603">LEN(D801)-LEN(B801)+1</f>
        <v>2</v>
      </c>
      <c r="I801" s="43">
        <f t="shared" si="1603"/>
        <v>4</v>
      </c>
      <c r="J801" s="18"/>
      <c r="K801" s="18"/>
      <c r="L801" s="5" t="str">
        <f t="shared" ref="L801:M801" si="1604">IFS(J801="-", "-", J801=H801, "Final", J801=1, "Initial", J801&gt;1, "Medial")</f>
        <v>#N/A</v>
      </c>
      <c r="M801" s="44" t="str">
        <f t="shared" si="1604"/>
        <v>#N/A</v>
      </c>
      <c r="N801" s="5" t="str">
        <f t="shared" si="5"/>
        <v>0</v>
      </c>
      <c r="O801" s="5" t="str">
        <f t="shared" si="6"/>
        <v/>
      </c>
      <c r="P801" s="5" t="str">
        <f t="shared" si="7"/>
        <v>0</v>
      </c>
      <c r="Q801" s="5" t="str">
        <f t="shared" si="8"/>
        <v/>
      </c>
      <c r="R801" s="15"/>
      <c r="S801" s="15" t="s">
        <v>2431</v>
      </c>
      <c r="T801" s="15" t="s">
        <v>2432</v>
      </c>
      <c r="U801" s="15" t="s">
        <v>22</v>
      </c>
      <c r="V801" s="15" t="s">
        <v>560</v>
      </c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</row>
    <row r="802">
      <c r="A802" s="3" t="s">
        <v>14</v>
      </c>
      <c r="B802" s="3" t="s">
        <v>2433</v>
      </c>
      <c r="C802" s="3" t="s">
        <v>2434</v>
      </c>
      <c r="D802" s="3" t="s">
        <v>2435</v>
      </c>
      <c r="E802" s="3" t="s">
        <v>2436</v>
      </c>
      <c r="F802" s="3" t="s">
        <v>361</v>
      </c>
      <c r="G802" s="3" t="s">
        <v>62</v>
      </c>
      <c r="H802" s="43">
        <f t="shared" ref="H802:I802" si="1605">LEN(D802)-LEN(B802)+1</f>
        <v>2</v>
      </c>
      <c r="I802" s="43">
        <f t="shared" si="1605"/>
        <v>3</v>
      </c>
      <c r="J802" s="4">
        <v>1.0</v>
      </c>
      <c r="K802" s="4">
        <v>1.0</v>
      </c>
      <c r="L802" s="5" t="str">
        <f t="shared" ref="L802:M802" si="1606">IFS(J802="-", "-", J802=H802, "Final", J802=1, "Initial", J802&gt;1, "Medial")</f>
        <v>Initial</v>
      </c>
      <c r="M802" s="44" t="str">
        <f t="shared" si="1606"/>
        <v>Initial</v>
      </c>
      <c r="N802" s="5" t="str">
        <f t="shared" si="5"/>
        <v>0</v>
      </c>
      <c r="O802" s="5" t="str">
        <f t="shared" si="6"/>
        <v>-</v>
      </c>
      <c r="P802" s="5" t="str">
        <f t="shared" si="7"/>
        <v>0</v>
      </c>
      <c r="Q802" s="5" t="str">
        <f t="shared" si="8"/>
        <v>ˈɾa</v>
      </c>
      <c r="R802" s="3" t="s">
        <v>80</v>
      </c>
      <c r="S802" s="3" t="s">
        <v>2437</v>
      </c>
      <c r="T802" s="3" t="s">
        <v>2438</v>
      </c>
      <c r="U802" s="3" t="s">
        <v>22</v>
      </c>
      <c r="V802" s="5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>
      <c r="A803" s="3" t="s">
        <v>14</v>
      </c>
      <c r="B803" s="3" t="s">
        <v>2433</v>
      </c>
      <c r="C803" s="3" t="s">
        <v>2434</v>
      </c>
      <c r="D803" s="3" t="s">
        <v>2435</v>
      </c>
      <c r="E803" s="3" t="s">
        <v>2436</v>
      </c>
      <c r="F803" s="3" t="s">
        <v>36</v>
      </c>
      <c r="G803" s="3" t="s">
        <v>115</v>
      </c>
      <c r="H803" s="43">
        <f t="shared" ref="H803:I803" si="1607">LEN(D803)-LEN(B803)+1</f>
        <v>2</v>
      </c>
      <c r="I803" s="43">
        <f t="shared" si="1607"/>
        <v>3</v>
      </c>
      <c r="J803" s="4" t="s">
        <v>36</v>
      </c>
      <c r="K803" s="4">
        <v>2.0</v>
      </c>
      <c r="L803" s="5" t="str">
        <f t="shared" ref="L803:M803" si="1608">IFS(J803="-", "-", J803=H803, "Final", J803=1, "Initial", J803&gt;1, "Medial")</f>
        <v>-</v>
      </c>
      <c r="M803" s="44" t="str">
        <f t="shared" si="1608"/>
        <v>Medial</v>
      </c>
      <c r="N803" s="5" t="str">
        <f t="shared" si="5"/>
        <v>ˈba:</v>
      </c>
      <c r="O803" s="5" t="str">
        <f t="shared" si="6"/>
        <v>tu</v>
      </c>
      <c r="P803" s="5" t="str">
        <f t="shared" si="7"/>
        <v>bɐ</v>
      </c>
      <c r="Q803" s="5" t="str">
        <f t="shared" si="8"/>
        <v>tu</v>
      </c>
      <c r="R803" s="3"/>
      <c r="S803" s="3" t="s">
        <v>2437</v>
      </c>
      <c r="T803" s="3" t="s">
        <v>2438</v>
      </c>
      <c r="U803" s="3" t="s">
        <v>22</v>
      </c>
      <c r="V803" s="5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>
      <c r="A804" s="3" t="s">
        <v>14</v>
      </c>
      <c r="B804" s="3" t="s">
        <v>2433</v>
      </c>
      <c r="C804" s="3" t="s">
        <v>2434</v>
      </c>
      <c r="D804" s="3" t="s">
        <v>2435</v>
      </c>
      <c r="E804" s="3" t="s">
        <v>2436</v>
      </c>
      <c r="F804" s="3" t="s">
        <v>784</v>
      </c>
      <c r="G804" s="3" t="s">
        <v>784</v>
      </c>
      <c r="H804" s="43">
        <f t="shared" ref="H804:I804" si="1609">LEN(D804)-LEN(B804)+1</f>
        <v>2</v>
      </c>
      <c r="I804" s="43">
        <f t="shared" si="1609"/>
        <v>3</v>
      </c>
      <c r="J804" s="4">
        <v>2.0</v>
      </c>
      <c r="K804" s="4">
        <v>3.0</v>
      </c>
      <c r="L804" s="5" t="str">
        <f t="shared" ref="L804:M804" si="1610">IFS(J804="-", "-", J804=H804, "Final", J804=1, "Initial", J804&gt;1, "Medial")</f>
        <v>Final</v>
      </c>
      <c r="M804" s="44" t="str">
        <f t="shared" si="1610"/>
        <v>Final</v>
      </c>
      <c r="N804" s="5" t="str">
        <f t="shared" si="5"/>
        <v>-</v>
      </c>
      <c r="O804" s="5">
        <f t="shared" si="6"/>
        <v>2</v>
      </c>
      <c r="P804" s="5" t="str">
        <f t="shared" si="7"/>
        <v>ˈɾa</v>
      </c>
      <c r="Q804" s="5">
        <f t="shared" si="8"/>
        <v>3</v>
      </c>
      <c r="R804" s="3"/>
      <c r="S804" s="3" t="s">
        <v>2437</v>
      </c>
      <c r="T804" s="3" t="s">
        <v>2438</v>
      </c>
      <c r="U804" s="3" t="s">
        <v>22</v>
      </c>
      <c r="V804" s="5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>
      <c r="A805" s="15" t="s">
        <v>14</v>
      </c>
      <c r="B805" s="15" t="s">
        <v>2439</v>
      </c>
      <c r="C805" s="15" t="s">
        <v>2440</v>
      </c>
      <c r="D805" s="15" t="s">
        <v>2441</v>
      </c>
      <c r="E805" s="15" t="s">
        <v>2442</v>
      </c>
      <c r="F805" s="15" t="s">
        <v>2443</v>
      </c>
      <c r="G805" s="15" t="s">
        <v>394</v>
      </c>
      <c r="H805" s="43">
        <f t="shared" ref="H805:I805" si="1611">LEN(D805)-LEN(B805)+1</f>
        <v>4</v>
      </c>
      <c r="I805" s="43">
        <f t="shared" si="1611"/>
        <v>3</v>
      </c>
      <c r="J805" s="18">
        <v>1.0</v>
      </c>
      <c r="K805" s="18">
        <v>1.0</v>
      </c>
      <c r="L805" s="5" t="str">
        <f t="shared" ref="L805:M805" si="1612">IFS(J805="-", "-", J805=H805, "Final", J805=1, "Initial", J805&gt;1, "Medial")</f>
        <v>Initial</v>
      </c>
      <c r="M805" s="44" t="str">
        <f t="shared" si="1612"/>
        <v>Initial</v>
      </c>
      <c r="N805" s="5" t="str">
        <f t="shared" si="5"/>
        <v>0</v>
      </c>
      <c r="O805" s="5" t="str">
        <f t="shared" si="6"/>
        <v>bɛ</v>
      </c>
      <c r="P805" s="5" t="str">
        <f t="shared" si="7"/>
        <v>0</v>
      </c>
      <c r="Q805" s="5" t="str">
        <f t="shared" si="8"/>
        <v>bɐ</v>
      </c>
      <c r="R805" s="15" t="s">
        <v>80</v>
      </c>
      <c r="S805" s="15" t="s">
        <v>2444</v>
      </c>
      <c r="T805" s="15" t="s">
        <v>2445</v>
      </c>
      <c r="U805" s="15" t="s">
        <v>22</v>
      </c>
      <c r="V805" s="20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</row>
    <row r="806">
      <c r="A806" s="15" t="s">
        <v>14</v>
      </c>
      <c r="B806" s="15" t="s">
        <v>2439</v>
      </c>
      <c r="C806" s="15" t="s">
        <v>2440</v>
      </c>
      <c r="D806" s="15" t="s">
        <v>2441</v>
      </c>
      <c r="E806" s="15" t="s">
        <v>2442</v>
      </c>
      <c r="F806" s="15" t="s">
        <v>2443</v>
      </c>
      <c r="G806" s="15" t="s">
        <v>62</v>
      </c>
      <c r="H806" s="43">
        <f t="shared" ref="H806:I806" si="1613">LEN(D806)-LEN(B806)+1</f>
        <v>4</v>
      </c>
      <c r="I806" s="43">
        <f t="shared" si="1613"/>
        <v>3</v>
      </c>
      <c r="J806" s="18">
        <v>2.0</v>
      </c>
      <c r="K806" s="18">
        <v>2.0</v>
      </c>
      <c r="L806" s="5" t="str">
        <f t="shared" ref="L806:M806" si="1614">IFS(J806="-", "-", J806=H806, "Final", J806=1, "Initial", J806&gt;1, "Medial")</f>
        <v>Medial</v>
      </c>
      <c r="M806" s="44" t="str">
        <f t="shared" si="1614"/>
        <v>Medial</v>
      </c>
      <c r="N806" s="5" t="str">
        <f t="shared" si="5"/>
        <v>bɛ</v>
      </c>
      <c r="O806" s="5" t="str">
        <f t="shared" si="6"/>
        <v>ˈda</v>
      </c>
      <c r="P806" s="5" t="str">
        <f t="shared" si="7"/>
        <v>ˈbe</v>
      </c>
      <c r="Q806" s="5" t="str">
        <f t="shared" si="8"/>
        <v>-</v>
      </c>
      <c r="R806" s="15"/>
      <c r="S806" s="15" t="s">
        <v>2444</v>
      </c>
      <c r="T806" s="15" t="s">
        <v>2445</v>
      </c>
      <c r="U806" s="15" t="s">
        <v>22</v>
      </c>
      <c r="V806" s="20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</row>
    <row r="807">
      <c r="A807" s="15" t="s">
        <v>14</v>
      </c>
      <c r="B807" s="15" t="s">
        <v>2439</v>
      </c>
      <c r="C807" s="15" t="s">
        <v>2440</v>
      </c>
      <c r="D807" s="15" t="s">
        <v>2441</v>
      </c>
      <c r="E807" s="15" t="s">
        <v>2442</v>
      </c>
      <c r="F807" s="15" t="s">
        <v>1118</v>
      </c>
      <c r="G807" s="15" t="s">
        <v>36</v>
      </c>
      <c r="H807" s="43">
        <f t="shared" ref="H807:I807" si="1615">LEN(D807)-LEN(B807)+1</f>
        <v>4</v>
      </c>
      <c r="I807" s="43">
        <f t="shared" si="1615"/>
        <v>3</v>
      </c>
      <c r="J807" s="18">
        <v>3.0</v>
      </c>
      <c r="K807" s="18" t="s">
        <v>36</v>
      </c>
      <c r="L807" s="5" t="str">
        <f t="shared" ref="L807:M807" si="1616">IFS(J807="-", "-", J807=H807, "Final", J807=1, "Initial", J807&gt;1, "Medial")</f>
        <v>Medial</v>
      </c>
      <c r="M807" s="44" t="str">
        <f t="shared" si="1616"/>
        <v>-</v>
      </c>
      <c r="N807" s="5" t="str">
        <f t="shared" si="5"/>
        <v>bɛ</v>
      </c>
      <c r="O807" s="5" t="str">
        <f t="shared" si="6"/>
        <v>du</v>
      </c>
      <c r="P807" s="5" t="str">
        <f t="shared" si="7"/>
        <v>bɐ</v>
      </c>
      <c r="Q807" s="5" t="str">
        <f t="shared" si="8"/>
        <v>du</v>
      </c>
      <c r="R807" s="15"/>
      <c r="S807" s="15" t="s">
        <v>2444</v>
      </c>
      <c r="T807" s="15" t="s">
        <v>2445</v>
      </c>
      <c r="U807" s="15" t="s">
        <v>22</v>
      </c>
      <c r="V807" s="20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</row>
    <row r="808">
      <c r="A808" s="15" t="s">
        <v>14</v>
      </c>
      <c r="B808" s="15" t="s">
        <v>2439</v>
      </c>
      <c r="C808" s="15" t="s">
        <v>2440</v>
      </c>
      <c r="D808" s="15" t="s">
        <v>2441</v>
      </c>
      <c r="E808" s="15" t="s">
        <v>2442</v>
      </c>
      <c r="F808" s="15" t="s">
        <v>387</v>
      </c>
      <c r="G808" s="15" t="s">
        <v>387</v>
      </c>
      <c r="H808" s="43">
        <f t="shared" ref="H808:I808" si="1617">LEN(D808)-LEN(B808)+1</f>
        <v>4</v>
      </c>
      <c r="I808" s="43">
        <f t="shared" si="1617"/>
        <v>3</v>
      </c>
      <c r="J808" s="18">
        <v>4.0</v>
      </c>
      <c r="K808" s="18">
        <v>3.0</v>
      </c>
      <c r="L808" s="5" t="str">
        <f t="shared" ref="L808:M808" si="1618">IFS(J808="-", "-", J808=H808, "Final", J808=1, "Initial", J808&gt;1, "Medial")</f>
        <v>Final</v>
      </c>
      <c r="M808" s="44" t="str">
        <f t="shared" si="1618"/>
        <v>Final</v>
      </c>
      <c r="N808" s="5" t="str">
        <f t="shared" si="5"/>
        <v>ˈda</v>
      </c>
      <c r="O808" s="5">
        <f t="shared" si="6"/>
        <v>4</v>
      </c>
      <c r="P808" s="5" t="str">
        <f t="shared" si="7"/>
        <v>-</v>
      </c>
      <c r="Q808" s="5">
        <f t="shared" si="8"/>
        <v>3</v>
      </c>
      <c r="R808" s="15"/>
      <c r="S808" s="15" t="s">
        <v>2444</v>
      </c>
      <c r="T808" s="15" t="s">
        <v>2445</v>
      </c>
      <c r="U808" s="15" t="s">
        <v>22</v>
      </c>
      <c r="V808" s="20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</row>
    <row r="809">
      <c r="A809" s="15" t="s">
        <v>14</v>
      </c>
      <c r="B809" s="15" t="s">
        <v>2446</v>
      </c>
      <c r="C809" s="15" t="s">
        <v>684</v>
      </c>
      <c r="D809" s="15" t="s">
        <v>2447</v>
      </c>
      <c r="E809" s="15" t="s">
        <v>686</v>
      </c>
      <c r="F809" s="15"/>
      <c r="G809" s="15"/>
      <c r="H809" s="43">
        <f t="shared" ref="H809:I809" si="1619">LEN(D809)-LEN(B809)+1</f>
        <v>2</v>
      </c>
      <c r="I809" s="43">
        <f t="shared" si="1619"/>
        <v>2</v>
      </c>
      <c r="J809" s="18"/>
      <c r="K809" s="18"/>
      <c r="L809" s="5" t="str">
        <f t="shared" ref="L809:M809" si="1620">IFS(J809="-", "-", J809=H809, "Final", J809=1, "Initial", J809&gt;1, "Medial")</f>
        <v>#N/A</v>
      </c>
      <c r="M809" s="44" t="str">
        <f t="shared" si="1620"/>
        <v>#N/A</v>
      </c>
      <c r="N809" s="5" t="str">
        <f t="shared" si="5"/>
        <v>0</v>
      </c>
      <c r="O809" s="5" t="str">
        <f t="shared" si="6"/>
        <v/>
      </c>
      <c r="P809" s="5" t="str">
        <f t="shared" si="7"/>
        <v>0</v>
      </c>
      <c r="Q809" s="5" t="str">
        <f t="shared" si="8"/>
        <v/>
      </c>
      <c r="R809" s="15"/>
      <c r="S809" s="15" t="s">
        <v>687</v>
      </c>
      <c r="T809" s="15" t="s">
        <v>2448</v>
      </c>
      <c r="U809" s="15" t="s">
        <v>22</v>
      </c>
      <c r="V809" s="15" t="s">
        <v>560</v>
      </c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</row>
    <row r="810">
      <c r="A810" s="3" t="s">
        <v>14</v>
      </c>
      <c r="B810" s="3" t="s">
        <v>2449</v>
      </c>
      <c r="C810" s="3" t="s">
        <v>2450</v>
      </c>
      <c r="D810" s="3" t="s">
        <v>2451</v>
      </c>
      <c r="E810" s="3" t="s">
        <v>2452</v>
      </c>
      <c r="F810" s="3" t="s">
        <v>2453</v>
      </c>
      <c r="G810" s="3" t="s">
        <v>2453</v>
      </c>
      <c r="H810" s="43">
        <f t="shared" ref="H810:I810" si="1621">LEN(D810)-LEN(B810)+1</f>
        <v>2</v>
      </c>
      <c r="I810" s="43">
        <f t="shared" si="1621"/>
        <v>2</v>
      </c>
      <c r="J810" s="4">
        <v>1.0</v>
      </c>
      <c r="K810" s="4">
        <v>1.0</v>
      </c>
      <c r="L810" s="5" t="str">
        <f t="shared" ref="L810:M810" si="1622">IFS(J810="-", "-", J810=H810, "Final", J810=1, "Initial", J810&gt;1, "Medial")</f>
        <v>Initial</v>
      </c>
      <c r="M810" s="44" t="str">
        <f t="shared" si="1622"/>
        <v>Initial</v>
      </c>
      <c r="N810" s="5" t="str">
        <f t="shared" si="5"/>
        <v>0</v>
      </c>
      <c r="O810" s="5" t="str">
        <f t="shared" si="6"/>
        <v>ˈbo</v>
      </c>
      <c r="P810" s="5" t="str">
        <f t="shared" si="7"/>
        <v>0</v>
      </c>
      <c r="Q810" s="5" t="str">
        <f t="shared" si="8"/>
        <v>ˈbu</v>
      </c>
      <c r="R810" s="3"/>
      <c r="S810" s="3" t="s">
        <v>2454</v>
      </c>
      <c r="T810" s="3" t="s">
        <v>2455</v>
      </c>
      <c r="U810" s="3" t="s">
        <v>22</v>
      </c>
      <c r="V810" s="5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>
      <c r="A811" s="3" t="s">
        <v>14</v>
      </c>
      <c r="B811" s="3" t="s">
        <v>2449</v>
      </c>
      <c r="C811" s="3" t="s">
        <v>2450</v>
      </c>
      <c r="D811" s="3" t="s">
        <v>2451</v>
      </c>
      <c r="E811" s="3" t="s">
        <v>2452</v>
      </c>
      <c r="F811" s="3" t="s">
        <v>370</v>
      </c>
      <c r="G811" s="3" t="s">
        <v>369</v>
      </c>
      <c r="H811" s="43">
        <f t="shared" ref="H811:I811" si="1623">LEN(D811)-LEN(B811)+1</f>
        <v>2</v>
      </c>
      <c r="I811" s="43">
        <f t="shared" si="1623"/>
        <v>2</v>
      </c>
      <c r="J811" s="4">
        <v>2.0</v>
      </c>
      <c r="K811" s="4">
        <v>2.0</v>
      </c>
      <c r="L811" s="5" t="str">
        <f t="shared" ref="L811:M811" si="1624">IFS(J811="-", "-", J811=H811, "Final", J811=1, "Initial", J811&gt;1, "Medial")</f>
        <v>Final</v>
      </c>
      <c r="M811" s="44" t="str">
        <f t="shared" si="1624"/>
        <v>Final</v>
      </c>
      <c r="N811" s="5" t="str">
        <f t="shared" si="5"/>
        <v>bo</v>
      </c>
      <c r="O811" s="5">
        <f t="shared" si="6"/>
        <v>2</v>
      </c>
      <c r="P811" s="5" t="str">
        <f t="shared" si="7"/>
        <v>bo</v>
      </c>
      <c r="Q811" s="5">
        <f t="shared" si="8"/>
        <v>2</v>
      </c>
      <c r="R811" s="3"/>
      <c r="S811" s="3" t="s">
        <v>2454</v>
      </c>
      <c r="T811" s="3" t="s">
        <v>2455</v>
      </c>
      <c r="U811" s="3" t="s">
        <v>22</v>
      </c>
      <c r="V811" s="5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>
      <c r="A812" s="3" t="s">
        <v>14</v>
      </c>
      <c r="B812" s="3" t="s">
        <v>2456</v>
      </c>
      <c r="C812" s="3" t="s">
        <v>2457</v>
      </c>
      <c r="D812" s="3" t="s">
        <v>2458</v>
      </c>
      <c r="E812" s="3" t="s">
        <v>2459</v>
      </c>
      <c r="F812" s="3" t="s">
        <v>2453</v>
      </c>
      <c r="G812" s="3" t="s">
        <v>143</v>
      </c>
      <c r="H812" s="43">
        <f t="shared" ref="H812:I812" si="1625">LEN(D812)-LEN(B812)+1</f>
        <v>3</v>
      </c>
      <c r="I812" s="43">
        <f t="shared" si="1625"/>
        <v>3</v>
      </c>
      <c r="J812" s="4">
        <v>1.0</v>
      </c>
      <c r="K812" s="4">
        <v>1.0</v>
      </c>
      <c r="L812" s="5" t="str">
        <f t="shared" ref="L812:M812" si="1626">IFS(J812="-", "-", J812=H812, "Final", J812=1, "Initial", J812&gt;1, "Medial")</f>
        <v>Initial</v>
      </c>
      <c r="M812" s="44" t="str">
        <f t="shared" si="1626"/>
        <v>Initial</v>
      </c>
      <c r="N812" s="5" t="str">
        <f t="shared" si="5"/>
        <v>0</v>
      </c>
      <c r="O812" s="5" t="str">
        <f t="shared" si="6"/>
        <v>ˈni</v>
      </c>
      <c r="P812" s="5" t="str">
        <f t="shared" si="7"/>
        <v>0</v>
      </c>
      <c r="Q812" s="5" t="str">
        <f t="shared" si="8"/>
        <v>ˈni</v>
      </c>
      <c r="R812" s="3" t="s">
        <v>72</v>
      </c>
      <c r="S812" s="3" t="s">
        <v>2460</v>
      </c>
      <c r="T812" s="3" t="s">
        <v>2461</v>
      </c>
      <c r="U812" s="3" t="s">
        <v>22</v>
      </c>
      <c r="V812" s="5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>
      <c r="A813" s="3" t="s">
        <v>14</v>
      </c>
      <c r="B813" s="3" t="s">
        <v>2456</v>
      </c>
      <c r="C813" s="3" t="s">
        <v>2457</v>
      </c>
      <c r="D813" s="3" t="s">
        <v>2458</v>
      </c>
      <c r="E813" s="3" t="s">
        <v>2459</v>
      </c>
      <c r="F813" s="3" t="s">
        <v>1868</v>
      </c>
      <c r="G813" s="3" t="s">
        <v>1868</v>
      </c>
      <c r="H813" s="43">
        <f t="shared" ref="H813:I813" si="1627">LEN(D813)-LEN(B813)+1</f>
        <v>3</v>
      </c>
      <c r="I813" s="43">
        <f t="shared" si="1627"/>
        <v>3</v>
      </c>
      <c r="J813" s="4">
        <v>2.0</v>
      </c>
      <c r="K813" s="4">
        <v>2.0</v>
      </c>
      <c r="L813" s="5" t="str">
        <f t="shared" ref="L813:M813" si="1628">IFS(J813="-", "-", J813=H813, "Final", J813=1, "Initial", J813&gt;1, "Medial")</f>
        <v>Medial</v>
      </c>
      <c r="M813" s="44" t="str">
        <f t="shared" si="1628"/>
        <v>Medial</v>
      </c>
      <c r="N813" s="5" t="str">
        <f t="shared" si="5"/>
        <v>bo</v>
      </c>
      <c r="O813" s="5" t="str">
        <f t="shared" si="6"/>
        <v>tu</v>
      </c>
      <c r="P813" s="5" t="str">
        <f t="shared" si="7"/>
        <v>bu</v>
      </c>
      <c r="Q813" s="5" t="str">
        <f t="shared" si="8"/>
        <v>tu</v>
      </c>
      <c r="R813" s="3"/>
      <c r="S813" s="3" t="s">
        <v>2460</v>
      </c>
      <c r="T813" s="3" t="s">
        <v>2461</v>
      </c>
      <c r="U813" s="3" t="s">
        <v>22</v>
      </c>
      <c r="V813" s="5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>
      <c r="A814" s="3" t="s">
        <v>14</v>
      </c>
      <c r="B814" s="3" t="s">
        <v>2456</v>
      </c>
      <c r="C814" s="3" t="s">
        <v>2457</v>
      </c>
      <c r="D814" s="3" t="s">
        <v>2458</v>
      </c>
      <c r="E814" s="3" t="s">
        <v>2459</v>
      </c>
      <c r="F814" s="3" t="s">
        <v>784</v>
      </c>
      <c r="G814" s="3" t="s">
        <v>784</v>
      </c>
      <c r="H814" s="43">
        <f t="shared" ref="H814:I814" si="1629">LEN(D814)-LEN(B814)+1</f>
        <v>3</v>
      </c>
      <c r="I814" s="43">
        <f t="shared" si="1629"/>
        <v>3</v>
      </c>
      <c r="J814" s="4">
        <v>3.0</v>
      </c>
      <c r="K814" s="4">
        <v>3.0</v>
      </c>
      <c r="L814" s="5" t="str">
        <f t="shared" ref="L814:M814" si="1630">IFS(J814="-", "-", J814=H814, "Final", J814=1, "Initial", J814&gt;1, "Medial")</f>
        <v>Final</v>
      </c>
      <c r="M814" s="44" t="str">
        <f t="shared" si="1630"/>
        <v>Final</v>
      </c>
      <c r="N814" s="5" t="str">
        <f t="shared" si="5"/>
        <v>ˈni</v>
      </c>
      <c r="O814" s="5">
        <f t="shared" si="6"/>
        <v>3</v>
      </c>
      <c r="P814" s="5" t="str">
        <f t="shared" si="7"/>
        <v>ˈni</v>
      </c>
      <c r="Q814" s="5">
        <f t="shared" si="8"/>
        <v>3</v>
      </c>
      <c r="R814" s="3"/>
      <c r="S814" s="3" t="s">
        <v>2460</v>
      </c>
      <c r="T814" s="3" t="s">
        <v>2461</v>
      </c>
      <c r="U814" s="3" t="s">
        <v>22</v>
      </c>
      <c r="V814" s="5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>
      <c r="A815" s="3" t="s">
        <v>14</v>
      </c>
      <c r="B815" s="3" t="s">
        <v>2462</v>
      </c>
      <c r="C815" s="3" t="s">
        <v>2463</v>
      </c>
      <c r="D815" s="3" t="s">
        <v>2464</v>
      </c>
      <c r="E815" s="3" t="s">
        <v>2465</v>
      </c>
      <c r="F815" s="3" t="s">
        <v>2466</v>
      </c>
      <c r="G815" s="3" t="s">
        <v>172</v>
      </c>
      <c r="H815" s="43">
        <f t="shared" ref="H815:I815" si="1631">LEN(D815)-LEN(B815)+1</f>
        <v>2</v>
      </c>
      <c r="I815" s="43">
        <f t="shared" si="1631"/>
        <v>3</v>
      </c>
      <c r="J815" s="4">
        <v>1.0</v>
      </c>
      <c r="K815" s="4">
        <v>1.0</v>
      </c>
      <c r="L815" s="5" t="str">
        <f t="shared" ref="L815:M815" si="1632">IFS(J815="-", "-", J815=H815, "Final", J815=1, "Initial", J815&gt;1, "Medial")</f>
        <v>Initial</v>
      </c>
      <c r="M815" s="44" t="str">
        <f t="shared" si="1632"/>
        <v>Initial</v>
      </c>
      <c r="N815" s="5" t="str">
        <f t="shared" si="5"/>
        <v>0</v>
      </c>
      <c r="O815" s="5" t="str">
        <f t="shared" si="6"/>
        <v>-</v>
      </c>
      <c r="P815" s="5" t="str">
        <f t="shared" si="7"/>
        <v>0</v>
      </c>
      <c r="Q815" s="5" t="str">
        <f t="shared" si="8"/>
        <v>ˈɾɐj</v>
      </c>
      <c r="R815" s="3" t="s">
        <v>80</v>
      </c>
      <c r="S815" s="3" t="s">
        <v>2467</v>
      </c>
      <c r="T815" s="3" t="s">
        <v>2468</v>
      </c>
      <c r="U815" s="3" t="s">
        <v>22</v>
      </c>
      <c r="V815" s="5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>
      <c r="A816" s="3" t="s">
        <v>14</v>
      </c>
      <c r="B816" s="3" t="s">
        <v>2462</v>
      </c>
      <c r="C816" s="3" t="s">
        <v>2463</v>
      </c>
      <c r="D816" s="3" t="s">
        <v>2464</v>
      </c>
      <c r="E816" s="3" t="s">
        <v>2465</v>
      </c>
      <c r="F816" s="3" t="s">
        <v>36</v>
      </c>
      <c r="G816" s="3" t="s">
        <v>2061</v>
      </c>
      <c r="H816" s="43">
        <f t="shared" ref="H816:I816" si="1633">LEN(D816)-LEN(B816)+1</f>
        <v>2</v>
      </c>
      <c r="I816" s="43">
        <f t="shared" si="1633"/>
        <v>3</v>
      </c>
      <c r="J816" s="4" t="s">
        <v>36</v>
      </c>
      <c r="K816" s="4">
        <v>2.0</v>
      </c>
      <c r="L816" s="5" t="str">
        <f t="shared" ref="L816:M816" si="1634">IFS(J816="-", "-", J816=H816, "Final", J816=1, "Initial", J816&gt;1, "Medial")</f>
        <v>-</v>
      </c>
      <c r="M816" s="44" t="str">
        <f t="shared" si="1634"/>
        <v>Medial</v>
      </c>
      <c r="N816" s="5" t="str">
        <f t="shared" si="5"/>
        <v>ˈde:</v>
      </c>
      <c r="O816" s="5" t="str">
        <f t="shared" si="6"/>
        <v>tu</v>
      </c>
      <c r="P816" s="5" t="str">
        <f t="shared" si="7"/>
        <v>di</v>
      </c>
      <c r="Q816" s="5" t="str">
        <f t="shared" si="8"/>
        <v>tu</v>
      </c>
      <c r="R816" s="3"/>
      <c r="S816" s="3" t="s">
        <v>2467</v>
      </c>
      <c r="T816" s="3" t="s">
        <v>2468</v>
      </c>
      <c r="U816" s="3" t="s">
        <v>22</v>
      </c>
      <c r="V816" s="5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>
      <c r="A817" s="3" t="s">
        <v>14</v>
      </c>
      <c r="B817" s="3" t="s">
        <v>2462</v>
      </c>
      <c r="C817" s="3" t="s">
        <v>2463</v>
      </c>
      <c r="D817" s="3" t="s">
        <v>2464</v>
      </c>
      <c r="E817" s="3" t="s">
        <v>2465</v>
      </c>
      <c r="F817" s="3" t="s">
        <v>784</v>
      </c>
      <c r="G817" s="3" t="s">
        <v>784</v>
      </c>
      <c r="H817" s="43">
        <f t="shared" ref="H817:I817" si="1635">LEN(D817)-LEN(B817)+1</f>
        <v>2</v>
      </c>
      <c r="I817" s="43">
        <f t="shared" si="1635"/>
        <v>3</v>
      </c>
      <c r="J817" s="4">
        <v>2.0</v>
      </c>
      <c r="K817" s="4">
        <v>3.0</v>
      </c>
      <c r="L817" s="5" t="str">
        <f t="shared" ref="L817:M817" si="1636">IFS(J817="-", "-", J817=H817, "Final", J817=1, "Initial", J817&gt;1, "Medial")</f>
        <v>Final</v>
      </c>
      <c r="M817" s="44" t="str">
        <f t="shared" si="1636"/>
        <v>Final</v>
      </c>
      <c r="N817" s="5" t="str">
        <f t="shared" si="5"/>
        <v>-</v>
      </c>
      <c r="O817" s="5">
        <f t="shared" si="6"/>
        <v>2</v>
      </c>
      <c r="P817" s="5" t="str">
        <f t="shared" si="7"/>
        <v>ˈɾɐj</v>
      </c>
      <c r="Q817" s="5">
        <f t="shared" si="8"/>
        <v>3</v>
      </c>
      <c r="R817" s="3"/>
      <c r="S817" s="3" t="s">
        <v>2467</v>
      </c>
      <c r="T817" s="3" t="s">
        <v>2468</v>
      </c>
      <c r="U817" s="3" t="s">
        <v>22</v>
      </c>
      <c r="V817" s="5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>
      <c r="A818" s="3" t="s">
        <v>14</v>
      </c>
      <c r="B818" s="3" t="s">
        <v>2469</v>
      </c>
      <c r="C818" s="3" t="s">
        <v>2470</v>
      </c>
      <c r="D818" s="3" t="s">
        <v>2471</v>
      </c>
      <c r="E818" s="3" t="s">
        <v>2472</v>
      </c>
      <c r="F818" s="3" t="s">
        <v>128</v>
      </c>
      <c r="G818" s="17" t="s">
        <v>36</v>
      </c>
      <c r="H818" s="43">
        <f t="shared" ref="H818:I818" si="1637">LEN(D818)-LEN(B818)+1</f>
        <v>3</v>
      </c>
      <c r="I818" s="43">
        <f t="shared" si="1637"/>
        <v>2</v>
      </c>
      <c r="J818" s="4">
        <v>1.0</v>
      </c>
      <c r="K818" s="4" t="s">
        <v>36</v>
      </c>
      <c r="L818" s="5" t="str">
        <f t="shared" ref="L818:M818" si="1638">IFS(J818="-", "-", J818=H818, "Final", J818=1, "Initial", J818&gt;1, "Medial")</f>
        <v>Initial</v>
      </c>
      <c r="M818" s="44" t="str">
        <f t="shared" si="1638"/>
        <v>-</v>
      </c>
      <c r="N818" s="5" t="str">
        <f t="shared" si="5"/>
        <v>0</v>
      </c>
      <c r="O818" s="5" t="str">
        <f t="shared" si="6"/>
        <v>ˈdo</v>
      </c>
      <c r="P818" s="5" t="str">
        <f t="shared" si="7"/>
        <v>0</v>
      </c>
      <c r="Q818" s="5" t="str">
        <f t="shared" si="8"/>
        <v>ˈdoj</v>
      </c>
      <c r="R818" s="3"/>
      <c r="S818" s="3" t="s">
        <v>2473</v>
      </c>
      <c r="T818" s="3" t="s">
        <v>2474</v>
      </c>
      <c r="U818" s="3" t="s">
        <v>22</v>
      </c>
      <c r="V818" s="5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>
      <c r="A819" s="3" t="s">
        <v>14</v>
      </c>
      <c r="B819" s="3" t="s">
        <v>2469</v>
      </c>
      <c r="C819" s="3" t="s">
        <v>2470</v>
      </c>
      <c r="D819" s="3" t="s">
        <v>2471</v>
      </c>
      <c r="E819" s="3" t="s">
        <v>2472</v>
      </c>
      <c r="F819" s="3" t="s">
        <v>878</v>
      </c>
      <c r="G819" s="3" t="s">
        <v>2475</v>
      </c>
      <c r="H819" s="43">
        <f t="shared" ref="H819:I819" si="1639">LEN(D819)-LEN(B819)+1</f>
        <v>3</v>
      </c>
      <c r="I819" s="43">
        <f t="shared" si="1639"/>
        <v>2</v>
      </c>
      <c r="J819" s="4">
        <v>2.0</v>
      </c>
      <c r="K819" s="4">
        <v>1.0</v>
      </c>
      <c r="L819" s="5" t="str">
        <f t="shared" ref="L819:M819" si="1640">IFS(J819="-", "-", J819=H819, "Final", J819=1, "Initial", J819&gt;1, "Medial")</f>
        <v>Medial</v>
      </c>
      <c r="M819" s="44" t="str">
        <f t="shared" si="1640"/>
        <v>Initial</v>
      </c>
      <c r="N819" s="5" t="str">
        <f t="shared" si="5"/>
        <v>u</v>
      </c>
      <c r="O819" s="5" t="str">
        <f t="shared" si="6"/>
        <v>do</v>
      </c>
      <c r="P819" s="5" t="str">
        <f t="shared" si="7"/>
        <v>-</v>
      </c>
      <c r="Q819" s="5" t="str">
        <f t="shared" si="8"/>
        <v>du</v>
      </c>
      <c r="R819" s="3"/>
      <c r="S819" s="3" t="s">
        <v>2473</v>
      </c>
      <c r="T819" s="3" t="s">
        <v>2474</v>
      </c>
      <c r="U819" s="3" t="s">
        <v>22</v>
      </c>
      <c r="V819" s="5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>
      <c r="A820" s="3" t="s">
        <v>14</v>
      </c>
      <c r="B820" s="3" t="s">
        <v>2469</v>
      </c>
      <c r="C820" s="3" t="s">
        <v>2470</v>
      </c>
      <c r="D820" s="3" t="s">
        <v>2471</v>
      </c>
      <c r="E820" s="3" t="s">
        <v>2472</v>
      </c>
      <c r="F820" s="3" t="s">
        <v>2227</v>
      </c>
      <c r="G820" s="3" t="s">
        <v>387</v>
      </c>
      <c r="H820" s="43">
        <f t="shared" ref="H820:I820" si="1641">LEN(D820)-LEN(B820)+1</f>
        <v>3</v>
      </c>
      <c r="I820" s="43">
        <f t="shared" si="1641"/>
        <v>2</v>
      </c>
      <c r="J820" s="4">
        <v>3.0</v>
      </c>
      <c r="K820" s="4">
        <v>2.0</v>
      </c>
      <c r="L820" s="5" t="str">
        <f t="shared" ref="L820:M820" si="1642">IFS(J820="-", "-", J820=H820, "Final", J820=1, "Initial", J820&gt;1, "Medial")</f>
        <v>Final</v>
      </c>
      <c r="M820" s="44" t="str">
        <f t="shared" si="1642"/>
        <v>Final</v>
      </c>
      <c r="N820" s="5" t="str">
        <f t="shared" si="5"/>
        <v>ˈdo</v>
      </c>
      <c r="O820" s="5">
        <f t="shared" si="6"/>
        <v>3</v>
      </c>
      <c r="P820" s="5" t="str">
        <f t="shared" si="7"/>
        <v>ˈdoj</v>
      </c>
      <c r="Q820" s="5">
        <f t="shared" si="8"/>
        <v>2</v>
      </c>
      <c r="R820" s="3"/>
      <c r="S820" s="3" t="s">
        <v>2473</v>
      </c>
      <c r="T820" s="3" t="s">
        <v>2474</v>
      </c>
      <c r="U820" s="3" t="s">
        <v>22</v>
      </c>
      <c r="V820" s="5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>
      <c r="A821" s="3" t="s">
        <v>14</v>
      </c>
      <c r="B821" s="3" t="s">
        <v>2476</v>
      </c>
      <c r="C821" s="3" t="s">
        <v>2476</v>
      </c>
      <c r="D821" s="3" t="s">
        <v>2477</v>
      </c>
      <c r="E821" s="3" t="s">
        <v>2477</v>
      </c>
      <c r="F821" s="3" t="s">
        <v>2478</v>
      </c>
      <c r="G821" s="3" t="s">
        <v>2478</v>
      </c>
      <c r="H821" s="43">
        <f t="shared" ref="H821:I821" si="1643">LEN(D821)-LEN(B821)+1</f>
        <v>2</v>
      </c>
      <c r="I821" s="43">
        <f t="shared" si="1643"/>
        <v>2</v>
      </c>
      <c r="J821" s="4">
        <v>1.0</v>
      </c>
      <c r="K821" s="4">
        <v>1.0</v>
      </c>
      <c r="L821" s="5" t="str">
        <f t="shared" ref="L821:M821" si="1644">IFS(J821="-", "-", J821=H821, "Final", J821=1, "Initial", J821&gt;1, "Medial")</f>
        <v>Initial</v>
      </c>
      <c r="M821" s="44" t="str">
        <f t="shared" si="1644"/>
        <v>Initial</v>
      </c>
      <c r="N821" s="5" t="str">
        <f t="shared" si="5"/>
        <v>0</v>
      </c>
      <c r="O821" s="5" t="str">
        <f t="shared" si="6"/>
        <v>ju</v>
      </c>
      <c r="P821" s="5" t="str">
        <f t="shared" si="7"/>
        <v>0</v>
      </c>
      <c r="Q821" s="5" t="str">
        <f t="shared" si="8"/>
        <v>ju</v>
      </c>
      <c r="R821" s="3"/>
      <c r="S821" s="3" t="s">
        <v>2479</v>
      </c>
      <c r="T821" s="3" t="s">
        <v>2480</v>
      </c>
      <c r="U821" s="3" t="s">
        <v>22</v>
      </c>
      <c r="V821" s="5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>
      <c r="A822" s="3" t="s">
        <v>14</v>
      </c>
      <c r="B822" s="3" t="s">
        <v>2476</v>
      </c>
      <c r="C822" s="3" t="s">
        <v>2476</v>
      </c>
      <c r="D822" s="3" t="s">
        <v>2477</v>
      </c>
      <c r="E822" s="3" t="s">
        <v>2477</v>
      </c>
      <c r="F822" s="3" t="s">
        <v>23</v>
      </c>
      <c r="G822" s="3" t="s">
        <v>23</v>
      </c>
      <c r="H822" s="43">
        <f t="shared" ref="H822:I822" si="1645">LEN(D822)-LEN(B822)+1</f>
        <v>2</v>
      </c>
      <c r="I822" s="43">
        <f t="shared" si="1645"/>
        <v>2</v>
      </c>
      <c r="J822" s="4">
        <v>2.0</v>
      </c>
      <c r="K822" s="4">
        <v>2.0</v>
      </c>
      <c r="L822" s="5" t="str">
        <f t="shared" ref="L822:M822" si="1646">IFS(J822="-", "-", J822=H822, "Final", J822=1, "Initial", J822&gt;1, "Medial")</f>
        <v>Final</v>
      </c>
      <c r="M822" s="44" t="str">
        <f t="shared" si="1646"/>
        <v>Final</v>
      </c>
      <c r="N822" s="5" t="str">
        <f t="shared" si="5"/>
        <v>ˈfe</v>
      </c>
      <c r="O822" s="5">
        <f t="shared" si="6"/>
        <v>2</v>
      </c>
      <c r="P822" s="5" t="str">
        <f t="shared" si="7"/>
        <v>ˈfe</v>
      </c>
      <c r="Q822" s="5">
        <f t="shared" si="8"/>
        <v>2</v>
      </c>
      <c r="R822" s="3"/>
      <c r="S822" s="3" t="s">
        <v>2479</v>
      </c>
      <c r="T822" s="3" t="s">
        <v>2480</v>
      </c>
      <c r="U822" s="3" t="s">
        <v>22</v>
      </c>
      <c r="V822" s="5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>
      <c r="A823" s="3" t="s">
        <v>14</v>
      </c>
      <c r="B823" s="3" t="s">
        <v>2481</v>
      </c>
      <c r="C823" s="3" t="s">
        <v>2482</v>
      </c>
      <c r="D823" s="3" t="s">
        <v>2483</v>
      </c>
      <c r="E823" s="3" t="s">
        <v>2484</v>
      </c>
      <c r="F823" s="3" t="s">
        <v>1146</v>
      </c>
      <c r="G823" s="3" t="s">
        <v>2485</v>
      </c>
      <c r="H823" s="43">
        <f t="shared" ref="H823:I823" si="1647">LEN(D823)-LEN(B823)+1</f>
        <v>2</v>
      </c>
      <c r="I823" s="43">
        <f t="shared" si="1647"/>
        <v>2</v>
      </c>
      <c r="J823" s="4">
        <v>1.0</v>
      </c>
      <c r="K823" s="4">
        <v>1.0</v>
      </c>
      <c r="L823" s="5" t="str">
        <f t="shared" ref="L823:M823" si="1648">IFS(J823="-", "-", J823=H823, "Final", J823=1, "Initial", J823&gt;1, "Medial")</f>
        <v>Initial</v>
      </c>
      <c r="M823" s="44" t="str">
        <f t="shared" si="1648"/>
        <v>Initial</v>
      </c>
      <c r="N823" s="5" t="str">
        <f t="shared" si="5"/>
        <v>0</v>
      </c>
      <c r="O823" s="5" t="str">
        <f t="shared" si="6"/>
        <v>ku</v>
      </c>
      <c r="P823" s="5" t="str">
        <f t="shared" si="7"/>
        <v>0</v>
      </c>
      <c r="Q823" s="5" t="str">
        <f t="shared" si="8"/>
        <v>ku</v>
      </c>
      <c r="R823" s="3"/>
      <c r="S823" s="3" t="s">
        <v>2486</v>
      </c>
      <c r="T823" s="3" t="s">
        <v>2487</v>
      </c>
      <c r="U823" s="3" t="s">
        <v>22</v>
      </c>
      <c r="V823" s="5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>
      <c r="A824" s="3" t="s">
        <v>14</v>
      </c>
      <c r="B824" s="3" t="s">
        <v>2481</v>
      </c>
      <c r="C824" s="3" t="s">
        <v>2482</v>
      </c>
      <c r="D824" s="3" t="s">
        <v>2483</v>
      </c>
      <c r="E824" s="3" t="s">
        <v>2484</v>
      </c>
      <c r="F824" s="3" t="s">
        <v>425</v>
      </c>
      <c r="G824" s="3" t="s">
        <v>425</v>
      </c>
      <c r="H824" s="43">
        <f t="shared" ref="H824:I824" si="1649">LEN(D824)-LEN(B824)+1</f>
        <v>2</v>
      </c>
      <c r="I824" s="43">
        <f t="shared" si="1649"/>
        <v>2</v>
      </c>
      <c r="J824" s="4">
        <v>2.0</v>
      </c>
      <c r="K824" s="4">
        <v>2.0</v>
      </c>
      <c r="L824" s="5" t="str">
        <f t="shared" ref="L824:M824" si="1650">IFS(J824="-", "-", J824=H824, "Final", J824=1, "Initial", J824&gt;1, "Medial")</f>
        <v>Final</v>
      </c>
      <c r="M824" s="44" t="str">
        <f t="shared" si="1650"/>
        <v>Final</v>
      </c>
      <c r="N824" s="5" t="str">
        <f t="shared" si="5"/>
        <v>ˈfa:</v>
      </c>
      <c r="O824" s="5">
        <f t="shared" si="6"/>
        <v>2</v>
      </c>
      <c r="P824" s="5" t="str">
        <f t="shared" si="7"/>
        <v>ˈfɾa</v>
      </c>
      <c r="Q824" s="5">
        <f t="shared" si="8"/>
        <v>2</v>
      </c>
      <c r="R824" s="3"/>
      <c r="S824" s="3" t="s">
        <v>2486</v>
      </c>
      <c r="T824" s="3" t="s">
        <v>2487</v>
      </c>
      <c r="U824" s="3" t="s">
        <v>22</v>
      </c>
      <c r="V824" s="5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>
      <c r="A825" s="3" t="s">
        <v>14</v>
      </c>
      <c r="B825" s="3" t="s">
        <v>2488</v>
      </c>
      <c r="C825" s="3" t="s">
        <v>2489</v>
      </c>
      <c r="D825" s="3" t="s">
        <v>2490</v>
      </c>
      <c r="E825" s="3" t="s">
        <v>2491</v>
      </c>
      <c r="F825" s="3" t="s">
        <v>2492</v>
      </c>
      <c r="G825" s="3" t="s">
        <v>2493</v>
      </c>
      <c r="H825" s="43">
        <f t="shared" ref="H825:I825" si="1651">LEN(D825)-LEN(B825)+1</f>
        <v>2</v>
      </c>
      <c r="I825" s="43">
        <f t="shared" si="1651"/>
        <v>2</v>
      </c>
      <c r="J825" s="4">
        <v>1.0</v>
      </c>
      <c r="K825" s="4">
        <v>1.0</v>
      </c>
      <c r="L825" s="5" t="str">
        <f t="shared" ref="L825:M825" si="1652">IFS(J825="-", "-", J825=H825, "Final", J825=1, "Initial", J825&gt;1, "Medial")</f>
        <v>Initial</v>
      </c>
      <c r="M825" s="44" t="str">
        <f t="shared" si="1652"/>
        <v>Initial</v>
      </c>
      <c r="N825" s="5" t="str">
        <f t="shared" si="5"/>
        <v>0</v>
      </c>
      <c r="O825" s="5" t="str">
        <f t="shared" si="6"/>
        <v>ku</v>
      </c>
      <c r="P825" s="5" t="str">
        <f t="shared" si="7"/>
        <v>0</v>
      </c>
      <c r="Q825" s="5" t="str">
        <f t="shared" si="8"/>
        <v>ku</v>
      </c>
      <c r="R825" s="3"/>
      <c r="S825" s="3" t="s">
        <v>2494</v>
      </c>
      <c r="T825" s="3" t="s">
        <v>2495</v>
      </c>
      <c r="U825" s="3" t="s">
        <v>22</v>
      </c>
      <c r="V825" s="5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>
      <c r="A826" s="3" t="s">
        <v>14</v>
      </c>
      <c r="B826" s="3" t="s">
        <v>2488</v>
      </c>
      <c r="C826" s="3" t="s">
        <v>2489</v>
      </c>
      <c r="D826" s="3" t="s">
        <v>2490</v>
      </c>
      <c r="E826" s="3" t="s">
        <v>2491</v>
      </c>
      <c r="F826" s="3" t="s">
        <v>425</v>
      </c>
      <c r="G826" s="3" t="s">
        <v>425</v>
      </c>
      <c r="H826" s="43">
        <f t="shared" ref="H826:I826" si="1653">LEN(D826)-LEN(B826)+1</f>
        <v>2</v>
      </c>
      <c r="I826" s="43">
        <f t="shared" si="1653"/>
        <v>2</v>
      </c>
      <c r="J826" s="4">
        <v>2.0</v>
      </c>
      <c r="K826" s="4">
        <v>2.0</v>
      </c>
      <c r="L826" s="5" t="str">
        <f t="shared" ref="L826:M826" si="1654">IFS(J826="-", "-", J826=H826, "Final", J826=1, "Initial", J826&gt;1, "Medial")</f>
        <v>Final</v>
      </c>
      <c r="M826" s="44" t="str">
        <f t="shared" si="1654"/>
        <v>Final</v>
      </c>
      <c r="N826" s="5" t="str">
        <f t="shared" si="5"/>
        <v>ˈfɛʃ</v>
      </c>
      <c r="O826" s="5">
        <f t="shared" si="6"/>
        <v>2</v>
      </c>
      <c r="P826" s="5" t="str">
        <f t="shared" si="7"/>
        <v>ˈfɾeʃ</v>
      </c>
      <c r="Q826" s="5">
        <f t="shared" si="8"/>
        <v>2</v>
      </c>
      <c r="R826" s="3"/>
      <c r="S826" s="3" t="s">
        <v>2494</v>
      </c>
      <c r="T826" s="3" t="s">
        <v>2495</v>
      </c>
      <c r="U826" s="3" t="s">
        <v>22</v>
      </c>
      <c r="V826" s="5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>
      <c r="A827" s="3" t="s">
        <v>14</v>
      </c>
      <c r="B827" s="3" t="s">
        <v>2496</v>
      </c>
      <c r="C827" s="3" t="s">
        <v>2497</v>
      </c>
      <c r="D827" s="3" t="s">
        <v>2498</v>
      </c>
      <c r="E827" s="3" t="s">
        <v>2499</v>
      </c>
      <c r="F827" s="3" t="s">
        <v>2500</v>
      </c>
      <c r="G827" s="3" t="s">
        <v>2501</v>
      </c>
      <c r="H827" s="43">
        <f t="shared" ref="H827:I827" si="1655">LEN(D827)-LEN(B827)+1</f>
        <v>2</v>
      </c>
      <c r="I827" s="43">
        <f t="shared" si="1655"/>
        <v>2</v>
      </c>
      <c r="J827" s="4">
        <v>1.0</v>
      </c>
      <c r="K827" s="4">
        <v>1.0</v>
      </c>
      <c r="L827" s="5" t="str">
        <f t="shared" ref="L827:M827" si="1656">IFS(J827="-", "-", J827=H827, "Final", J827=1, "Initial", J827&gt;1, "Medial")</f>
        <v>Initial</v>
      </c>
      <c r="M827" s="44" t="str">
        <f t="shared" si="1656"/>
        <v>Initial</v>
      </c>
      <c r="N827" s="5" t="str">
        <f t="shared" si="5"/>
        <v>0</v>
      </c>
      <c r="O827" s="5" t="str">
        <f t="shared" si="6"/>
        <v>t̠ʃi</v>
      </c>
      <c r="P827" s="5" t="str">
        <f t="shared" si="7"/>
        <v>0</v>
      </c>
      <c r="Q827" s="5" t="str">
        <f t="shared" si="8"/>
        <v>tɨ</v>
      </c>
      <c r="R827" s="3"/>
      <c r="S827" s="3" t="s">
        <v>2502</v>
      </c>
      <c r="T827" s="3" t="s">
        <v>2503</v>
      </c>
      <c r="U827" s="3" t="s">
        <v>22</v>
      </c>
      <c r="V827" s="5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>
      <c r="A828" s="3" t="s">
        <v>14</v>
      </c>
      <c r="B828" s="3" t="s">
        <v>2496</v>
      </c>
      <c r="C828" s="3" t="s">
        <v>2497</v>
      </c>
      <c r="D828" s="3" t="s">
        <v>2498</v>
      </c>
      <c r="E828" s="3" t="s">
        <v>2499</v>
      </c>
      <c r="F828" s="3" t="s">
        <v>55</v>
      </c>
      <c r="G828" s="3" t="s">
        <v>56</v>
      </c>
      <c r="H828" s="43">
        <f t="shared" ref="H828:I828" si="1657">LEN(D828)-LEN(B828)+1</f>
        <v>2</v>
      </c>
      <c r="I828" s="43">
        <f t="shared" si="1657"/>
        <v>2</v>
      </c>
      <c r="J828" s="4">
        <v>2.0</v>
      </c>
      <c r="K828" s="4">
        <v>2.0</v>
      </c>
      <c r="L828" s="5" t="str">
        <f t="shared" ref="L828:M828" si="1658">IFS(J828="-", "-", J828=H828, "Final", J828=1, "Initial", J828&gt;1, "Medial")</f>
        <v>Final</v>
      </c>
      <c r="M828" s="44" t="str">
        <f t="shared" si="1658"/>
        <v>Final</v>
      </c>
      <c r="N828" s="5" t="str">
        <f t="shared" si="5"/>
        <v>ˈfɔ</v>
      </c>
      <c r="O828" s="5">
        <f t="shared" si="6"/>
        <v>2</v>
      </c>
      <c r="P828" s="5" t="str">
        <f t="shared" si="7"/>
        <v>ˈfɔɾ</v>
      </c>
      <c r="Q828" s="5">
        <f t="shared" si="8"/>
        <v>2</v>
      </c>
      <c r="R828" s="3"/>
      <c r="S828" s="3" t="s">
        <v>2502</v>
      </c>
      <c r="T828" s="3" t="s">
        <v>2503</v>
      </c>
      <c r="U828" s="3" t="s">
        <v>22</v>
      </c>
      <c r="V828" s="5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>
      <c r="A829" s="3" t="s">
        <v>14</v>
      </c>
      <c r="B829" s="3" t="s">
        <v>2504</v>
      </c>
      <c r="C829" s="3" t="s">
        <v>2505</v>
      </c>
      <c r="D829" s="3" t="s">
        <v>2506</v>
      </c>
      <c r="E829" s="3" t="s">
        <v>2507</v>
      </c>
      <c r="F829" s="3" t="s">
        <v>128</v>
      </c>
      <c r="G829" s="17" t="s">
        <v>36</v>
      </c>
      <c r="H829" s="43">
        <f t="shared" ref="H829:I829" si="1659">LEN(D829)-LEN(B829)+1</f>
        <v>3</v>
      </c>
      <c r="I829" s="43">
        <f t="shared" si="1659"/>
        <v>2</v>
      </c>
      <c r="J829" s="4">
        <v>1.0</v>
      </c>
      <c r="K829" s="4" t="s">
        <v>36</v>
      </c>
      <c r="L829" s="5" t="str">
        <f t="shared" ref="L829:M829" si="1660">IFS(J829="-", "-", J829=H829, "Final", J829=1, "Initial", J829&gt;1, "Medial")</f>
        <v>Initial</v>
      </c>
      <c r="M829" s="44" t="str">
        <f t="shared" si="1660"/>
        <v>-</v>
      </c>
      <c r="N829" s="5" t="str">
        <f t="shared" si="5"/>
        <v>0</v>
      </c>
      <c r="O829" s="5" t="str">
        <f t="shared" si="6"/>
        <v>ˈfũ</v>
      </c>
      <c r="P829" s="5" t="str">
        <f t="shared" si="7"/>
        <v>0</v>
      </c>
      <c r="Q829" s="5" t="str">
        <f t="shared" si="8"/>
        <v>ˈfũ</v>
      </c>
      <c r="R829" s="3"/>
      <c r="S829" s="3" t="s">
        <v>2508</v>
      </c>
      <c r="T829" s="3" t="s">
        <v>2509</v>
      </c>
      <c r="U829" s="3" t="s">
        <v>22</v>
      </c>
      <c r="V829" s="5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>
      <c r="A830" s="3" t="s">
        <v>14</v>
      </c>
      <c r="B830" s="3" t="s">
        <v>2504</v>
      </c>
      <c r="C830" s="3" t="s">
        <v>2505</v>
      </c>
      <c r="D830" s="3" t="s">
        <v>2506</v>
      </c>
      <c r="E830" s="3" t="s">
        <v>2507</v>
      </c>
      <c r="F830" s="3" t="s">
        <v>1855</v>
      </c>
      <c r="G830" s="3" t="s">
        <v>1855</v>
      </c>
      <c r="H830" s="43">
        <f t="shared" ref="H830:I830" si="1661">LEN(D830)-LEN(B830)+1</f>
        <v>3</v>
      </c>
      <c r="I830" s="43">
        <f t="shared" si="1661"/>
        <v>2</v>
      </c>
      <c r="J830" s="4">
        <v>2.0</v>
      </c>
      <c r="K830" s="4">
        <v>1.0</v>
      </c>
      <c r="L830" s="5" t="str">
        <f t="shared" ref="L830:M830" si="1662">IFS(J830="-", "-", J830=H830, "Final", J830=1, "Initial", J830&gt;1, "Medial")</f>
        <v>Medial</v>
      </c>
      <c r="M830" s="44" t="str">
        <f t="shared" si="1662"/>
        <v>Initial</v>
      </c>
      <c r="N830" s="5" t="str">
        <f t="shared" si="5"/>
        <v>u</v>
      </c>
      <c r="O830" s="5" t="str">
        <f t="shared" si="6"/>
        <v>du</v>
      </c>
      <c r="P830" s="5" t="str">
        <f t="shared" si="7"/>
        <v>-</v>
      </c>
      <c r="Q830" s="5" t="str">
        <f t="shared" si="8"/>
        <v>du</v>
      </c>
      <c r="R830" s="3"/>
      <c r="S830" s="3" t="s">
        <v>2508</v>
      </c>
      <c r="T830" s="3" t="s">
        <v>2509</v>
      </c>
      <c r="U830" s="3" t="s">
        <v>22</v>
      </c>
      <c r="V830" s="5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>
      <c r="A831" s="3" t="s">
        <v>14</v>
      </c>
      <c r="B831" s="3" t="s">
        <v>2504</v>
      </c>
      <c r="C831" s="3" t="s">
        <v>2505</v>
      </c>
      <c r="D831" s="3" t="s">
        <v>2506</v>
      </c>
      <c r="E831" s="3" t="s">
        <v>2507</v>
      </c>
      <c r="F831" s="3" t="s">
        <v>387</v>
      </c>
      <c r="G831" s="3" t="s">
        <v>387</v>
      </c>
      <c r="H831" s="43">
        <f t="shared" ref="H831:I831" si="1663">LEN(D831)-LEN(B831)+1</f>
        <v>3</v>
      </c>
      <c r="I831" s="43">
        <f t="shared" si="1663"/>
        <v>2</v>
      </c>
      <c r="J831" s="4">
        <v>3.0</v>
      </c>
      <c r="K831" s="4">
        <v>2.0</v>
      </c>
      <c r="L831" s="5" t="str">
        <f t="shared" ref="L831:M831" si="1664">IFS(J831="-", "-", J831=H831, "Final", J831=1, "Initial", J831&gt;1, "Medial")</f>
        <v>Final</v>
      </c>
      <c r="M831" s="44" t="str">
        <f t="shared" si="1664"/>
        <v>Final</v>
      </c>
      <c r="N831" s="5" t="str">
        <f t="shared" si="5"/>
        <v>ˈfũ</v>
      </c>
      <c r="O831" s="5">
        <f t="shared" si="6"/>
        <v>3</v>
      </c>
      <c r="P831" s="5" t="str">
        <f t="shared" si="7"/>
        <v>ˈfũ</v>
      </c>
      <c r="Q831" s="5">
        <f t="shared" si="8"/>
        <v>2</v>
      </c>
      <c r="R831" s="3"/>
      <c r="S831" s="3" t="s">
        <v>2508</v>
      </c>
      <c r="T831" s="3" t="s">
        <v>2509</v>
      </c>
      <c r="U831" s="3" t="s">
        <v>22</v>
      </c>
      <c r="V831" s="5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>
      <c r="A832" s="15" t="s">
        <v>14</v>
      </c>
      <c r="B832" s="15" t="s">
        <v>2510</v>
      </c>
      <c r="C832" s="15" t="s">
        <v>2511</v>
      </c>
      <c r="D832" s="15" t="s">
        <v>2512</v>
      </c>
      <c r="E832" s="15" t="s">
        <v>2513</v>
      </c>
      <c r="F832" s="15" t="s">
        <v>128</v>
      </c>
      <c r="G832" s="15" t="s">
        <v>36</v>
      </c>
      <c r="H832" s="43">
        <f t="shared" ref="H832:I832" si="1665">LEN(D832)-LEN(B832)+1</f>
        <v>3</v>
      </c>
      <c r="I832" s="43">
        <f t="shared" si="1665"/>
        <v>2</v>
      </c>
      <c r="J832" s="18">
        <v>1.0</v>
      </c>
      <c r="K832" s="18" t="s">
        <v>36</v>
      </c>
      <c r="L832" s="5" t="str">
        <f t="shared" ref="L832:M832" si="1666">IFS(J832="-", "-", J832=H832, "Final", J832=1, "Initial", J832&gt;1, "Medial")</f>
        <v>Initial</v>
      </c>
      <c r="M832" s="44" t="str">
        <f t="shared" si="1666"/>
        <v>-</v>
      </c>
      <c r="N832" s="5" t="str">
        <f t="shared" si="5"/>
        <v>0</v>
      </c>
      <c r="O832" s="5" t="str">
        <f t="shared" si="6"/>
        <v>ˈga</v>
      </c>
      <c r="P832" s="5" t="str">
        <f t="shared" si="7"/>
        <v>0</v>
      </c>
      <c r="Q832" s="5" t="str">
        <f t="shared" si="8"/>
        <v>ˈga</v>
      </c>
      <c r="R832" s="15"/>
      <c r="S832" s="15" t="s">
        <v>2514</v>
      </c>
      <c r="T832" s="15" t="s">
        <v>2515</v>
      </c>
      <c r="U832" s="15" t="s">
        <v>22</v>
      </c>
      <c r="V832" s="20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</row>
    <row r="833">
      <c r="A833" s="15" t="s">
        <v>14</v>
      </c>
      <c r="B833" s="15" t="s">
        <v>2510</v>
      </c>
      <c r="C833" s="15" t="s">
        <v>2511</v>
      </c>
      <c r="D833" s="15" t="s">
        <v>2512</v>
      </c>
      <c r="E833" s="15" t="s">
        <v>2513</v>
      </c>
      <c r="F833" s="15" t="s">
        <v>629</v>
      </c>
      <c r="G833" s="15" t="s">
        <v>629</v>
      </c>
      <c r="H833" s="43">
        <f t="shared" ref="H833:I833" si="1667">LEN(D833)-LEN(B833)+1</f>
        <v>3</v>
      </c>
      <c r="I833" s="43">
        <f t="shared" si="1667"/>
        <v>2</v>
      </c>
      <c r="J833" s="18">
        <v>2.0</v>
      </c>
      <c r="K833" s="18">
        <v>1.0</v>
      </c>
      <c r="L833" s="5" t="str">
        <f t="shared" ref="L833:M833" si="1668">IFS(J833="-", "-", J833=H833, "Final", J833=1, "Initial", J833&gt;1, "Medial")</f>
        <v>Medial</v>
      </c>
      <c r="M833" s="44" t="str">
        <f t="shared" si="1668"/>
        <v>Initial</v>
      </c>
      <c r="N833" s="5" t="str">
        <f t="shared" si="5"/>
        <v>u</v>
      </c>
      <c r="O833" s="5" t="str">
        <f t="shared" si="6"/>
        <v>gu</v>
      </c>
      <c r="P833" s="5" t="str">
        <f t="shared" si="7"/>
        <v>-</v>
      </c>
      <c r="Q833" s="5" t="str">
        <f t="shared" si="8"/>
        <v>gu</v>
      </c>
      <c r="R833" s="15"/>
      <c r="S833" s="15" t="s">
        <v>2514</v>
      </c>
      <c r="T833" s="15" t="s">
        <v>2515</v>
      </c>
      <c r="U833" s="15" t="s">
        <v>22</v>
      </c>
      <c r="V833" s="20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</row>
    <row r="834">
      <c r="A834" s="15" t="s">
        <v>14</v>
      </c>
      <c r="B834" s="15" t="s">
        <v>2510</v>
      </c>
      <c r="C834" s="15" t="s">
        <v>2511</v>
      </c>
      <c r="D834" s="15" t="s">
        <v>2512</v>
      </c>
      <c r="E834" s="15" t="s">
        <v>2513</v>
      </c>
      <c r="F834" s="15" t="s">
        <v>98</v>
      </c>
      <c r="G834" s="15" t="s">
        <v>98</v>
      </c>
      <c r="H834" s="43">
        <f t="shared" ref="H834:I834" si="1669">LEN(D834)-LEN(B834)+1</f>
        <v>3</v>
      </c>
      <c r="I834" s="43">
        <f t="shared" si="1669"/>
        <v>2</v>
      </c>
      <c r="J834" s="18">
        <v>3.0</v>
      </c>
      <c r="K834" s="18">
        <v>2.0</v>
      </c>
      <c r="L834" s="5" t="str">
        <f t="shared" ref="L834:M834" si="1670">IFS(J834="-", "-", J834=H834, "Final", J834=1, "Initial", J834&gt;1, "Medial")</f>
        <v>Final</v>
      </c>
      <c r="M834" s="44" t="str">
        <f t="shared" si="1670"/>
        <v>Final</v>
      </c>
      <c r="N834" s="5" t="str">
        <f t="shared" si="5"/>
        <v>ˈga</v>
      </c>
      <c r="O834" s="5">
        <f t="shared" si="6"/>
        <v>3</v>
      </c>
      <c r="P834" s="5" t="str">
        <f t="shared" si="7"/>
        <v>ˈga</v>
      </c>
      <c r="Q834" s="5">
        <f t="shared" si="8"/>
        <v>2</v>
      </c>
      <c r="R834" s="15"/>
      <c r="S834" s="15" t="s">
        <v>2514</v>
      </c>
      <c r="T834" s="15" t="s">
        <v>2515</v>
      </c>
      <c r="U834" s="15" t="s">
        <v>22</v>
      </c>
      <c r="V834" s="20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</row>
    <row r="835">
      <c r="A835" s="15" t="s">
        <v>14</v>
      </c>
      <c r="B835" s="15" t="s">
        <v>2516</v>
      </c>
      <c r="C835" s="15" t="s">
        <v>2457</v>
      </c>
      <c r="D835" s="15" t="s">
        <v>2517</v>
      </c>
      <c r="E835" s="15" t="s">
        <v>2459</v>
      </c>
      <c r="F835" s="15"/>
      <c r="G835" s="15"/>
      <c r="H835" s="43">
        <f t="shared" ref="H835:I835" si="1671">LEN(D835)-LEN(B835)+1</f>
        <v>2</v>
      </c>
      <c r="I835" s="43">
        <f t="shared" si="1671"/>
        <v>3</v>
      </c>
      <c r="J835" s="18"/>
      <c r="K835" s="18"/>
      <c r="L835" s="5" t="str">
        <f t="shared" ref="L835:M835" si="1672">IFS(J835="-", "-", J835=H835, "Final", J835=1, "Initial", J835&gt;1, "Medial")</f>
        <v>#N/A</v>
      </c>
      <c r="M835" s="44" t="str">
        <f t="shared" si="1672"/>
        <v>#N/A</v>
      </c>
      <c r="N835" s="5" t="str">
        <f t="shared" si="5"/>
        <v>0</v>
      </c>
      <c r="O835" s="5" t="str">
        <f t="shared" si="6"/>
        <v/>
      </c>
      <c r="P835" s="5" t="str">
        <f t="shared" si="7"/>
        <v>0</v>
      </c>
      <c r="Q835" s="5" t="str">
        <f t="shared" si="8"/>
        <v/>
      </c>
      <c r="R835" s="15"/>
      <c r="S835" s="15" t="s">
        <v>2460</v>
      </c>
      <c r="T835" s="15" t="s">
        <v>2461</v>
      </c>
      <c r="U835" s="15" t="s">
        <v>22</v>
      </c>
      <c r="V835" s="15" t="s">
        <v>560</v>
      </c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</row>
    <row r="836">
      <c r="A836" s="3" t="s">
        <v>14</v>
      </c>
      <c r="B836" s="3" t="s">
        <v>2518</v>
      </c>
      <c r="C836" s="3" t="s">
        <v>2519</v>
      </c>
      <c r="D836" s="3" t="s">
        <v>2520</v>
      </c>
      <c r="E836" s="3" t="s">
        <v>2521</v>
      </c>
      <c r="F836" s="3" t="s">
        <v>353</v>
      </c>
      <c r="G836" s="3" t="s">
        <v>2522</v>
      </c>
      <c r="H836" s="43">
        <f t="shared" ref="H836:I836" si="1673">LEN(D836)-LEN(B836)+1</f>
        <v>2</v>
      </c>
      <c r="I836" s="43">
        <f t="shared" si="1673"/>
        <v>2</v>
      </c>
      <c r="J836" s="4">
        <v>1.0</v>
      </c>
      <c r="K836" s="4">
        <v>1.0</v>
      </c>
      <c r="L836" s="5" t="str">
        <f t="shared" ref="L836:M836" si="1674">IFS(J836="-", "-", J836=H836, "Final", J836=1, "Initial", J836&gt;1, "Medial")</f>
        <v>Initial</v>
      </c>
      <c r="M836" s="44" t="str">
        <f t="shared" si="1674"/>
        <v>Initial</v>
      </c>
      <c r="N836" s="5" t="str">
        <f t="shared" si="5"/>
        <v>0</v>
      </c>
      <c r="O836" s="5" t="str">
        <f t="shared" si="6"/>
        <v>do</v>
      </c>
      <c r="P836" s="5" t="str">
        <f t="shared" si="7"/>
        <v>0</v>
      </c>
      <c r="Q836" s="5" t="str">
        <f t="shared" si="8"/>
        <v>ˈdu</v>
      </c>
      <c r="R836" s="3"/>
      <c r="S836" s="3" t="s">
        <v>2523</v>
      </c>
      <c r="T836" s="3" t="s">
        <v>74</v>
      </c>
      <c r="U836" s="3" t="s">
        <v>22</v>
      </c>
      <c r="V836" s="5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>
      <c r="A837" s="3" t="s">
        <v>14</v>
      </c>
      <c r="B837" s="3" t="s">
        <v>2518</v>
      </c>
      <c r="C837" s="3" t="s">
        <v>2519</v>
      </c>
      <c r="D837" s="3" t="s">
        <v>2520</v>
      </c>
      <c r="E837" s="3" t="s">
        <v>2521</v>
      </c>
      <c r="F837" s="3" t="s">
        <v>2227</v>
      </c>
      <c r="G837" s="3" t="s">
        <v>101</v>
      </c>
      <c r="H837" s="43">
        <f t="shared" ref="H837:I837" si="1675">LEN(D837)-LEN(B837)+1</f>
        <v>2</v>
      </c>
      <c r="I837" s="43">
        <f t="shared" si="1675"/>
        <v>2</v>
      </c>
      <c r="J837" s="4">
        <v>2.0</v>
      </c>
      <c r="K837" s="4">
        <v>2.0</v>
      </c>
      <c r="L837" s="5" t="str">
        <f t="shared" ref="L837:M837" si="1676">IFS(J837="-", "-", J837=H837, "Final", J837=1, "Initial", J837&gt;1, "Medial")</f>
        <v>Final</v>
      </c>
      <c r="M837" s="44" t="str">
        <f t="shared" si="1676"/>
        <v>Final</v>
      </c>
      <c r="N837" s="5" t="str">
        <f t="shared" si="5"/>
        <v>ˈgo</v>
      </c>
      <c r="O837" s="5">
        <f t="shared" si="6"/>
        <v>2</v>
      </c>
      <c r="P837" s="5" t="str">
        <f t="shared" si="7"/>
        <v>goɾ</v>
      </c>
      <c r="Q837" s="5">
        <f t="shared" si="8"/>
        <v>2</v>
      </c>
      <c r="R837" s="3"/>
      <c r="S837" s="3" t="s">
        <v>2523</v>
      </c>
      <c r="T837" s="3" t="s">
        <v>74</v>
      </c>
      <c r="U837" s="3" t="s">
        <v>22</v>
      </c>
      <c r="V837" s="5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>
      <c r="A838" s="15" t="s">
        <v>14</v>
      </c>
      <c r="B838" s="15" t="s">
        <v>2524</v>
      </c>
      <c r="C838" s="15" t="s">
        <v>2525</v>
      </c>
      <c r="D838" s="15" t="s">
        <v>2526</v>
      </c>
      <c r="E838" s="15" t="s">
        <v>2527</v>
      </c>
      <c r="F838" s="15" t="s">
        <v>108</v>
      </c>
      <c r="G838" s="15" t="s">
        <v>175</v>
      </c>
      <c r="H838" s="43">
        <f t="shared" ref="H838:I838" si="1677">LEN(D838)-LEN(B838)+1</f>
        <v>2</v>
      </c>
      <c r="I838" s="43">
        <f t="shared" si="1677"/>
        <v>2</v>
      </c>
      <c r="J838" s="18">
        <v>1.0</v>
      </c>
      <c r="K838" s="18">
        <v>1.0</v>
      </c>
      <c r="L838" s="5" t="str">
        <f t="shared" ref="L838:M838" si="1678">IFS(J838="-", "-", J838=H838, "Final", J838=1, "Initial", J838&gt;1, "Medial")</f>
        <v>Initial</v>
      </c>
      <c r="M838" s="44" t="str">
        <f t="shared" si="1678"/>
        <v>Initial</v>
      </c>
      <c r="N838" s="5" t="str">
        <f t="shared" si="5"/>
        <v>0</v>
      </c>
      <c r="O838" s="5" t="str">
        <f t="shared" si="6"/>
        <v>ˈĩ</v>
      </c>
      <c r="P838" s="5" t="str">
        <f t="shared" si="7"/>
        <v>0</v>
      </c>
      <c r="Q838" s="5" t="str">
        <f t="shared" si="8"/>
        <v>ˈĩ</v>
      </c>
      <c r="R838" s="15"/>
      <c r="S838" s="15" t="s">
        <v>2528</v>
      </c>
      <c r="T838" s="15" t="s">
        <v>2529</v>
      </c>
      <c r="U838" s="15" t="s">
        <v>22</v>
      </c>
      <c r="V838" s="20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</row>
    <row r="839">
      <c r="A839" s="15" t="s">
        <v>14</v>
      </c>
      <c r="B839" s="15" t="s">
        <v>2524</v>
      </c>
      <c r="C839" s="15" t="s">
        <v>2525</v>
      </c>
      <c r="D839" s="15" t="s">
        <v>2526</v>
      </c>
      <c r="E839" s="15" t="s">
        <v>2527</v>
      </c>
      <c r="F839" s="15" t="s">
        <v>690</v>
      </c>
      <c r="G839" s="15" t="s">
        <v>690</v>
      </c>
      <c r="H839" s="43">
        <f t="shared" ref="H839:I839" si="1679">LEN(D839)-LEN(B839)+1</f>
        <v>2</v>
      </c>
      <c r="I839" s="43">
        <f t="shared" si="1679"/>
        <v>2</v>
      </c>
      <c r="J839" s="18">
        <v>2.0</v>
      </c>
      <c r="K839" s="18">
        <v>2.0</v>
      </c>
      <c r="L839" s="5" t="str">
        <f t="shared" ref="L839:M839" si="1680">IFS(J839="-", "-", J839=H839, "Final", J839=1, "Initial", J839&gt;1, "Medial")</f>
        <v>Final</v>
      </c>
      <c r="M839" s="44" t="str">
        <f t="shared" si="1680"/>
        <v>Final</v>
      </c>
      <c r="N839" s="5" t="str">
        <f t="shared" si="5"/>
        <v>ka</v>
      </c>
      <c r="O839" s="5">
        <f t="shared" si="6"/>
        <v>2</v>
      </c>
      <c r="P839" s="5" t="str">
        <f t="shared" si="7"/>
        <v>kɐ</v>
      </c>
      <c r="Q839" s="5">
        <f t="shared" si="8"/>
        <v>2</v>
      </c>
      <c r="R839" s="15"/>
      <c r="S839" s="15" t="s">
        <v>2528</v>
      </c>
      <c r="T839" s="15" t="s">
        <v>2529</v>
      </c>
      <c r="U839" s="15" t="s">
        <v>22</v>
      </c>
      <c r="V839" s="20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</row>
    <row r="840">
      <c r="A840" s="15" t="s">
        <v>14</v>
      </c>
      <c r="B840" s="15" t="s">
        <v>2530</v>
      </c>
      <c r="C840" s="15" t="s">
        <v>2531</v>
      </c>
      <c r="D840" s="15" t="s">
        <v>2532</v>
      </c>
      <c r="E840" s="15" t="s">
        <v>2533</v>
      </c>
      <c r="F840" s="15"/>
      <c r="G840" s="15"/>
      <c r="H840" s="43">
        <f t="shared" ref="H840:I840" si="1681">LEN(D840)-LEN(B840)+1</f>
        <v>2</v>
      </c>
      <c r="I840" s="43">
        <f t="shared" si="1681"/>
        <v>4</v>
      </c>
      <c r="J840" s="18"/>
      <c r="K840" s="18"/>
      <c r="L840" s="5" t="str">
        <f t="shared" ref="L840:M840" si="1682">IFS(J840="-", "-", J840=H840, "Final", J840=1, "Initial", J840&gt;1, "Medial")</f>
        <v>#N/A</v>
      </c>
      <c r="M840" s="44" t="str">
        <f t="shared" si="1682"/>
        <v>#N/A</v>
      </c>
      <c r="N840" s="5" t="str">
        <f t="shared" si="5"/>
        <v>0</v>
      </c>
      <c r="O840" s="5" t="str">
        <f t="shared" si="6"/>
        <v/>
      </c>
      <c r="P840" s="5" t="str">
        <f t="shared" si="7"/>
        <v>0</v>
      </c>
      <c r="Q840" s="5" t="str">
        <f t="shared" si="8"/>
        <v/>
      </c>
      <c r="R840" s="15"/>
      <c r="S840" s="15" t="s">
        <v>2534</v>
      </c>
      <c r="T840" s="15" t="s">
        <v>2529</v>
      </c>
      <c r="U840" s="15" t="s">
        <v>22</v>
      </c>
      <c r="V840" s="15" t="s">
        <v>560</v>
      </c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</row>
    <row r="841">
      <c r="A841" s="3" t="s">
        <v>14</v>
      </c>
      <c r="B841" s="3" t="s">
        <v>2535</v>
      </c>
      <c r="C841" s="3" t="s">
        <v>2536</v>
      </c>
      <c r="D841" s="3" t="s">
        <v>2537</v>
      </c>
      <c r="E841" s="3" t="s">
        <v>2538</v>
      </c>
      <c r="F841" s="3" t="s">
        <v>425</v>
      </c>
      <c r="G841" s="3" t="s">
        <v>1393</v>
      </c>
      <c r="H841" s="43">
        <f t="shared" ref="H841:I841" si="1683">LEN(D841)-LEN(B841)+1</f>
        <v>3</v>
      </c>
      <c r="I841" s="43">
        <f t="shared" si="1683"/>
        <v>3</v>
      </c>
      <c r="J841" s="4">
        <v>1.0</v>
      </c>
      <c r="K841" s="4">
        <v>1.0</v>
      </c>
      <c r="L841" s="5" t="str">
        <f t="shared" ref="L841:M841" si="1684">IFS(J841="-", "-", J841=H841, "Final", J841=1, "Initial", J841&gt;1, "Medial")</f>
        <v>Initial</v>
      </c>
      <c r="M841" s="44" t="str">
        <f t="shared" si="1684"/>
        <v>Initial</v>
      </c>
      <c r="N841" s="5" t="str">
        <f t="shared" si="5"/>
        <v>0</v>
      </c>
      <c r="O841" s="5" t="str">
        <f t="shared" si="6"/>
        <v>ˈpa</v>
      </c>
      <c r="P841" s="5" t="str">
        <f t="shared" si="7"/>
        <v>0</v>
      </c>
      <c r="Q841" s="5" t="str">
        <f t="shared" si="8"/>
        <v>ˈpa</v>
      </c>
      <c r="R841" s="3"/>
      <c r="S841" s="3" t="s">
        <v>2539</v>
      </c>
      <c r="T841" s="3" t="s">
        <v>2540</v>
      </c>
      <c r="U841" s="3" t="s">
        <v>22</v>
      </c>
      <c r="V841" s="5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>
      <c r="A842" s="3" t="s">
        <v>14</v>
      </c>
      <c r="B842" s="3" t="s">
        <v>2535</v>
      </c>
      <c r="C842" s="3" t="s">
        <v>2536</v>
      </c>
      <c r="D842" s="3" t="s">
        <v>2537</v>
      </c>
      <c r="E842" s="3" t="s">
        <v>2538</v>
      </c>
      <c r="F842" s="3" t="s">
        <v>1396</v>
      </c>
      <c r="G842" s="3" t="s">
        <v>1396</v>
      </c>
      <c r="H842" s="43">
        <f t="shared" ref="H842:I842" si="1685">LEN(D842)-LEN(B842)+1</f>
        <v>3</v>
      </c>
      <c r="I842" s="43">
        <f t="shared" si="1685"/>
        <v>3</v>
      </c>
      <c r="J842" s="4">
        <v>2.0</v>
      </c>
      <c r="K842" s="4">
        <v>2.0</v>
      </c>
      <c r="L842" s="5" t="str">
        <f t="shared" ref="L842:M842" si="1686">IFS(J842="-", "-", J842=H842, "Final", J842=1, "Initial", J842&gt;1, "Medial")</f>
        <v>Medial</v>
      </c>
      <c r="M842" s="44" t="str">
        <f t="shared" si="1686"/>
        <v>Medial</v>
      </c>
      <c r="N842" s="5" t="str">
        <f t="shared" si="5"/>
        <v>ku</v>
      </c>
      <c r="O842" s="5" t="str">
        <f t="shared" si="6"/>
        <v>du</v>
      </c>
      <c r="P842" s="5" t="str">
        <f t="shared" si="7"/>
        <v>kul</v>
      </c>
      <c r="Q842" s="5" t="str">
        <f t="shared" si="8"/>
        <v>du</v>
      </c>
      <c r="R842" s="3"/>
      <c r="S842" s="3" t="s">
        <v>2539</v>
      </c>
      <c r="T842" s="3" t="s">
        <v>2540</v>
      </c>
      <c r="U842" s="3" t="s">
        <v>22</v>
      </c>
      <c r="V842" s="5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>
      <c r="A843" s="3" t="s">
        <v>14</v>
      </c>
      <c r="B843" s="3" t="s">
        <v>2535</v>
      </c>
      <c r="C843" s="3" t="s">
        <v>2536</v>
      </c>
      <c r="D843" s="3" t="s">
        <v>2537</v>
      </c>
      <c r="E843" s="3" t="s">
        <v>2538</v>
      </c>
      <c r="F843" s="3" t="s">
        <v>387</v>
      </c>
      <c r="G843" s="3" t="s">
        <v>387</v>
      </c>
      <c r="H843" s="43">
        <f t="shared" ref="H843:I843" si="1687">LEN(D843)-LEN(B843)+1</f>
        <v>3</v>
      </c>
      <c r="I843" s="43">
        <f t="shared" si="1687"/>
        <v>3</v>
      </c>
      <c r="J843" s="4">
        <v>3.0</v>
      </c>
      <c r="K843" s="4">
        <v>3.0</v>
      </c>
      <c r="L843" s="5" t="str">
        <f t="shared" ref="L843:M843" si="1688">IFS(J843="-", "-", J843=H843, "Final", J843=1, "Initial", J843&gt;1, "Medial")</f>
        <v>Final</v>
      </c>
      <c r="M843" s="44" t="str">
        <f t="shared" si="1688"/>
        <v>Final</v>
      </c>
      <c r="N843" s="5" t="str">
        <f t="shared" si="5"/>
        <v>ˈpa</v>
      </c>
      <c r="O843" s="5">
        <f t="shared" si="6"/>
        <v>3</v>
      </c>
      <c r="P843" s="5" t="str">
        <f t="shared" si="7"/>
        <v>ˈpa</v>
      </c>
      <c r="Q843" s="5">
        <f t="shared" si="8"/>
        <v>3</v>
      </c>
      <c r="R843" s="3"/>
      <c r="S843" s="3" t="s">
        <v>2539</v>
      </c>
      <c r="T843" s="3" t="s">
        <v>2540</v>
      </c>
      <c r="U843" s="3" t="s">
        <v>22</v>
      </c>
      <c r="V843" s="5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>
      <c r="A844" s="3" t="s">
        <v>14</v>
      </c>
      <c r="B844" s="3" t="s">
        <v>2541</v>
      </c>
      <c r="C844" s="3" t="s">
        <v>2542</v>
      </c>
      <c r="D844" s="3" t="s">
        <v>2543</v>
      </c>
      <c r="E844" s="3" t="s">
        <v>2544</v>
      </c>
      <c r="F844" s="3" t="s">
        <v>961</v>
      </c>
      <c r="G844" s="3" t="s">
        <v>2545</v>
      </c>
      <c r="H844" s="43">
        <f t="shared" ref="H844:I844" si="1689">LEN(D844)-LEN(B844)+1</f>
        <v>2</v>
      </c>
      <c r="I844" s="43">
        <f t="shared" si="1689"/>
        <v>2</v>
      </c>
      <c r="J844" s="4">
        <v>1.0</v>
      </c>
      <c r="K844" s="4">
        <v>1.0</v>
      </c>
      <c r="L844" s="5" t="str">
        <f t="shared" ref="L844:M844" si="1690">IFS(J844="-", "-", J844=H844, "Final", J844=1, "Initial", J844&gt;1, "Medial")</f>
        <v>Initial</v>
      </c>
      <c r="M844" s="44" t="str">
        <f t="shared" si="1690"/>
        <v>Initial</v>
      </c>
      <c r="N844" s="5" t="str">
        <f t="shared" si="5"/>
        <v>0</v>
      </c>
      <c r="O844" s="5" t="str">
        <f t="shared" si="6"/>
        <v>tu</v>
      </c>
      <c r="P844" s="5" t="str">
        <f t="shared" si="7"/>
        <v>0</v>
      </c>
      <c r="Q844" s="5" t="str">
        <f t="shared" si="8"/>
        <v>tu</v>
      </c>
      <c r="R844" s="3"/>
      <c r="S844" s="3" t="s">
        <v>2546</v>
      </c>
      <c r="T844" s="3" t="s">
        <v>2547</v>
      </c>
      <c r="U844" s="3" t="s">
        <v>22</v>
      </c>
      <c r="V844" s="5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>
      <c r="A845" s="3" t="s">
        <v>14</v>
      </c>
      <c r="B845" s="3" t="s">
        <v>2541</v>
      </c>
      <c r="C845" s="3" t="s">
        <v>2542</v>
      </c>
      <c r="D845" s="3" t="s">
        <v>2543</v>
      </c>
      <c r="E845" s="3" t="s">
        <v>2544</v>
      </c>
      <c r="F845" s="3" t="s">
        <v>784</v>
      </c>
      <c r="G845" s="3" t="s">
        <v>784</v>
      </c>
      <c r="H845" s="43">
        <f t="shared" ref="H845:I845" si="1691">LEN(D845)-LEN(B845)+1</f>
        <v>2</v>
      </c>
      <c r="I845" s="43">
        <f t="shared" si="1691"/>
        <v>2</v>
      </c>
      <c r="J845" s="4">
        <v>2.0</v>
      </c>
      <c r="K845" s="4">
        <v>2.0</v>
      </c>
      <c r="L845" s="5" t="str">
        <f t="shared" ref="L845:M845" si="1692">IFS(J845="-", "-", J845=H845, "Final", J845=1, "Initial", J845&gt;1, "Medial")</f>
        <v>Final</v>
      </c>
      <c r="M845" s="44" t="str">
        <f t="shared" si="1692"/>
        <v>Final</v>
      </c>
      <c r="N845" s="5" t="str">
        <f t="shared" si="5"/>
        <v>ˈku</v>
      </c>
      <c r="O845" s="5">
        <f t="shared" si="6"/>
        <v>2</v>
      </c>
      <c r="P845" s="5" t="str">
        <f t="shared" si="7"/>
        <v>ˈkuɾ</v>
      </c>
      <c r="Q845" s="5">
        <f t="shared" si="8"/>
        <v>2</v>
      </c>
      <c r="R845" s="3"/>
      <c r="S845" s="3" t="s">
        <v>2546</v>
      </c>
      <c r="T845" s="3" t="s">
        <v>2547</v>
      </c>
      <c r="U845" s="3" t="s">
        <v>22</v>
      </c>
      <c r="V845" s="5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>
      <c r="A846" s="3" t="s">
        <v>14</v>
      </c>
      <c r="B846" s="3" t="s">
        <v>2548</v>
      </c>
      <c r="C846" s="3" t="s">
        <v>2549</v>
      </c>
      <c r="D846" s="3" t="s">
        <v>2550</v>
      </c>
      <c r="E846" s="3" t="s">
        <v>2549</v>
      </c>
      <c r="F846" s="3" t="s">
        <v>128</v>
      </c>
      <c r="G846" s="17" t="s">
        <v>36</v>
      </c>
      <c r="H846" s="43">
        <f t="shared" ref="H846:I846" si="1693">LEN(D846)-LEN(B846)+1</f>
        <v>3</v>
      </c>
      <c r="I846" s="43">
        <f t="shared" si="1693"/>
        <v>1</v>
      </c>
      <c r="J846" s="4">
        <v>1.0</v>
      </c>
      <c r="K846" s="4" t="s">
        <v>36</v>
      </c>
      <c r="L846" s="5" t="str">
        <f t="shared" ref="L846:M846" si="1694">IFS(J846="-", "-", J846=H846, "Final", J846=1, "Initial", J846&gt;1, "Medial")</f>
        <v>Initial</v>
      </c>
      <c r="M846" s="44" t="str">
        <f t="shared" si="1694"/>
        <v>-</v>
      </c>
      <c r="N846" s="5" t="str">
        <f t="shared" si="5"/>
        <v>0</v>
      </c>
      <c r="O846" s="5" t="str">
        <f t="shared" si="6"/>
        <v>ku</v>
      </c>
      <c r="P846" s="5" t="str">
        <f t="shared" si="7"/>
        <v>0</v>
      </c>
      <c r="Q846" s="5" t="str">
        <f t="shared" si="8"/>
        <v>ˈkɾu</v>
      </c>
      <c r="R846" s="3"/>
      <c r="S846" s="3" t="s">
        <v>2551</v>
      </c>
      <c r="T846" s="3" t="s">
        <v>2552</v>
      </c>
      <c r="U846" s="3" t="s">
        <v>22</v>
      </c>
      <c r="V846" s="5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>
      <c r="A847" s="3" t="s">
        <v>14</v>
      </c>
      <c r="B847" s="3" t="s">
        <v>2548</v>
      </c>
      <c r="C847" s="3" t="s">
        <v>2549</v>
      </c>
      <c r="D847" s="3" t="s">
        <v>2550</v>
      </c>
      <c r="E847" s="3" t="s">
        <v>2549</v>
      </c>
      <c r="F847" s="3" t="s">
        <v>425</v>
      </c>
      <c r="G847" s="3" t="s">
        <v>2549</v>
      </c>
      <c r="H847" s="43">
        <f t="shared" ref="H847:I847" si="1695">LEN(D847)-LEN(B847)+1</f>
        <v>3</v>
      </c>
      <c r="I847" s="43">
        <f t="shared" si="1695"/>
        <v>1</v>
      </c>
      <c r="J847" s="4">
        <v>2.0</v>
      </c>
      <c r="K847" s="4">
        <v>1.0</v>
      </c>
      <c r="L847" s="5" t="str">
        <f t="shared" ref="L847:M847" si="1696">IFS(J847="-", "-", J847=H847, "Final", J847=1, "Initial", J847&gt;1, "Medial")</f>
        <v>Medial</v>
      </c>
      <c r="M847" s="44" t="str">
        <f t="shared" si="1696"/>
        <v>Final</v>
      </c>
      <c r="N847" s="5" t="str">
        <f t="shared" si="5"/>
        <v>u</v>
      </c>
      <c r="O847" s="5" t="str">
        <f t="shared" si="6"/>
        <v>ˈru</v>
      </c>
      <c r="P847" s="5" t="str">
        <f t="shared" si="7"/>
        <v>-</v>
      </c>
      <c r="Q847" s="5" t="str">
        <f t="shared" si="8"/>
        <v>-</v>
      </c>
      <c r="R847" s="3"/>
      <c r="S847" s="3" t="s">
        <v>2551</v>
      </c>
      <c r="T847" s="3" t="s">
        <v>2552</v>
      </c>
      <c r="U847" s="3" t="s">
        <v>22</v>
      </c>
      <c r="V847" s="5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>
      <c r="A848" s="3" t="s">
        <v>14</v>
      </c>
      <c r="B848" s="3" t="s">
        <v>2548</v>
      </c>
      <c r="C848" s="3" t="s">
        <v>2549</v>
      </c>
      <c r="D848" s="3" t="s">
        <v>2550</v>
      </c>
      <c r="E848" s="3" t="s">
        <v>2549</v>
      </c>
      <c r="F848" s="3" t="s">
        <v>2553</v>
      </c>
      <c r="G848" s="3" t="s">
        <v>36</v>
      </c>
      <c r="H848" s="43">
        <f t="shared" ref="H848:I848" si="1697">LEN(D848)-LEN(B848)+1</f>
        <v>3</v>
      </c>
      <c r="I848" s="43">
        <f t="shared" si="1697"/>
        <v>1</v>
      </c>
      <c r="J848" s="4">
        <v>3.0</v>
      </c>
      <c r="K848" s="4" t="s">
        <v>36</v>
      </c>
      <c r="L848" s="5" t="str">
        <f t="shared" ref="L848:M848" si="1698">IFS(J848="-", "-", J848=H848, "Final", J848=1, "Initial", J848&gt;1, "Medial")</f>
        <v>Final</v>
      </c>
      <c r="M848" s="44" t="str">
        <f t="shared" si="1698"/>
        <v>-</v>
      </c>
      <c r="N848" s="5" t="str">
        <f t="shared" si="5"/>
        <v>ku</v>
      </c>
      <c r="O848" s="5">
        <f t="shared" si="6"/>
        <v>3</v>
      </c>
      <c r="P848" s="5" t="str">
        <f t="shared" si="7"/>
        <v>ˈkɾu</v>
      </c>
      <c r="Q848" s="5" t="str">
        <f t="shared" si="8"/>
        <v>-</v>
      </c>
      <c r="R848" s="3"/>
      <c r="S848" s="3" t="s">
        <v>2551</v>
      </c>
      <c r="T848" s="3" t="s">
        <v>2552</v>
      </c>
      <c r="U848" s="3" t="s">
        <v>22</v>
      </c>
      <c r="V848" s="5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>
      <c r="A849" s="3" t="s">
        <v>14</v>
      </c>
      <c r="B849" s="3" t="s">
        <v>2554</v>
      </c>
      <c r="C849" s="3" t="s">
        <v>2555</v>
      </c>
      <c r="D849" s="3" t="s">
        <v>2556</v>
      </c>
      <c r="E849" s="3" t="s">
        <v>2557</v>
      </c>
      <c r="F849" s="3" t="s">
        <v>128</v>
      </c>
      <c r="G849" s="3" t="s">
        <v>301</v>
      </c>
      <c r="H849" s="43">
        <f t="shared" ref="H849:I849" si="1699">LEN(D849)-LEN(B849)+1</f>
        <v>3</v>
      </c>
      <c r="I849" s="43">
        <f t="shared" si="1699"/>
        <v>3</v>
      </c>
      <c r="J849" s="4">
        <v>1.0</v>
      </c>
      <c r="K849" s="4">
        <v>1.0</v>
      </c>
      <c r="L849" s="5" t="str">
        <f t="shared" ref="L849:M849" si="1700">IFS(J849="-", "-", J849=H849, "Final", J849=1, "Initial", J849&gt;1, "Medial")</f>
        <v>Initial</v>
      </c>
      <c r="M849" s="44" t="str">
        <f t="shared" si="1700"/>
        <v>Initial</v>
      </c>
      <c r="N849" s="5" t="str">
        <f t="shared" si="5"/>
        <v>0</v>
      </c>
      <c r="O849" s="5" t="str">
        <f t="shared" si="6"/>
        <v>ku</v>
      </c>
      <c r="P849" s="5" t="str">
        <f t="shared" si="7"/>
        <v>0</v>
      </c>
      <c r="Q849" s="5" t="str">
        <f t="shared" si="8"/>
        <v>ˈku</v>
      </c>
      <c r="R849" s="3"/>
      <c r="S849" s="3" t="s">
        <v>2558</v>
      </c>
      <c r="T849" s="3" t="s">
        <v>2559</v>
      </c>
      <c r="U849" s="3" t="s">
        <v>22</v>
      </c>
      <c r="V849" s="5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>
      <c r="A850" s="3" t="s">
        <v>14</v>
      </c>
      <c r="B850" s="3" t="s">
        <v>2554</v>
      </c>
      <c r="C850" s="3" t="s">
        <v>2555</v>
      </c>
      <c r="D850" s="3" t="s">
        <v>2556</v>
      </c>
      <c r="E850" s="3" t="s">
        <v>2557</v>
      </c>
      <c r="F850" s="3" t="s">
        <v>425</v>
      </c>
      <c r="G850" s="3" t="s">
        <v>961</v>
      </c>
      <c r="H850" s="43">
        <f t="shared" ref="H850:I850" si="1701">LEN(D850)-LEN(B850)+1</f>
        <v>3</v>
      </c>
      <c r="I850" s="43">
        <f t="shared" si="1701"/>
        <v>3</v>
      </c>
      <c r="J850" s="4">
        <v>2.0</v>
      </c>
      <c r="K850" s="4">
        <v>2.0</v>
      </c>
      <c r="L850" s="5" t="str">
        <f t="shared" ref="L850:M850" si="1702">IFS(J850="-", "-", J850=H850, "Final", J850=1, "Initial", J850&gt;1, "Medial")</f>
        <v>Medial</v>
      </c>
      <c r="M850" s="44" t="str">
        <f t="shared" si="1702"/>
        <v>Medial</v>
      </c>
      <c r="N850" s="5" t="str">
        <f t="shared" si="5"/>
        <v>u</v>
      </c>
      <c r="O850" s="5" t="str">
        <f t="shared" si="6"/>
        <v>ˈru</v>
      </c>
      <c r="P850" s="5" t="str">
        <f t="shared" si="7"/>
        <v>ʃ</v>
      </c>
      <c r="Q850" s="5" t="str">
        <f t="shared" si="8"/>
        <v>ɾu</v>
      </c>
      <c r="R850" s="3"/>
      <c r="S850" s="3" t="s">
        <v>2558</v>
      </c>
      <c r="T850" s="3" t="s">
        <v>2559</v>
      </c>
      <c r="U850" s="3" t="s">
        <v>22</v>
      </c>
      <c r="V850" s="5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>
      <c r="A851" s="3" t="s">
        <v>14</v>
      </c>
      <c r="B851" s="3" t="s">
        <v>2554</v>
      </c>
      <c r="C851" s="3" t="s">
        <v>2555</v>
      </c>
      <c r="D851" s="3" t="s">
        <v>2556</v>
      </c>
      <c r="E851" s="3" t="s">
        <v>2557</v>
      </c>
      <c r="F851" s="3" t="s">
        <v>2553</v>
      </c>
      <c r="G851" s="3" t="s">
        <v>1983</v>
      </c>
      <c r="H851" s="43">
        <f t="shared" ref="H851:I851" si="1703">LEN(D851)-LEN(B851)+1</f>
        <v>3</v>
      </c>
      <c r="I851" s="43">
        <f t="shared" si="1703"/>
        <v>3</v>
      </c>
      <c r="J851" s="4">
        <v>3.0</v>
      </c>
      <c r="K851" s="4">
        <v>3.0</v>
      </c>
      <c r="L851" s="5" t="str">
        <f t="shared" ref="L851:M851" si="1704">IFS(J851="-", "-", J851=H851, "Final", J851=1, "Initial", J851&gt;1, "Medial")</f>
        <v>Final</v>
      </c>
      <c r="M851" s="44" t="str">
        <f t="shared" si="1704"/>
        <v>Final</v>
      </c>
      <c r="N851" s="5" t="str">
        <f t="shared" si="5"/>
        <v>ku</v>
      </c>
      <c r="O851" s="5">
        <f t="shared" si="6"/>
        <v>3</v>
      </c>
      <c r="P851" s="5" t="str">
        <f t="shared" si="7"/>
        <v>ˈku</v>
      </c>
      <c r="Q851" s="5">
        <f t="shared" si="8"/>
        <v>3</v>
      </c>
      <c r="R851" s="3"/>
      <c r="S851" s="3" t="s">
        <v>2558</v>
      </c>
      <c r="T851" s="3" t="s">
        <v>2559</v>
      </c>
      <c r="U851" s="3" t="s">
        <v>22</v>
      </c>
      <c r="V851" s="5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>
      <c r="A852" s="3" t="s">
        <v>14</v>
      </c>
      <c r="B852" s="3" t="s">
        <v>2560</v>
      </c>
      <c r="C852" s="3" t="s">
        <v>2561</v>
      </c>
      <c r="D852" s="3" t="s">
        <v>2562</v>
      </c>
      <c r="E852" s="3" t="s">
        <v>2562</v>
      </c>
      <c r="F852" s="3" t="s">
        <v>443</v>
      </c>
      <c r="G852" s="3" t="s">
        <v>443</v>
      </c>
      <c r="H852" s="43">
        <f t="shared" ref="H852:I852" si="1705">LEN(D852)-LEN(B852)+1</f>
        <v>2</v>
      </c>
      <c r="I852" s="43">
        <f t="shared" si="1705"/>
        <v>3</v>
      </c>
      <c r="J852" s="4">
        <v>1.0</v>
      </c>
      <c r="K852" s="4">
        <v>1.0</v>
      </c>
      <c r="L852" s="5" t="str">
        <f t="shared" ref="L852:M852" si="1706">IFS(J852="-", "-", J852=H852, "Final", J852=1, "Initial", J852&gt;1, "Medial")</f>
        <v>Initial</v>
      </c>
      <c r="M852" s="44" t="str">
        <f t="shared" si="1706"/>
        <v>Initial</v>
      </c>
      <c r="N852" s="5" t="str">
        <f t="shared" si="5"/>
        <v>0</v>
      </c>
      <c r="O852" s="5" t="str">
        <f t="shared" si="6"/>
        <v>pu</v>
      </c>
      <c r="P852" s="5" t="str">
        <f t="shared" si="7"/>
        <v>0</v>
      </c>
      <c r="Q852" s="5" t="str">
        <f t="shared" si="8"/>
        <v>pu</v>
      </c>
      <c r="R852" s="3"/>
      <c r="S852" s="3" t="s">
        <v>2563</v>
      </c>
      <c r="T852" s="3" t="s">
        <v>2564</v>
      </c>
      <c r="U852" s="3" t="s">
        <v>22</v>
      </c>
      <c r="V852" s="5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>
      <c r="A853" s="3" t="s">
        <v>14</v>
      </c>
      <c r="B853" s="3" t="s">
        <v>2560</v>
      </c>
      <c r="C853" s="3" t="s">
        <v>2561</v>
      </c>
      <c r="D853" s="3" t="s">
        <v>2562</v>
      </c>
      <c r="E853" s="3" t="s">
        <v>2562</v>
      </c>
      <c r="F853" s="3" t="s">
        <v>437</v>
      </c>
      <c r="G853" s="3" t="s">
        <v>437</v>
      </c>
      <c r="H853" s="43">
        <f t="shared" ref="H853:I853" si="1707">LEN(D853)-LEN(B853)+1</f>
        <v>2</v>
      </c>
      <c r="I853" s="43">
        <f t="shared" si="1707"/>
        <v>3</v>
      </c>
      <c r="J853" s="4">
        <v>2.0</v>
      </c>
      <c r="K853" s="4">
        <v>2.0</v>
      </c>
      <c r="L853" s="5" t="str">
        <f t="shared" ref="L853:M853" si="1708">IFS(J853="-", "-", J853=H853, "Final", J853=1, "Initial", J853&gt;1, "Medial")</f>
        <v>Final</v>
      </c>
      <c r="M853" s="44" t="str">
        <f t="shared" si="1708"/>
        <v>Medial</v>
      </c>
      <c r="N853" s="5" t="str">
        <f t="shared" si="5"/>
        <v>ˈlĩ</v>
      </c>
      <c r="O853" s="5">
        <f t="shared" si="6"/>
        <v>2</v>
      </c>
      <c r="P853" s="5" t="str">
        <f t="shared" si="7"/>
        <v>ˈlĩ</v>
      </c>
      <c r="Q853" s="5">
        <f t="shared" si="8"/>
        <v>2</v>
      </c>
      <c r="R853" s="3"/>
      <c r="S853" s="3" t="s">
        <v>2563</v>
      </c>
      <c r="T853" s="3" t="s">
        <v>2564</v>
      </c>
      <c r="U853" s="3" t="s">
        <v>22</v>
      </c>
      <c r="V853" s="5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>
      <c r="A854" s="3" t="s">
        <v>14</v>
      </c>
      <c r="B854" s="3" t="s">
        <v>2565</v>
      </c>
      <c r="C854" s="3" t="s">
        <v>2566</v>
      </c>
      <c r="D854" s="3" t="s">
        <v>2567</v>
      </c>
      <c r="E854" s="3" t="s">
        <v>2568</v>
      </c>
      <c r="F854" s="3" t="s">
        <v>2569</v>
      </c>
      <c r="G854" s="3" t="s">
        <v>2570</v>
      </c>
      <c r="H854" s="43">
        <f t="shared" ref="H854:I854" si="1709">LEN(D854)-LEN(B854)+1</f>
        <v>2</v>
      </c>
      <c r="I854" s="43">
        <f t="shared" si="1709"/>
        <v>2</v>
      </c>
      <c r="J854" s="4">
        <v>1.0</v>
      </c>
      <c r="K854" s="4">
        <v>1.0</v>
      </c>
      <c r="L854" s="5" t="str">
        <f t="shared" ref="L854:M854" si="1710">IFS(J854="-", "-", J854=H854, "Final", J854=1, "Initial", J854&gt;1, "Medial")</f>
        <v>Initial</v>
      </c>
      <c r="M854" s="44" t="str">
        <f t="shared" si="1710"/>
        <v>Initial</v>
      </c>
      <c r="N854" s="5" t="str">
        <f t="shared" si="5"/>
        <v>0</v>
      </c>
      <c r="O854" s="5" t="str">
        <f t="shared" si="6"/>
        <v>go</v>
      </c>
      <c r="P854" s="5" t="str">
        <f t="shared" si="7"/>
        <v>0</v>
      </c>
      <c r="Q854" s="5" t="str">
        <f t="shared" si="8"/>
        <v>tu</v>
      </c>
      <c r="R854" s="3"/>
      <c r="S854" s="3" t="s">
        <v>2571</v>
      </c>
      <c r="T854" s="3" t="s">
        <v>2572</v>
      </c>
      <c r="U854" s="3" t="s">
        <v>22</v>
      </c>
      <c r="V854" s="5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>
      <c r="A855" s="3" t="s">
        <v>14</v>
      </c>
      <c r="B855" s="3" t="s">
        <v>2565</v>
      </c>
      <c r="C855" s="3" t="s">
        <v>2566</v>
      </c>
      <c r="D855" s="3" t="s">
        <v>2567</v>
      </c>
      <c r="E855" s="3" t="s">
        <v>2568</v>
      </c>
      <c r="F855" s="3" t="s">
        <v>2573</v>
      </c>
      <c r="G855" s="3" t="s">
        <v>784</v>
      </c>
      <c r="H855" s="43">
        <f t="shared" ref="H855:I855" si="1711">LEN(D855)-LEN(B855)+1</f>
        <v>2</v>
      </c>
      <c r="I855" s="43">
        <f t="shared" si="1711"/>
        <v>2</v>
      </c>
      <c r="J855" s="4">
        <v>2.0</v>
      </c>
      <c r="K855" s="4">
        <v>2.0</v>
      </c>
      <c r="L855" s="5" t="str">
        <f t="shared" ref="L855:M855" si="1712">IFS(J855="-", "-", J855=H855, "Final", J855=1, "Initial", J855&gt;1, "Medial")</f>
        <v>Final</v>
      </c>
      <c r="M855" s="44" t="str">
        <f t="shared" si="1712"/>
        <v>Final</v>
      </c>
      <c r="N855" s="5" t="str">
        <f t="shared" si="5"/>
        <v>ˈlõ</v>
      </c>
      <c r="O855" s="5">
        <f t="shared" si="6"/>
        <v>2</v>
      </c>
      <c r="P855" s="5" t="str">
        <f t="shared" si="7"/>
        <v>ˈal</v>
      </c>
      <c r="Q855" s="5">
        <f t="shared" si="8"/>
        <v>2</v>
      </c>
      <c r="R855" s="3"/>
      <c r="S855" s="3" t="s">
        <v>2571</v>
      </c>
      <c r="T855" s="3" t="s">
        <v>2572</v>
      </c>
      <c r="U855" s="3" t="s">
        <v>22</v>
      </c>
      <c r="V855" s="5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>
      <c r="A856" s="3" t="s">
        <v>14</v>
      </c>
      <c r="B856" s="3" t="s">
        <v>2574</v>
      </c>
      <c r="C856" s="3" t="s">
        <v>2575</v>
      </c>
      <c r="D856" s="3" t="s">
        <v>2576</v>
      </c>
      <c r="E856" s="3" t="s">
        <v>2577</v>
      </c>
      <c r="F856" s="3" t="s">
        <v>451</v>
      </c>
      <c r="G856" s="3" t="s">
        <v>451</v>
      </c>
      <c r="H856" s="43">
        <f t="shared" ref="H856:I856" si="1713">LEN(D856)-LEN(B856)+1</f>
        <v>2</v>
      </c>
      <c r="I856" s="43">
        <f t="shared" si="1713"/>
        <v>2</v>
      </c>
      <c r="J856" s="4">
        <v>1.0</v>
      </c>
      <c r="K856" s="4">
        <v>1.0</v>
      </c>
      <c r="L856" s="5" t="str">
        <f t="shared" ref="L856:M856" si="1714">IFS(J856="-", "-", J856=H856, "Final", J856=1, "Initial", J856&gt;1, "Medial")</f>
        <v>Initial</v>
      </c>
      <c r="M856" s="44" t="str">
        <f t="shared" si="1714"/>
        <v>Initial</v>
      </c>
      <c r="N856" s="5" t="str">
        <f t="shared" si="5"/>
        <v>0</v>
      </c>
      <c r="O856" s="5" t="str">
        <f t="shared" si="6"/>
        <v>gu</v>
      </c>
      <c r="P856" s="5" t="str">
        <f t="shared" si="7"/>
        <v>0</v>
      </c>
      <c r="Q856" s="5" t="str">
        <f t="shared" si="8"/>
        <v>gɾu</v>
      </c>
      <c r="R856" s="3"/>
      <c r="S856" s="3" t="s">
        <v>2578</v>
      </c>
      <c r="T856" s="3" t="s">
        <v>2579</v>
      </c>
      <c r="U856" s="3" t="s">
        <v>22</v>
      </c>
      <c r="V856" s="5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>
      <c r="A857" s="3" t="s">
        <v>14</v>
      </c>
      <c r="B857" s="3" t="s">
        <v>2574</v>
      </c>
      <c r="C857" s="3" t="s">
        <v>2575</v>
      </c>
      <c r="D857" s="3" t="s">
        <v>2576</v>
      </c>
      <c r="E857" s="3" t="s">
        <v>2577</v>
      </c>
      <c r="F857" s="3" t="s">
        <v>98</v>
      </c>
      <c r="G857" s="3" t="s">
        <v>2580</v>
      </c>
      <c r="H857" s="43">
        <f t="shared" ref="H857:I857" si="1715">LEN(D857)-LEN(B857)+1</f>
        <v>2</v>
      </c>
      <c r="I857" s="43">
        <f t="shared" si="1715"/>
        <v>2</v>
      </c>
      <c r="J857" s="4">
        <v>2.0</v>
      </c>
      <c r="K857" s="4">
        <v>2.0</v>
      </c>
      <c r="L857" s="5" t="str">
        <f t="shared" ref="L857:M857" si="1716">IFS(J857="-", "-", J857=H857, "Final", J857=1, "Initial", J857&gt;1, "Medial")</f>
        <v>Final</v>
      </c>
      <c r="M857" s="44" t="str">
        <f t="shared" si="1716"/>
        <v>Final</v>
      </c>
      <c r="N857" s="5" t="str">
        <f t="shared" si="5"/>
        <v>ˈma</v>
      </c>
      <c r="O857" s="5">
        <f t="shared" si="6"/>
        <v>2</v>
      </c>
      <c r="P857" s="5" t="str">
        <f t="shared" si="7"/>
        <v>ˈma</v>
      </c>
      <c r="Q857" s="5">
        <f t="shared" si="8"/>
        <v>2</v>
      </c>
      <c r="R857" s="3"/>
      <c r="S857" s="3" t="s">
        <v>2578</v>
      </c>
      <c r="T857" s="3" t="s">
        <v>2579</v>
      </c>
      <c r="U857" s="3" t="s">
        <v>22</v>
      </c>
      <c r="V857" s="5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>
      <c r="A858" s="3" t="s">
        <v>14</v>
      </c>
      <c r="B858" s="3" t="s">
        <v>2581</v>
      </c>
      <c r="C858" s="3" t="s">
        <v>2582</v>
      </c>
      <c r="D858" s="3" t="s">
        <v>2583</v>
      </c>
      <c r="E858" s="3" t="s">
        <v>2584</v>
      </c>
      <c r="F858" s="3" t="s">
        <v>157</v>
      </c>
      <c r="G858" s="3" t="s">
        <v>158</v>
      </c>
      <c r="H858" s="43">
        <f t="shared" ref="H858:I858" si="1717">LEN(D858)-LEN(B858)+1</f>
        <v>3</v>
      </c>
      <c r="I858" s="43">
        <f t="shared" si="1717"/>
        <v>3</v>
      </c>
      <c r="J858" s="4">
        <v>1.0</v>
      </c>
      <c r="K858" s="4">
        <v>1.0</v>
      </c>
      <c r="L858" s="5" t="str">
        <f t="shared" ref="L858:M858" si="1718">IFS(J858="-", "-", J858=H858, "Final", J858=1, "Initial", J858&gt;1, "Medial")</f>
        <v>Initial</v>
      </c>
      <c r="M858" s="44" t="str">
        <f t="shared" si="1718"/>
        <v>Initial</v>
      </c>
      <c r="N858" s="5" t="str">
        <f t="shared" si="5"/>
        <v>0</v>
      </c>
      <c r="O858" s="5" t="str">
        <f t="shared" si="6"/>
        <v>ˈlo</v>
      </c>
      <c r="P858" s="5" t="str">
        <f t="shared" si="7"/>
        <v>0</v>
      </c>
      <c r="Q858" s="5" t="str">
        <f t="shared" si="8"/>
        <v>ˈlu</v>
      </c>
      <c r="R858" s="3" t="s">
        <v>72</v>
      </c>
      <c r="S858" s="3" t="s">
        <v>2585</v>
      </c>
      <c r="T858" s="3" t="s">
        <v>2474</v>
      </c>
      <c r="U858" s="3" t="s">
        <v>22</v>
      </c>
      <c r="V858" s="5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>
      <c r="A859" s="3" t="s">
        <v>14</v>
      </c>
      <c r="B859" s="3" t="s">
        <v>2581</v>
      </c>
      <c r="C859" s="3" t="s">
        <v>2582</v>
      </c>
      <c r="D859" s="3" t="s">
        <v>2583</v>
      </c>
      <c r="E859" s="3" t="s">
        <v>2584</v>
      </c>
      <c r="F859" s="3" t="s">
        <v>2105</v>
      </c>
      <c r="G859" s="3" t="s">
        <v>2132</v>
      </c>
      <c r="H859" s="43">
        <f t="shared" ref="H859:I859" si="1719">LEN(D859)-LEN(B859)+1</f>
        <v>3</v>
      </c>
      <c r="I859" s="43">
        <f t="shared" si="1719"/>
        <v>3</v>
      </c>
      <c r="J859" s="4">
        <v>2.0</v>
      </c>
      <c r="K859" s="4">
        <v>2.0</v>
      </c>
      <c r="L859" s="5" t="str">
        <f t="shared" ref="L859:M859" si="1720">IFS(J859="-", "-", J859=H859, "Final", J859=1, "Initial", J859&gt;1, "Medial")</f>
        <v>Medial</v>
      </c>
      <c r="M859" s="44" t="str">
        <f t="shared" si="1720"/>
        <v>Medial</v>
      </c>
      <c r="N859" s="5" t="str">
        <f t="shared" si="5"/>
        <v>ma</v>
      </c>
      <c r="O859" s="5" t="str">
        <f t="shared" si="6"/>
        <v>ko</v>
      </c>
      <c r="P859" s="5" t="str">
        <f t="shared" si="7"/>
        <v>mɐ</v>
      </c>
      <c r="Q859" s="5" t="str">
        <f t="shared" si="8"/>
        <v>ku</v>
      </c>
      <c r="R859" s="3"/>
      <c r="S859" s="3" t="s">
        <v>2585</v>
      </c>
      <c r="T859" s="3" t="s">
        <v>2474</v>
      </c>
      <c r="U859" s="3" t="s">
        <v>22</v>
      </c>
      <c r="V859" s="5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>
      <c r="A860" s="3" t="s">
        <v>14</v>
      </c>
      <c r="B860" s="3" t="s">
        <v>2581</v>
      </c>
      <c r="C860" s="3" t="s">
        <v>2582</v>
      </c>
      <c r="D860" s="3" t="s">
        <v>2583</v>
      </c>
      <c r="E860" s="3" t="s">
        <v>2584</v>
      </c>
      <c r="F860" s="3" t="s">
        <v>419</v>
      </c>
      <c r="G860" s="3" t="s">
        <v>425</v>
      </c>
      <c r="H860" s="43">
        <f t="shared" ref="H860:I860" si="1721">LEN(D860)-LEN(B860)+1</f>
        <v>3</v>
      </c>
      <c r="I860" s="43">
        <f t="shared" si="1721"/>
        <v>3</v>
      </c>
      <c r="J860" s="4">
        <v>3.0</v>
      </c>
      <c r="K860" s="4">
        <v>3.0</v>
      </c>
      <c r="L860" s="5" t="str">
        <f t="shared" ref="L860:M860" si="1722">IFS(J860="-", "-", J860=H860, "Final", J860=1, "Initial", J860&gt;1, "Medial")</f>
        <v>Final</v>
      </c>
      <c r="M860" s="44" t="str">
        <f t="shared" si="1722"/>
        <v>Final</v>
      </c>
      <c r="N860" s="5" t="str">
        <f t="shared" si="5"/>
        <v>ˈlo</v>
      </c>
      <c r="O860" s="5">
        <f t="shared" si="6"/>
        <v>3</v>
      </c>
      <c r="P860" s="5" t="str">
        <f t="shared" si="7"/>
        <v>ˈlu</v>
      </c>
      <c r="Q860" s="5">
        <f t="shared" si="8"/>
        <v>3</v>
      </c>
      <c r="R860" s="3"/>
      <c r="S860" s="3" t="s">
        <v>2585</v>
      </c>
      <c r="T860" s="3" t="s">
        <v>2474</v>
      </c>
      <c r="U860" s="3" t="s">
        <v>22</v>
      </c>
      <c r="V860" s="5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>
      <c r="A861" s="3" t="s">
        <v>14</v>
      </c>
      <c r="B861" s="3" t="s">
        <v>2586</v>
      </c>
      <c r="C861" s="3" t="s">
        <v>2586</v>
      </c>
      <c r="D861" s="3" t="s">
        <v>2587</v>
      </c>
      <c r="E861" s="3" t="s">
        <v>2587</v>
      </c>
      <c r="F861" s="3" t="s">
        <v>162</v>
      </c>
      <c r="G861" s="3" t="s">
        <v>162</v>
      </c>
      <c r="H861" s="43">
        <f t="shared" ref="H861:I861" si="1723">LEN(D861)-LEN(B861)+1</f>
        <v>2</v>
      </c>
      <c r="I861" s="43">
        <f t="shared" si="1723"/>
        <v>2</v>
      </c>
      <c r="J861" s="4">
        <v>1.0</v>
      </c>
      <c r="K861" s="4">
        <v>1.0</v>
      </c>
      <c r="L861" s="5" t="str">
        <f t="shared" ref="L861:M861" si="1724">IFS(J861="-", "-", J861=H861, "Final", J861=1, "Initial", J861&gt;1, "Medial")</f>
        <v>Initial</v>
      </c>
      <c r="M861" s="44" t="str">
        <f t="shared" si="1724"/>
        <v>Initial</v>
      </c>
      <c r="N861" s="5" t="str">
        <f t="shared" si="5"/>
        <v>0</v>
      </c>
      <c r="O861" s="5" t="str">
        <f t="shared" si="6"/>
        <v>su</v>
      </c>
      <c r="P861" s="5" t="str">
        <f t="shared" si="7"/>
        <v>0</v>
      </c>
      <c r="Q861" s="5" t="str">
        <f t="shared" si="8"/>
        <v>su</v>
      </c>
      <c r="R861" s="3"/>
      <c r="S861" s="3" t="s">
        <v>2588</v>
      </c>
      <c r="T861" s="3" t="s">
        <v>2589</v>
      </c>
      <c r="U861" s="3" t="s">
        <v>22</v>
      </c>
      <c r="V861" s="5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>
      <c r="A862" s="3" t="s">
        <v>14</v>
      </c>
      <c r="B862" s="3" t="s">
        <v>2586</v>
      </c>
      <c r="C862" s="3" t="s">
        <v>2586</v>
      </c>
      <c r="D862" s="3" t="s">
        <v>2587</v>
      </c>
      <c r="E862" s="3" t="s">
        <v>2587</v>
      </c>
      <c r="F862" s="3" t="s">
        <v>362</v>
      </c>
      <c r="G862" s="3" t="s">
        <v>362</v>
      </c>
      <c r="H862" s="43">
        <f t="shared" ref="H862:I862" si="1725">LEN(D862)-LEN(B862)+1</f>
        <v>2</v>
      </c>
      <c r="I862" s="43">
        <f t="shared" si="1725"/>
        <v>2</v>
      </c>
      <c r="J862" s="4">
        <v>2.0</v>
      </c>
      <c r="K862" s="4">
        <v>2.0</v>
      </c>
      <c r="L862" s="5" t="str">
        <f t="shared" ref="L862:M862" si="1726">IFS(J862="-", "-", J862=H862, "Final", J862=1, "Initial", J862&gt;1, "Medial")</f>
        <v>Final</v>
      </c>
      <c r="M862" s="44" t="str">
        <f t="shared" si="1726"/>
        <v>Final</v>
      </c>
      <c r="N862" s="5" t="str">
        <f t="shared" si="5"/>
        <v>ˈmɐ̃</v>
      </c>
      <c r="O862" s="5">
        <f t="shared" si="6"/>
        <v>2</v>
      </c>
      <c r="P862" s="5" t="str">
        <f t="shared" si="7"/>
        <v>ˈmɐ̃</v>
      </c>
      <c r="Q862" s="5">
        <f t="shared" si="8"/>
        <v>2</v>
      </c>
      <c r="R862" s="3"/>
      <c r="S862" s="3" t="s">
        <v>2588</v>
      </c>
      <c r="T862" s="3" t="s">
        <v>2589</v>
      </c>
      <c r="U862" s="3" t="s">
        <v>22</v>
      </c>
      <c r="V862" s="5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>
      <c r="A863" s="3" t="s">
        <v>14</v>
      </c>
      <c r="B863" s="3" t="s">
        <v>2590</v>
      </c>
      <c r="C863" s="3" t="s">
        <v>2591</v>
      </c>
      <c r="D863" s="3" t="s">
        <v>2590</v>
      </c>
      <c r="E863" s="3" t="s">
        <v>2592</v>
      </c>
      <c r="F863" s="3" t="s">
        <v>2590</v>
      </c>
      <c r="G863" s="3" t="s">
        <v>739</v>
      </c>
      <c r="H863" s="43">
        <f t="shared" ref="H863:I863" si="1727">LEN(D863)-LEN(B863)+1</f>
        <v>1</v>
      </c>
      <c r="I863" s="43">
        <f t="shared" si="1727"/>
        <v>2</v>
      </c>
      <c r="J863" s="4">
        <v>1.0</v>
      </c>
      <c r="K863" s="4">
        <v>1.0</v>
      </c>
      <c r="L863" s="5" t="str">
        <f t="shared" ref="L863:M863" si="1728">IFS(J863="-", "-", J863=H863, "Final", J863=1, "Initial", J863&gt;1, "Medial")</f>
        <v>Final</v>
      </c>
      <c r="M863" s="44" t="str">
        <f t="shared" si="1728"/>
        <v>Initial</v>
      </c>
      <c r="N863" s="5" t="str">
        <f t="shared" si="5"/>
        <v>0</v>
      </c>
      <c r="O863" s="5" t="str">
        <f t="shared" si="6"/>
        <v>-</v>
      </c>
      <c r="P863" s="5" t="str">
        <f t="shared" si="7"/>
        <v>0</v>
      </c>
      <c r="Q863" s="5" t="str">
        <f t="shared" si="8"/>
        <v>ˈʎoɾ</v>
      </c>
      <c r="R863" s="3" t="s">
        <v>80</v>
      </c>
      <c r="S863" s="3" t="s">
        <v>2593</v>
      </c>
      <c r="T863" s="3" t="s">
        <v>2594</v>
      </c>
      <c r="U863" s="3" t="s">
        <v>22</v>
      </c>
      <c r="V863" s="5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>
      <c r="A864" s="3" t="s">
        <v>14</v>
      </c>
      <c r="B864" s="3" t="s">
        <v>2590</v>
      </c>
      <c r="C864" s="3" t="s">
        <v>2591</v>
      </c>
      <c r="D864" s="3" t="s">
        <v>2590</v>
      </c>
      <c r="E864" s="3" t="s">
        <v>2592</v>
      </c>
      <c r="F864" s="3" t="s">
        <v>36</v>
      </c>
      <c r="G864" s="3" t="s">
        <v>2595</v>
      </c>
      <c r="H864" s="43">
        <f t="shared" ref="H864:I864" si="1729">LEN(D864)-LEN(B864)+1</f>
        <v>1</v>
      </c>
      <c r="I864" s="43">
        <f t="shared" si="1729"/>
        <v>2</v>
      </c>
      <c r="J864" s="4" t="s">
        <v>36</v>
      </c>
      <c r="K864" s="4">
        <v>2.0</v>
      </c>
      <c r="L864" s="5" t="str">
        <f t="shared" ref="L864:M864" si="1730">IFS(J864="-", "-", J864=H864, "Final", J864=1, "Initial", J864&gt;1, "Medial")</f>
        <v>-</v>
      </c>
      <c r="M864" s="44" t="str">
        <f t="shared" si="1730"/>
        <v>Final</v>
      </c>
      <c r="N864" s="5" t="str">
        <f t="shared" si="5"/>
        <v>ˈmjo</v>
      </c>
      <c r="O864" s="5" t="str">
        <f t="shared" si="6"/>
        <v>-</v>
      </c>
      <c r="P864" s="5" t="str">
        <f t="shared" si="7"/>
        <v>mɨ</v>
      </c>
      <c r="Q864" s="5">
        <f t="shared" si="8"/>
        <v>2</v>
      </c>
      <c r="R864" s="3"/>
      <c r="S864" s="3" t="s">
        <v>2593</v>
      </c>
      <c r="T864" s="3" t="s">
        <v>2594</v>
      </c>
      <c r="U864" s="3" t="s">
        <v>22</v>
      </c>
      <c r="V864" s="5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>
      <c r="A865" s="3" t="s">
        <v>14</v>
      </c>
      <c r="B865" s="3" t="s">
        <v>2596</v>
      </c>
      <c r="C865" s="3" t="s">
        <v>2597</v>
      </c>
      <c r="D865" s="3" t="s">
        <v>2598</v>
      </c>
      <c r="E865" s="3" t="s">
        <v>2599</v>
      </c>
      <c r="F865" s="3" t="s">
        <v>2600</v>
      </c>
      <c r="G865" s="3" t="s">
        <v>202</v>
      </c>
      <c r="H865" s="43">
        <f t="shared" ref="H865:I865" si="1731">LEN(D865)-LEN(B865)+1</f>
        <v>2</v>
      </c>
      <c r="I865" s="43">
        <f t="shared" si="1731"/>
        <v>2</v>
      </c>
      <c r="J865" s="4">
        <v>1.0</v>
      </c>
      <c r="K865" s="4">
        <v>1.0</v>
      </c>
      <c r="L865" s="5" t="str">
        <f t="shared" ref="L865:M865" si="1732">IFS(J865="-", "-", J865=H865, "Final", J865=1, "Initial", J865&gt;1, "Medial")</f>
        <v>Initial</v>
      </c>
      <c r="M865" s="44" t="str">
        <f t="shared" si="1732"/>
        <v>Initial</v>
      </c>
      <c r="N865" s="5" t="str">
        <f t="shared" si="5"/>
        <v>0</v>
      </c>
      <c r="O865" s="5" t="str">
        <f t="shared" si="6"/>
        <v>li</v>
      </c>
      <c r="P865" s="5" t="str">
        <f t="shared" si="7"/>
        <v>0</v>
      </c>
      <c r="Q865" s="5" t="str">
        <f t="shared" si="8"/>
        <v>lɨ</v>
      </c>
      <c r="R865" s="3"/>
      <c r="S865" s="3" t="s">
        <v>2601</v>
      </c>
      <c r="T865" s="3" t="s">
        <v>2602</v>
      </c>
      <c r="U865" s="3" t="s">
        <v>22</v>
      </c>
      <c r="V865" s="5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>
      <c r="A866" s="3" t="s">
        <v>14</v>
      </c>
      <c r="B866" s="3" t="s">
        <v>2596</v>
      </c>
      <c r="C866" s="3" t="s">
        <v>2597</v>
      </c>
      <c r="D866" s="3" t="s">
        <v>2598</v>
      </c>
      <c r="E866" s="3" t="s">
        <v>2599</v>
      </c>
      <c r="F866" s="3" t="s">
        <v>197</v>
      </c>
      <c r="G866" s="3" t="s">
        <v>503</v>
      </c>
      <c r="H866" s="43">
        <f t="shared" ref="H866:I866" si="1733">LEN(D866)-LEN(B866)+1</f>
        <v>2</v>
      </c>
      <c r="I866" s="43">
        <f t="shared" si="1733"/>
        <v>2</v>
      </c>
      <c r="J866" s="4">
        <v>2.0</v>
      </c>
      <c r="K866" s="4">
        <v>2.0</v>
      </c>
      <c r="L866" s="5" t="str">
        <f t="shared" ref="L866:M866" si="1734">IFS(J866="-", "-", J866=H866, "Final", J866=1, "Initial", J866&gt;1, "Medial")</f>
        <v>Final</v>
      </c>
      <c r="M866" s="44" t="str">
        <f t="shared" si="1734"/>
        <v>Final</v>
      </c>
      <c r="N866" s="5" t="str">
        <f t="shared" si="5"/>
        <v>ˈmɔ</v>
      </c>
      <c r="O866" s="5">
        <f t="shared" si="6"/>
        <v>2</v>
      </c>
      <c r="P866" s="5" t="str">
        <f t="shared" si="7"/>
        <v>ˈmo</v>
      </c>
      <c r="Q866" s="5">
        <f t="shared" si="8"/>
        <v>2</v>
      </c>
      <c r="R866" s="3"/>
      <c r="S866" s="3" t="s">
        <v>2601</v>
      </c>
      <c r="T866" s="3" t="s">
        <v>2602</v>
      </c>
      <c r="U866" s="3" t="s">
        <v>22</v>
      </c>
      <c r="V866" s="5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>
      <c r="A867" s="3" t="s">
        <v>14</v>
      </c>
      <c r="B867" s="3" t="s">
        <v>2603</v>
      </c>
      <c r="C867" s="3" t="s">
        <v>2604</v>
      </c>
      <c r="D867" s="3" t="s">
        <v>2605</v>
      </c>
      <c r="E867" s="3" t="s">
        <v>2606</v>
      </c>
      <c r="F867" s="3" t="s">
        <v>2607</v>
      </c>
      <c r="G867" s="3" t="s">
        <v>610</v>
      </c>
      <c r="H867" s="43">
        <f t="shared" ref="H867:I867" si="1735">LEN(D867)-LEN(B867)+1</f>
        <v>2</v>
      </c>
      <c r="I867" s="43">
        <f t="shared" si="1735"/>
        <v>3</v>
      </c>
      <c r="J867" s="4">
        <v>1.0</v>
      </c>
      <c r="K867" s="4">
        <v>1.0</v>
      </c>
      <c r="L867" s="5" t="str">
        <f t="shared" ref="L867:M867" si="1736">IFS(J867="-", "-", J867=H867, "Final", J867=1, "Initial", J867&gt;1, "Medial")</f>
        <v>Initial</v>
      </c>
      <c r="M867" s="44" t="str">
        <f t="shared" si="1736"/>
        <v>Initial</v>
      </c>
      <c r="N867" s="5" t="str">
        <f t="shared" si="5"/>
        <v>0</v>
      </c>
      <c r="O867" s="5" t="str">
        <f t="shared" si="6"/>
        <v>-</v>
      </c>
      <c r="P867" s="5" t="str">
        <f t="shared" si="7"/>
        <v>0</v>
      </c>
      <c r="Q867" s="5" t="str">
        <f t="shared" si="8"/>
        <v>ˈʎa</v>
      </c>
      <c r="R867" s="3" t="s">
        <v>80</v>
      </c>
      <c r="S867" s="3" t="s">
        <v>2608</v>
      </c>
      <c r="T867" s="3" t="s">
        <v>2609</v>
      </c>
      <c r="U867" s="3" t="s">
        <v>22</v>
      </c>
      <c r="V867" s="5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>
      <c r="A868" s="3" t="s">
        <v>14</v>
      </c>
      <c r="B868" s="3" t="s">
        <v>2603</v>
      </c>
      <c r="C868" s="3" t="s">
        <v>2604</v>
      </c>
      <c r="D868" s="3" t="s">
        <v>2605</v>
      </c>
      <c r="E868" s="3" t="s">
        <v>2606</v>
      </c>
      <c r="F868" s="3" t="s">
        <v>36</v>
      </c>
      <c r="G868" s="3" t="s">
        <v>2610</v>
      </c>
      <c r="H868" s="43">
        <f t="shared" ref="H868:I868" si="1737">LEN(D868)-LEN(B868)+1</f>
        <v>2</v>
      </c>
      <c r="I868" s="43">
        <f t="shared" si="1737"/>
        <v>3</v>
      </c>
      <c r="J868" s="4" t="s">
        <v>36</v>
      </c>
      <c r="K868" s="4">
        <v>2.0</v>
      </c>
      <c r="L868" s="5" t="str">
        <f t="shared" ref="L868:M868" si="1738">IFS(J868="-", "-", J868=H868, "Final", J868=1, "Initial", J868&gt;1, "Medial")</f>
        <v>-</v>
      </c>
      <c r="M868" s="44" t="str">
        <f t="shared" si="1738"/>
        <v>Medial</v>
      </c>
      <c r="N868" s="5" t="str">
        <f t="shared" si="5"/>
        <v>ˈmwa</v>
      </c>
      <c r="O868" s="5" t="str">
        <f t="shared" si="6"/>
        <v>du</v>
      </c>
      <c r="P868" s="5" t="str">
        <f t="shared" si="7"/>
        <v>mu</v>
      </c>
      <c r="Q868" s="5" t="str">
        <f t="shared" si="8"/>
        <v>du</v>
      </c>
      <c r="R868" s="3"/>
      <c r="S868" s="3" t="s">
        <v>2608</v>
      </c>
      <c r="T868" s="3" t="s">
        <v>2609</v>
      </c>
      <c r="U868" s="3" t="s">
        <v>22</v>
      </c>
      <c r="V868" s="5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>
      <c r="A869" s="3" t="s">
        <v>14</v>
      </c>
      <c r="B869" s="3" t="s">
        <v>2603</v>
      </c>
      <c r="C869" s="3" t="s">
        <v>2604</v>
      </c>
      <c r="D869" s="3" t="s">
        <v>2605</v>
      </c>
      <c r="E869" s="3" t="s">
        <v>2606</v>
      </c>
      <c r="F869" s="3" t="s">
        <v>387</v>
      </c>
      <c r="G869" s="3" t="s">
        <v>387</v>
      </c>
      <c r="H869" s="43">
        <f t="shared" ref="H869:I869" si="1739">LEN(D869)-LEN(B869)+1</f>
        <v>2</v>
      </c>
      <c r="I869" s="43">
        <f t="shared" si="1739"/>
        <v>3</v>
      </c>
      <c r="J869" s="4">
        <v>2.0</v>
      </c>
      <c r="K869" s="4">
        <v>3.0</v>
      </c>
      <c r="L869" s="5" t="str">
        <f t="shared" ref="L869:M869" si="1740">IFS(J869="-", "-", J869=H869, "Final", J869=1, "Initial", J869&gt;1, "Medial")</f>
        <v>Final</v>
      </c>
      <c r="M869" s="44" t="str">
        <f t="shared" si="1740"/>
        <v>Final</v>
      </c>
      <c r="N869" s="5" t="str">
        <f t="shared" si="5"/>
        <v>-</v>
      </c>
      <c r="O869" s="5">
        <f t="shared" si="6"/>
        <v>2</v>
      </c>
      <c r="P869" s="5" t="str">
        <f t="shared" si="7"/>
        <v>ˈʎa</v>
      </c>
      <c r="Q869" s="5">
        <f t="shared" si="8"/>
        <v>3</v>
      </c>
      <c r="R869" s="3"/>
      <c r="S869" s="3" t="s">
        <v>2608</v>
      </c>
      <c r="T869" s="3" t="s">
        <v>2609</v>
      </c>
      <c r="U869" s="3" t="s">
        <v>22</v>
      </c>
      <c r="V869" s="5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>
      <c r="A870" s="3" t="s">
        <v>14</v>
      </c>
      <c r="B870" s="3" t="s">
        <v>2611</v>
      </c>
      <c r="C870" s="3" t="s">
        <v>2612</v>
      </c>
      <c r="D870" s="3" t="s">
        <v>2613</v>
      </c>
      <c r="E870" s="3" t="s">
        <v>2614</v>
      </c>
      <c r="F870" s="3" t="s">
        <v>202</v>
      </c>
      <c r="G870" s="3" t="s">
        <v>202</v>
      </c>
      <c r="H870" s="43">
        <f t="shared" ref="H870:I870" si="1741">LEN(D870)-LEN(B870)+1</f>
        <v>2</v>
      </c>
      <c r="I870" s="43">
        <f t="shared" si="1741"/>
        <v>2</v>
      </c>
      <c r="J870" s="4">
        <v>1.0</v>
      </c>
      <c r="K870" s="4">
        <v>1.0</v>
      </c>
      <c r="L870" s="5" t="str">
        <f t="shared" ref="L870:M870" si="1742">IFS(J870="-", "-", J870=H870, "Final", J870=1, "Initial", J870&gt;1, "Medial")</f>
        <v>Initial</v>
      </c>
      <c r="M870" s="44" t="str">
        <f t="shared" si="1742"/>
        <v>Initial</v>
      </c>
      <c r="N870" s="5" t="str">
        <f t="shared" si="5"/>
        <v>0</v>
      </c>
      <c r="O870" s="5" t="str">
        <f t="shared" si="6"/>
        <v>ro</v>
      </c>
      <c r="P870" s="5" t="str">
        <f t="shared" si="7"/>
        <v>0</v>
      </c>
      <c r="Q870" s="5" t="str">
        <f t="shared" si="8"/>
        <v>ɾu</v>
      </c>
      <c r="R870" s="3"/>
      <c r="S870" s="3" t="s">
        <v>2615</v>
      </c>
      <c r="T870" s="3" t="s">
        <v>2616</v>
      </c>
      <c r="U870" s="3" t="s">
        <v>22</v>
      </c>
      <c r="V870" s="5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>
      <c r="A871" s="3" t="s">
        <v>14</v>
      </c>
      <c r="B871" s="3" t="s">
        <v>2611</v>
      </c>
      <c r="C871" s="3" t="s">
        <v>2612</v>
      </c>
      <c r="D871" s="3" t="s">
        <v>2613</v>
      </c>
      <c r="E871" s="3" t="s">
        <v>2614</v>
      </c>
      <c r="F871" s="3" t="s">
        <v>1982</v>
      </c>
      <c r="G871" s="3" t="s">
        <v>1983</v>
      </c>
      <c r="H871" s="43">
        <f t="shared" ref="H871:I871" si="1743">LEN(D871)-LEN(B871)+1</f>
        <v>2</v>
      </c>
      <c r="I871" s="43">
        <f t="shared" si="1743"/>
        <v>2</v>
      </c>
      <c r="J871" s="4">
        <v>2.0</v>
      </c>
      <c r="K871" s="4">
        <v>2.0</v>
      </c>
      <c r="L871" s="5" t="str">
        <f t="shared" ref="L871:M871" si="1744">IFS(J871="-", "-", J871=H871, "Final", J871=1, "Initial", J871&gt;1, "Medial")</f>
        <v>Final</v>
      </c>
      <c r="M871" s="44" t="str">
        <f t="shared" si="1744"/>
        <v>Final</v>
      </c>
      <c r="N871" s="5" t="str">
        <f t="shared" si="5"/>
        <v>ˈmo</v>
      </c>
      <c r="O871" s="5">
        <f t="shared" si="6"/>
        <v>2</v>
      </c>
      <c r="P871" s="5" t="str">
        <f t="shared" si="7"/>
        <v>ˈmo</v>
      </c>
      <c r="Q871" s="5">
        <f t="shared" si="8"/>
        <v>2</v>
      </c>
      <c r="R871" s="3"/>
      <c r="S871" s="3" t="s">
        <v>2615</v>
      </c>
      <c r="T871" s="3" t="s">
        <v>2616</v>
      </c>
      <c r="U871" s="3" t="s">
        <v>22</v>
      </c>
      <c r="V871" s="5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>
      <c r="A872" s="3" t="s">
        <v>14</v>
      </c>
      <c r="B872" s="3" t="s">
        <v>2617</v>
      </c>
      <c r="C872" s="3" t="s">
        <v>2617</v>
      </c>
      <c r="D872" s="3" t="s">
        <v>2618</v>
      </c>
      <c r="E872" s="3" t="s">
        <v>2618</v>
      </c>
      <c r="F872" s="3" t="s">
        <v>549</v>
      </c>
      <c r="G872" s="3" t="s">
        <v>549</v>
      </c>
      <c r="H872" s="43">
        <f t="shared" ref="H872:I872" si="1745">LEN(D872)-LEN(B872)+1</f>
        <v>2</v>
      </c>
      <c r="I872" s="43">
        <f t="shared" si="1745"/>
        <v>2</v>
      </c>
      <c r="J872" s="4">
        <v>1.0</v>
      </c>
      <c r="K872" s="4">
        <v>1.0</v>
      </c>
      <c r="L872" s="5" t="str">
        <f t="shared" ref="L872:M872" si="1746">IFS(J872="-", "-", J872=H872, "Final", J872=1, "Initial", J872&gt;1, "Medial")</f>
        <v>Initial</v>
      </c>
      <c r="M872" s="44" t="str">
        <f t="shared" si="1746"/>
        <v>Initial</v>
      </c>
      <c r="N872" s="5" t="str">
        <f t="shared" si="5"/>
        <v>0</v>
      </c>
      <c r="O872" s="5" t="str">
        <f t="shared" si="6"/>
        <v>du</v>
      </c>
      <c r="P872" s="5" t="str">
        <f t="shared" si="7"/>
        <v>0</v>
      </c>
      <c r="Q872" s="5" t="str">
        <f t="shared" si="8"/>
        <v>du</v>
      </c>
      <c r="R872" s="3"/>
      <c r="S872" s="3" t="s">
        <v>2619</v>
      </c>
      <c r="T872" s="3" t="s">
        <v>2620</v>
      </c>
      <c r="U872" s="3" t="s">
        <v>22</v>
      </c>
      <c r="V872" s="5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>
      <c r="A873" s="3" t="s">
        <v>14</v>
      </c>
      <c r="B873" s="3" t="s">
        <v>2617</v>
      </c>
      <c r="C873" s="3" t="s">
        <v>2617</v>
      </c>
      <c r="D873" s="3" t="s">
        <v>2618</v>
      </c>
      <c r="E873" s="3" t="s">
        <v>2618</v>
      </c>
      <c r="F873" s="3" t="s">
        <v>387</v>
      </c>
      <c r="G873" s="3" t="s">
        <v>387</v>
      </c>
      <c r="H873" s="43">
        <f t="shared" ref="H873:I873" si="1747">LEN(D873)-LEN(B873)+1</f>
        <v>2</v>
      </c>
      <c r="I873" s="43">
        <f t="shared" si="1747"/>
        <v>2</v>
      </c>
      <c r="J873" s="4">
        <v>2.0</v>
      </c>
      <c r="K873" s="4">
        <v>2.0</v>
      </c>
      <c r="L873" s="5" t="str">
        <f t="shared" ref="L873:M873" si="1748">IFS(J873="-", "-", J873=H873, "Final", J873=1, "Initial", J873&gt;1, "Medial")</f>
        <v>Final</v>
      </c>
      <c r="M873" s="44" t="str">
        <f t="shared" si="1748"/>
        <v>Final</v>
      </c>
      <c r="N873" s="5" t="str">
        <f t="shared" si="5"/>
        <v>ˈmu</v>
      </c>
      <c r="O873" s="5">
        <f t="shared" si="6"/>
        <v>2</v>
      </c>
      <c r="P873" s="5" t="str">
        <f t="shared" si="7"/>
        <v>ˈmu</v>
      </c>
      <c r="Q873" s="5">
        <f t="shared" si="8"/>
        <v>2</v>
      </c>
      <c r="R873" s="3"/>
      <c r="S873" s="3" t="s">
        <v>2619</v>
      </c>
      <c r="T873" s="3" t="s">
        <v>2620</v>
      </c>
      <c r="U873" s="3" t="s">
        <v>22</v>
      </c>
      <c r="V873" s="5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>
      <c r="A874" s="3" t="s">
        <v>14</v>
      </c>
      <c r="B874" s="3" t="s">
        <v>2621</v>
      </c>
      <c r="C874" s="3" t="s">
        <v>2622</v>
      </c>
      <c r="D874" s="3" t="s">
        <v>2623</v>
      </c>
      <c r="E874" s="3" t="s">
        <v>2624</v>
      </c>
      <c r="F874" s="17" t="s">
        <v>36</v>
      </c>
      <c r="G874" s="3" t="s">
        <v>287</v>
      </c>
      <c r="H874" s="43">
        <f t="shared" ref="H874:I874" si="1749">LEN(D874)-LEN(B874)+1</f>
        <v>3</v>
      </c>
      <c r="I874" s="43">
        <f t="shared" si="1749"/>
        <v>4</v>
      </c>
      <c r="J874" s="4" t="s">
        <v>36</v>
      </c>
      <c r="K874" s="4">
        <v>1.0</v>
      </c>
      <c r="L874" s="5" t="str">
        <f t="shared" ref="L874:M874" si="1750">IFS(J874="-", "-", J874=H874, "Final", J874=1, "Initial", J874&gt;1, "Medial")</f>
        <v>-</v>
      </c>
      <c r="M874" s="44" t="str">
        <f t="shared" si="1750"/>
        <v>Initial</v>
      </c>
      <c r="N874" s="5" t="str">
        <f t="shared" si="5"/>
        <v>0</v>
      </c>
      <c r="O874" s="5" t="str">
        <f t="shared" si="6"/>
        <v>ni</v>
      </c>
      <c r="P874" s="5" t="str">
        <f t="shared" si="7"/>
        <v>0</v>
      </c>
      <c r="Q874" s="5" t="str">
        <f t="shared" si="8"/>
        <v>nɨ</v>
      </c>
      <c r="R874" s="3" t="s">
        <v>80</v>
      </c>
      <c r="S874" s="3" t="s">
        <v>2625</v>
      </c>
      <c r="T874" s="3" t="s">
        <v>2626</v>
      </c>
      <c r="U874" s="3" t="s">
        <v>22</v>
      </c>
      <c r="V874" s="5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>
      <c r="A875" s="3" t="s">
        <v>14</v>
      </c>
      <c r="B875" s="3" t="s">
        <v>2621</v>
      </c>
      <c r="C875" s="3" t="s">
        <v>2622</v>
      </c>
      <c r="D875" s="3" t="s">
        <v>2623</v>
      </c>
      <c r="E875" s="3" t="s">
        <v>2624</v>
      </c>
      <c r="F875" s="3" t="s">
        <v>133</v>
      </c>
      <c r="G875" s="3" t="s">
        <v>134</v>
      </c>
      <c r="H875" s="43">
        <f t="shared" ref="H875:I875" si="1751">LEN(D875)-LEN(B875)+1</f>
        <v>3</v>
      </c>
      <c r="I875" s="43">
        <f t="shared" si="1751"/>
        <v>4</v>
      </c>
      <c r="J875" s="4">
        <v>1.0</v>
      </c>
      <c r="K875" s="4">
        <v>2.0</v>
      </c>
      <c r="L875" s="5" t="str">
        <f t="shared" ref="L875:M875" si="1752">IFS(J875="-", "-", J875=H875, "Final", J875=1, "Initial", J875&gt;1, "Medial")</f>
        <v>Initial</v>
      </c>
      <c r="M875" s="44" t="str">
        <f t="shared" si="1752"/>
        <v>Medial</v>
      </c>
      <c r="N875" s="5" t="str">
        <f t="shared" si="5"/>
        <v>-</v>
      </c>
      <c r="O875" s="5" t="str">
        <f t="shared" si="6"/>
        <v>ˈmi</v>
      </c>
      <c r="P875" s="5" t="str">
        <f t="shared" si="7"/>
        <v>i</v>
      </c>
      <c r="Q875" s="5" t="str">
        <f t="shared" si="8"/>
        <v>ˈmi</v>
      </c>
      <c r="R875" s="3"/>
      <c r="S875" s="3" t="s">
        <v>2625</v>
      </c>
      <c r="T875" s="3" t="s">
        <v>2626</v>
      </c>
      <c r="U875" s="3" t="s">
        <v>22</v>
      </c>
      <c r="V875" s="5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>
      <c r="A876" s="3" t="s">
        <v>14</v>
      </c>
      <c r="B876" s="3" t="s">
        <v>2621</v>
      </c>
      <c r="C876" s="3" t="s">
        <v>2622</v>
      </c>
      <c r="D876" s="3" t="s">
        <v>2623</v>
      </c>
      <c r="E876" s="3" t="s">
        <v>2624</v>
      </c>
      <c r="F876" s="3" t="s">
        <v>918</v>
      </c>
      <c r="G876" s="3" t="s">
        <v>918</v>
      </c>
      <c r="H876" s="43">
        <f t="shared" ref="H876:I876" si="1753">LEN(D876)-LEN(B876)+1</f>
        <v>3</v>
      </c>
      <c r="I876" s="43">
        <f t="shared" si="1753"/>
        <v>4</v>
      </c>
      <c r="J876" s="4">
        <v>2.0</v>
      </c>
      <c r="K876" s="4">
        <v>3.0</v>
      </c>
      <c r="L876" s="5" t="str">
        <f t="shared" ref="L876:M876" si="1754">IFS(J876="-", "-", J876=H876, "Final", J876=1, "Initial", J876&gt;1, "Medial")</f>
        <v>Medial</v>
      </c>
      <c r="M876" s="44" t="str">
        <f t="shared" si="1754"/>
        <v>Medial</v>
      </c>
      <c r="N876" s="5" t="str">
        <f t="shared" si="5"/>
        <v>ni</v>
      </c>
      <c r="O876" s="5" t="str">
        <f t="shared" si="6"/>
        <v>gu</v>
      </c>
      <c r="P876" s="5" t="str">
        <f t="shared" si="7"/>
        <v>nɨ</v>
      </c>
      <c r="Q876" s="5" t="str">
        <f t="shared" si="8"/>
        <v>gu</v>
      </c>
      <c r="R876" s="3"/>
      <c r="S876" s="3" t="s">
        <v>2625</v>
      </c>
      <c r="T876" s="3" t="s">
        <v>2626</v>
      </c>
      <c r="U876" s="3" t="s">
        <v>22</v>
      </c>
      <c r="V876" s="5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>
      <c r="A877" s="3" t="s">
        <v>14</v>
      </c>
      <c r="B877" s="3" t="s">
        <v>2621</v>
      </c>
      <c r="C877" s="3" t="s">
        <v>2622</v>
      </c>
      <c r="D877" s="3" t="s">
        <v>2623</v>
      </c>
      <c r="E877" s="3" t="s">
        <v>2624</v>
      </c>
      <c r="F877" s="3" t="s">
        <v>98</v>
      </c>
      <c r="G877" s="3" t="s">
        <v>98</v>
      </c>
      <c r="H877" s="43">
        <f t="shared" ref="H877:I877" si="1755">LEN(D877)-LEN(B877)+1</f>
        <v>3</v>
      </c>
      <c r="I877" s="43">
        <f t="shared" si="1755"/>
        <v>4</v>
      </c>
      <c r="J877" s="4">
        <v>3.0</v>
      </c>
      <c r="K877" s="4">
        <v>4.0</v>
      </c>
      <c r="L877" s="5" t="str">
        <f t="shared" ref="L877:M877" si="1756">IFS(J877="-", "-", J877=H877, "Final", J877=1, "Initial", J877&gt;1, "Medial")</f>
        <v>Final</v>
      </c>
      <c r="M877" s="44" t="str">
        <f t="shared" si="1756"/>
        <v>Final</v>
      </c>
      <c r="N877" s="5" t="str">
        <f t="shared" si="5"/>
        <v>ˈmi</v>
      </c>
      <c r="O877" s="5">
        <f t="shared" si="6"/>
        <v>3</v>
      </c>
      <c r="P877" s="5" t="str">
        <f t="shared" si="7"/>
        <v>ˈmi</v>
      </c>
      <c r="Q877" s="5">
        <f t="shared" si="8"/>
        <v>4</v>
      </c>
      <c r="R877" s="3"/>
      <c r="S877" s="3" t="s">
        <v>2625</v>
      </c>
      <c r="T877" s="3" t="s">
        <v>2626</v>
      </c>
      <c r="U877" s="3" t="s">
        <v>22</v>
      </c>
      <c r="V877" s="5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>
      <c r="A878" s="3" t="s">
        <v>14</v>
      </c>
      <c r="B878" s="3" t="s">
        <v>2627</v>
      </c>
      <c r="C878" s="3" t="s">
        <v>2628</v>
      </c>
      <c r="D878" s="3" t="s">
        <v>2629</v>
      </c>
      <c r="E878" s="3" t="s">
        <v>2630</v>
      </c>
      <c r="F878" s="3" t="s">
        <v>2631</v>
      </c>
      <c r="G878" s="3" t="s">
        <v>233</v>
      </c>
      <c r="H878" s="43">
        <f t="shared" ref="H878:I878" si="1757">LEN(D878)-LEN(B878)+1</f>
        <v>2</v>
      </c>
      <c r="I878" s="43">
        <f t="shared" si="1757"/>
        <v>2</v>
      </c>
      <c r="J878" s="4">
        <v>1.0</v>
      </c>
      <c r="K878" s="4">
        <v>1.0</v>
      </c>
      <c r="L878" s="5" t="str">
        <f t="shared" ref="L878:M878" si="1758">IFS(J878="-", "-", J878=H878, "Final", J878=1, "Initial", J878&gt;1, "Medial")</f>
        <v>Initial</v>
      </c>
      <c r="M878" s="44" t="str">
        <f t="shared" si="1758"/>
        <v>Initial</v>
      </c>
      <c r="N878" s="5" t="str">
        <f t="shared" si="5"/>
        <v>0</v>
      </c>
      <c r="O878" s="5" t="str">
        <f t="shared" si="6"/>
        <v>rɔ</v>
      </c>
      <c r="P878" s="5" t="str">
        <f t="shared" si="7"/>
        <v>0</v>
      </c>
      <c r="Q878" s="5" t="str">
        <f t="shared" si="8"/>
        <v>ˈoɾ</v>
      </c>
      <c r="R878" s="3"/>
      <c r="S878" s="3" t="s">
        <v>2632</v>
      </c>
      <c r="T878" s="3" t="s">
        <v>2633</v>
      </c>
      <c r="U878" s="3" t="s">
        <v>22</v>
      </c>
      <c r="V878" s="5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>
      <c r="A879" s="3" t="s">
        <v>14</v>
      </c>
      <c r="B879" s="3" t="s">
        <v>2627</v>
      </c>
      <c r="C879" s="3" t="s">
        <v>2628</v>
      </c>
      <c r="D879" s="3" t="s">
        <v>2629</v>
      </c>
      <c r="E879" s="3" t="s">
        <v>2630</v>
      </c>
      <c r="F879" s="3" t="s">
        <v>2175</v>
      </c>
      <c r="G879" s="3" t="s">
        <v>2634</v>
      </c>
      <c r="H879" s="43">
        <f t="shared" ref="H879:I879" si="1759">LEN(D879)-LEN(B879)+1</f>
        <v>2</v>
      </c>
      <c r="I879" s="43">
        <f t="shared" si="1759"/>
        <v>2</v>
      </c>
      <c r="J879" s="4">
        <v>2.0</v>
      </c>
      <c r="K879" s="4">
        <v>2.0</v>
      </c>
      <c r="L879" s="5" t="str">
        <f t="shared" ref="L879:M879" si="1760">IFS(J879="-", "-", J879=H879, "Final", J879=1, "Initial", J879&gt;1, "Medial")</f>
        <v>Final</v>
      </c>
      <c r="M879" s="44" t="str">
        <f t="shared" si="1760"/>
        <v>Final</v>
      </c>
      <c r="N879" s="5" t="str">
        <f t="shared" si="5"/>
        <v>ˈpjɔ</v>
      </c>
      <c r="O879" s="5">
        <f t="shared" si="6"/>
        <v>2</v>
      </c>
      <c r="P879" s="5" t="str">
        <f t="shared" si="7"/>
        <v>pi</v>
      </c>
      <c r="Q879" s="5">
        <f t="shared" si="8"/>
        <v>2</v>
      </c>
      <c r="R879" s="3"/>
      <c r="S879" s="3" t="s">
        <v>2632</v>
      </c>
      <c r="T879" s="3" t="s">
        <v>2633</v>
      </c>
      <c r="U879" s="3" t="s">
        <v>22</v>
      </c>
      <c r="V879" s="5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>
      <c r="A880" s="3" t="s">
        <v>14</v>
      </c>
      <c r="B880" s="3" t="s">
        <v>2635</v>
      </c>
      <c r="C880" s="3" t="s">
        <v>2636</v>
      </c>
      <c r="D880" s="3" t="s">
        <v>2637</v>
      </c>
      <c r="E880" s="3" t="s">
        <v>2638</v>
      </c>
      <c r="F880" s="3" t="s">
        <v>2149</v>
      </c>
      <c r="G880" s="3" t="s">
        <v>1919</v>
      </c>
      <c r="H880" s="43">
        <f t="shared" ref="H880:I880" si="1761">LEN(D880)-LEN(B880)+1</f>
        <v>2</v>
      </c>
      <c r="I880" s="43">
        <f t="shared" si="1761"/>
        <v>2</v>
      </c>
      <c r="J880" s="4">
        <v>1.0</v>
      </c>
      <c r="K880" s="4">
        <v>1.0</v>
      </c>
      <c r="L880" s="5" t="str">
        <f t="shared" ref="L880:M880" si="1762">IFS(J880="-", "-", J880=H880, "Final", J880=1, "Initial", J880&gt;1, "Medial")</f>
        <v>Initial</v>
      </c>
      <c r="M880" s="44" t="str">
        <f t="shared" si="1762"/>
        <v>Initial</v>
      </c>
      <c r="N880" s="5" t="str">
        <f t="shared" si="5"/>
        <v>0</v>
      </c>
      <c r="O880" s="5" t="str">
        <f t="shared" si="6"/>
        <v>bi</v>
      </c>
      <c r="P880" s="5" t="str">
        <f t="shared" si="7"/>
        <v>0</v>
      </c>
      <c r="Q880" s="5" t="str">
        <f t="shared" si="8"/>
        <v>bɾɨ</v>
      </c>
      <c r="R880" s="3" t="s">
        <v>80</v>
      </c>
      <c r="S880" s="3" t="s">
        <v>2639</v>
      </c>
      <c r="T880" s="3" t="s">
        <v>2448</v>
      </c>
      <c r="U880" s="3" t="s">
        <v>22</v>
      </c>
      <c r="V880" s="5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>
      <c r="A881" s="3" t="s">
        <v>14</v>
      </c>
      <c r="B881" s="3" t="s">
        <v>2635</v>
      </c>
      <c r="C881" s="3" t="s">
        <v>2636</v>
      </c>
      <c r="D881" s="3" t="s">
        <v>2637</v>
      </c>
      <c r="E881" s="3" t="s">
        <v>2638</v>
      </c>
      <c r="F881" s="3" t="s">
        <v>349</v>
      </c>
      <c r="G881" s="3" t="s">
        <v>902</v>
      </c>
      <c r="H881" s="43">
        <f t="shared" ref="H881:I881" si="1763">LEN(D881)-LEN(B881)+1</f>
        <v>2</v>
      </c>
      <c r="I881" s="43">
        <f t="shared" si="1763"/>
        <v>2</v>
      </c>
      <c r="J881" s="4">
        <v>2.0</v>
      </c>
      <c r="K881" s="4">
        <v>2.0</v>
      </c>
      <c r="L881" s="5" t="str">
        <f t="shared" ref="L881:M881" si="1764">IFS(J881="-", "-", J881=H881, "Final", J881=1, "Initial", J881&gt;1, "Medial")</f>
        <v>Final</v>
      </c>
      <c r="M881" s="44" t="str">
        <f t="shared" si="1764"/>
        <v>Final</v>
      </c>
      <c r="N881" s="5" t="str">
        <f t="shared" si="5"/>
        <v>ˈpɔ</v>
      </c>
      <c r="O881" s="5">
        <f t="shared" si="6"/>
        <v>2</v>
      </c>
      <c r="P881" s="5" t="str">
        <f t="shared" si="7"/>
        <v>ˈpo</v>
      </c>
      <c r="Q881" s="5">
        <f t="shared" si="8"/>
        <v>2</v>
      </c>
      <c r="R881" s="3"/>
      <c r="S881" s="3" t="s">
        <v>2639</v>
      </c>
      <c r="T881" s="3" t="s">
        <v>2448</v>
      </c>
      <c r="U881" s="3" t="s">
        <v>22</v>
      </c>
      <c r="V881" s="5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>
      <c r="A882" s="3" t="s">
        <v>14</v>
      </c>
      <c r="B882" s="3" t="s">
        <v>2640</v>
      </c>
      <c r="C882" s="3" t="s">
        <v>2641</v>
      </c>
      <c r="D882" s="3" t="s">
        <v>2642</v>
      </c>
      <c r="E882" s="3" t="s">
        <v>2643</v>
      </c>
      <c r="F882" s="3" t="s">
        <v>2644</v>
      </c>
      <c r="G882" s="3" t="s">
        <v>437</v>
      </c>
      <c r="H882" s="43">
        <f t="shared" ref="H882:I882" si="1765">LEN(D882)-LEN(B882)+1</f>
        <v>4</v>
      </c>
      <c r="I882" s="43">
        <f t="shared" si="1765"/>
        <v>4</v>
      </c>
      <c r="J882" s="4">
        <v>1.0</v>
      </c>
      <c r="K882" s="4">
        <v>1.0</v>
      </c>
      <c r="L882" s="5" t="str">
        <f t="shared" ref="L882:M882" si="1766">IFS(J882="-", "-", J882=H882, "Final", J882=1, "Initial", J882&gt;1, "Medial")</f>
        <v>Initial</v>
      </c>
      <c r="M882" s="44" t="str">
        <f t="shared" si="1766"/>
        <v>Initial</v>
      </c>
      <c r="N882" s="5" t="str">
        <f t="shared" si="5"/>
        <v>0</v>
      </c>
      <c r="O882" s="5" t="str">
        <f t="shared" si="6"/>
        <v>de</v>
      </c>
      <c r="P882" s="5" t="str">
        <f t="shared" si="7"/>
        <v>0</v>
      </c>
      <c r="Q882" s="5" t="str">
        <f t="shared" si="8"/>
        <v>dɨ</v>
      </c>
      <c r="R882" s="3"/>
      <c r="S882" s="3" t="s">
        <v>2645</v>
      </c>
      <c r="T882" s="3" t="s">
        <v>2646</v>
      </c>
      <c r="U882" s="3" t="s">
        <v>22</v>
      </c>
      <c r="V882" s="5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>
      <c r="A883" s="3" t="s">
        <v>14</v>
      </c>
      <c r="B883" s="3" t="s">
        <v>2640</v>
      </c>
      <c r="C883" s="3" t="s">
        <v>2641</v>
      </c>
      <c r="D883" s="3" t="s">
        <v>2642</v>
      </c>
      <c r="E883" s="3" t="s">
        <v>2643</v>
      </c>
      <c r="F883" s="3" t="s">
        <v>801</v>
      </c>
      <c r="G883" s="3" t="s">
        <v>334</v>
      </c>
      <c r="H883" s="43">
        <f t="shared" ref="H883:I883" si="1767">LEN(D883)-LEN(B883)+1</f>
        <v>4</v>
      </c>
      <c r="I883" s="43">
        <f t="shared" si="1767"/>
        <v>4</v>
      </c>
      <c r="J883" s="4">
        <v>2.0</v>
      </c>
      <c r="K883" s="4">
        <v>2.0</v>
      </c>
      <c r="L883" s="5" t="str">
        <f t="shared" ref="L883:M883" si="1768">IFS(J883="-", "-", J883=H883, "Final", J883=1, "Initial", J883&gt;1, "Medial")</f>
        <v>Medial</v>
      </c>
      <c r="M883" s="44" t="str">
        <f t="shared" si="1768"/>
        <v>Medial</v>
      </c>
      <c r="N883" s="5" t="str">
        <f t="shared" si="5"/>
        <v>po</v>
      </c>
      <c r="O883" s="5" t="str">
        <f t="shared" si="6"/>
        <v>ˈro</v>
      </c>
      <c r="P883" s="5" t="str">
        <f t="shared" si="7"/>
        <v>pu</v>
      </c>
      <c r="Q883" s="5" t="str">
        <f t="shared" si="8"/>
        <v>ˈɾo</v>
      </c>
      <c r="R883" s="3"/>
      <c r="S883" s="3" t="s">
        <v>2645</v>
      </c>
      <c r="T883" s="3" t="s">
        <v>2646</v>
      </c>
      <c r="U883" s="3" t="s">
        <v>22</v>
      </c>
      <c r="V883" s="5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>
      <c r="A884" s="3" t="s">
        <v>14</v>
      </c>
      <c r="B884" s="3" t="s">
        <v>2640</v>
      </c>
      <c r="C884" s="3" t="s">
        <v>2641</v>
      </c>
      <c r="D884" s="3" t="s">
        <v>2642</v>
      </c>
      <c r="E884" s="3" t="s">
        <v>2643</v>
      </c>
      <c r="F884" s="3" t="s">
        <v>33</v>
      </c>
      <c r="G884" s="3" t="s">
        <v>2647</v>
      </c>
      <c r="H884" s="43">
        <f t="shared" ref="H884:I884" si="1769">LEN(D884)-LEN(B884)+1</f>
        <v>4</v>
      </c>
      <c r="I884" s="43">
        <f t="shared" si="1769"/>
        <v>4</v>
      </c>
      <c r="J884" s="4">
        <v>3.0</v>
      </c>
      <c r="K884" s="4">
        <v>3.0</v>
      </c>
      <c r="L884" s="5" t="str">
        <f t="shared" ref="L884:M884" si="1770">IFS(J884="-", "-", J884=H884, "Final", J884=1, "Initial", J884&gt;1, "Medial")</f>
        <v>Medial</v>
      </c>
      <c r="M884" s="44" t="str">
        <f t="shared" si="1770"/>
        <v>Medial</v>
      </c>
      <c r="N884" s="5" t="str">
        <f t="shared" si="5"/>
        <v>de</v>
      </c>
      <c r="O884" s="5" t="str">
        <f t="shared" si="6"/>
        <v>zo</v>
      </c>
      <c r="P884" s="5" t="str">
        <f t="shared" si="7"/>
        <v>dɨ</v>
      </c>
      <c r="Q884" s="5" t="str">
        <f t="shared" si="8"/>
        <v>zu</v>
      </c>
      <c r="R884" s="3"/>
      <c r="S884" s="3" t="s">
        <v>2645</v>
      </c>
      <c r="T884" s="3" t="s">
        <v>2646</v>
      </c>
      <c r="U884" s="3" t="s">
        <v>22</v>
      </c>
      <c r="V884" s="5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>
      <c r="A885" s="3" t="s">
        <v>14</v>
      </c>
      <c r="B885" s="3" t="s">
        <v>2640</v>
      </c>
      <c r="C885" s="3" t="s">
        <v>2641</v>
      </c>
      <c r="D885" s="3" t="s">
        <v>2642</v>
      </c>
      <c r="E885" s="3" t="s">
        <v>2643</v>
      </c>
      <c r="F885" s="3" t="s">
        <v>2648</v>
      </c>
      <c r="G885" s="3" t="s">
        <v>1823</v>
      </c>
      <c r="H885" s="43">
        <f t="shared" ref="H885:I885" si="1771">LEN(D885)-LEN(B885)+1</f>
        <v>4</v>
      </c>
      <c r="I885" s="43">
        <f t="shared" si="1771"/>
        <v>4</v>
      </c>
      <c r="J885" s="4">
        <v>4.0</v>
      </c>
      <c r="K885" s="4">
        <v>4.0</v>
      </c>
      <c r="L885" s="5" t="str">
        <f t="shared" ref="L885:M885" si="1772">IFS(J885="-", "-", J885=H885, "Final", J885=1, "Initial", J885&gt;1, "Medial")</f>
        <v>Final</v>
      </c>
      <c r="M885" s="44" t="str">
        <f t="shared" si="1772"/>
        <v>Final</v>
      </c>
      <c r="N885" s="5" t="str">
        <f t="shared" si="5"/>
        <v>ˈro</v>
      </c>
      <c r="O885" s="5">
        <f t="shared" si="6"/>
        <v>4</v>
      </c>
      <c r="P885" s="5" t="str">
        <f t="shared" si="7"/>
        <v>ˈɾo</v>
      </c>
      <c r="Q885" s="5">
        <f t="shared" si="8"/>
        <v>4</v>
      </c>
      <c r="R885" s="3"/>
      <c r="S885" s="3" t="s">
        <v>2645</v>
      </c>
      <c r="T885" s="3" t="s">
        <v>2646</v>
      </c>
      <c r="U885" s="3" t="s">
        <v>22</v>
      </c>
      <c r="V885" s="5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>
      <c r="A886" s="3" t="s">
        <v>14</v>
      </c>
      <c r="B886" s="3" t="s">
        <v>2649</v>
      </c>
      <c r="C886" s="3" t="s">
        <v>2650</v>
      </c>
      <c r="D886" s="3" t="s">
        <v>2651</v>
      </c>
      <c r="E886" s="3" t="s">
        <v>2652</v>
      </c>
      <c r="F886" s="3" t="s">
        <v>525</v>
      </c>
      <c r="G886" s="3" t="s">
        <v>344</v>
      </c>
      <c r="H886" s="43">
        <f t="shared" ref="H886:I886" si="1773">LEN(D886)-LEN(B886)+1</f>
        <v>2</v>
      </c>
      <c r="I886" s="43">
        <f t="shared" si="1773"/>
        <v>2</v>
      </c>
      <c r="J886" s="4">
        <v>1.0</v>
      </c>
      <c r="K886" s="4">
        <v>1.0</v>
      </c>
      <c r="L886" s="5" t="str">
        <f t="shared" ref="L886:M886" si="1774">IFS(J886="-", "-", J886=H886, "Final", J886=1, "Initial", J886&gt;1, "Medial")</f>
        <v>Initial</v>
      </c>
      <c r="M886" s="44" t="str">
        <f t="shared" si="1774"/>
        <v>Initial</v>
      </c>
      <c r="N886" s="5" t="str">
        <f t="shared" si="5"/>
        <v>0</v>
      </c>
      <c r="O886" s="5" t="str">
        <f t="shared" si="6"/>
        <v>ˈku</v>
      </c>
      <c r="P886" s="5" t="str">
        <f t="shared" si="7"/>
        <v>0</v>
      </c>
      <c r="Q886" s="5" t="str">
        <f t="shared" si="8"/>
        <v>ku</v>
      </c>
      <c r="R886" s="3"/>
      <c r="S886" s="3" t="s">
        <v>2653</v>
      </c>
      <c r="T886" s="3" t="s">
        <v>2654</v>
      </c>
      <c r="U886" s="3" t="s">
        <v>22</v>
      </c>
      <c r="V886" s="5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>
      <c r="A887" s="3" t="s">
        <v>14</v>
      </c>
      <c r="B887" s="3" t="s">
        <v>2649</v>
      </c>
      <c r="C887" s="3" t="s">
        <v>2650</v>
      </c>
      <c r="D887" s="3" t="s">
        <v>2651</v>
      </c>
      <c r="E887" s="3" t="s">
        <v>2652</v>
      </c>
      <c r="F887" s="3" t="s">
        <v>961</v>
      </c>
      <c r="G887" s="3" t="s">
        <v>425</v>
      </c>
      <c r="H887" s="43">
        <f t="shared" ref="H887:I887" si="1775">LEN(D887)-LEN(B887)+1</f>
        <v>2</v>
      </c>
      <c r="I887" s="43">
        <f t="shared" si="1775"/>
        <v>2</v>
      </c>
      <c r="J887" s="4">
        <v>2.0</v>
      </c>
      <c r="K887" s="4">
        <v>2.0</v>
      </c>
      <c r="L887" s="5" t="str">
        <f t="shared" ref="L887:M887" si="1776">IFS(J887="-", "-", J887=H887, "Final", J887=1, "Initial", J887&gt;1, "Medial")</f>
        <v>Final</v>
      </c>
      <c r="M887" s="44" t="str">
        <f t="shared" si="1776"/>
        <v>Final</v>
      </c>
      <c r="N887" s="5" t="str">
        <f t="shared" si="5"/>
        <v>ˈri</v>
      </c>
      <c r="O887" s="5">
        <f t="shared" si="6"/>
        <v>2</v>
      </c>
      <c r="P887" s="5" t="str">
        <f t="shared" si="7"/>
        <v>ˈʀi</v>
      </c>
      <c r="Q887" s="5">
        <f t="shared" si="8"/>
        <v>2</v>
      </c>
      <c r="R887" s="3"/>
      <c r="S887" s="3" t="s">
        <v>2653</v>
      </c>
      <c r="T887" s="3" t="s">
        <v>2654</v>
      </c>
      <c r="U887" s="3" t="s">
        <v>22</v>
      </c>
      <c r="V887" s="5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>
      <c r="A888" s="3" t="s">
        <v>14</v>
      </c>
      <c r="B888" s="3" t="s">
        <v>2655</v>
      </c>
      <c r="C888" s="3" t="s">
        <v>2656</v>
      </c>
      <c r="D888" s="3" t="s">
        <v>2657</v>
      </c>
      <c r="E888" s="3" t="s">
        <v>2658</v>
      </c>
      <c r="F888" s="3" t="s">
        <v>525</v>
      </c>
      <c r="G888" s="3" t="s">
        <v>344</v>
      </c>
      <c r="H888" s="43">
        <f t="shared" ref="H888:I888" si="1777">LEN(D888)-LEN(B888)+1</f>
        <v>2</v>
      </c>
      <c r="I888" s="43">
        <f t="shared" si="1777"/>
        <v>2</v>
      </c>
      <c r="J888" s="4">
        <v>1.0</v>
      </c>
      <c r="K888" s="4">
        <v>1.0</v>
      </c>
      <c r="L888" s="5" t="str">
        <f t="shared" ref="L888:M888" si="1778">IFS(J888="-", "-", J888=H888, "Final", J888=1, "Initial", J888&gt;1, "Medial")</f>
        <v>Initial</v>
      </c>
      <c r="M888" s="44" t="str">
        <f t="shared" si="1778"/>
        <v>Initial</v>
      </c>
      <c r="N888" s="5" t="str">
        <f t="shared" si="5"/>
        <v>0</v>
      </c>
      <c r="O888" s="5" t="str">
        <f t="shared" si="6"/>
        <v>zu</v>
      </c>
      <c r="P888" s="5" t="str">
        <f t="shared" si="7"/>
        <v>0</v>
      </c>
      <c r="Q888" s="5" t="str">
        <f t="shared" si="8"/>
        <v>ʒu</v>
      </c>
      <c r="R888" s="3"/>
      <c r="S888" s="3" t="s">
        <v>2659</v>
      </c>
      <c r="T888" s="3" t="s">
        <v>2660</v>
      </c>
      <c r="U888" s="3" t="s">
        <v>22</v>
      </c>
      <c r="V888" s="5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>
      <c r="A889" s="3" t="s">
        <v>14</v>
      </c>
      <c r="B889" s="3" t="s">
        <v>2655</v>
      </c>
      <c r="C889" s="3" t="s">
        <v>2656</v>
      </c>
      <c r="D889" s="3" t="s">
        <v>2657</v>
      </c>
      <c r="E889" s="3" t="s">
        <v>2658</v>
      </c>
      <c r="F889" s="3" t="s">
        <v>1823</v>
      </c>
      <c r="G889" s="3" t="s">
        <v>495</v>
      </c>
      <c r="H889" s="43">
        <f t="shared" ref="H889:I889" si="1779">LEN(D889)-LEN(B889)+1</f>
        <v>2</v>
      </c>
      <c r="I889" s="43">
        <f t="shared" si="1779"/>
        <v>2</v>
      </c>
      <c r="J889" s="4">
        <v>2.0</v>
      </c>
      <c r="K889" s="4">
        <v>2.0</v>
      </c>
      <c r="L889" s="5" t="str">
        <f t="shared" ref="L889:M889" si="1780">IFS(J889="-", "-", J889=H889, "Final", J889=1, "Initial", J889&gt;1, "Medial")</f>
        <v>Final</v>
      </c>
      <c r="M889" s="44" t="str">
        <f t="shared" si="1780"/>
        <v>Final</v>
      </c>
      <c r="N889" s="5" t="str">
        <f t="shared" si="5"/>
        <v>ˈri</v>
      </c>
      <c r="O889" s="5">
        <f t="shared" si="6"/>
        <v>2</v>
      </c>
      <c r="P889" s="5" t="str">
        <f t="shared" si="7"/>
        <v>ˈʀi</v>
      </c>
      <c r="Q889" s="5">
        <f t="shared" si="8"/>
        <v>2</v>
      </c>
      <c r="R889" s="3"/>
      <c r="S889" s="3" t="s">
        <v>2659</v>
      </c>
      <c r="T889" s="3" t="s">
        <v>2660</v>
      </c>
      <c r="U889" s="3" t="s">
        <v>22</v>
      </c>
      <c r="V889" s="5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>
      <c r="A890" s="15" t="s">
        <v>14</v>
      </c>
      <c r="B890" s="15" t="s">
        <v>2661</v>
      </c>
      <c r="C890" s="15" t="s">
        <v>2662</v>
      </c>
      <c r="D890" s="15" t="s">
        <v>2663</v>
      </c>
      <c r="E890" s="15" t="s">
        <v>2664</v>
      </c>
      <c r="F890" s="15" t="s">
        <v>36</v>
      </c>
      <c r="G890" s="15" t="s">
        <v>49</v>
      </c>
      <c r="H890" s="43">
        <f t="shared" ref="H890:I890" si="1781">LEN(D890)-LEN(B890)+1</f>
        <v>2</v>
      </c>
      <c r="I890" s="43">
        <f t="shared" si="1781"/>
        <v>3</v>
      </c>
      <c r="J890" s="18" t="s">
        <v>36</v>
      </c>
      <c r="K890" s="18">
        <v>1.0</v>
      </c>
      <c r="L890" s="5" t="str">
        <f t="shared" ref="L890:M890" si="1782">IFS(J890="-", "-", J890=H890, "Final", J890=1, "Initial", J890&gt;1, "Medial")</f>
        <v>-</v>
      </c>
      <c r="M890" s="44" t="str">
        <f t="shared" si="1782"/>
        <v>Initial</v>
      </c>
      <c r="N890" s="5" t="str">
        <f t="shared" si="5"/>
        <v>0</v>
      </c>
      <c r="O890" s="5" t="str">
        <f t="shared" si="6"/>
        <v>ˈsa</v>
      </c>
      <c r="P890" s="5" t="str">
        <f t="shared" si="7"/>
        <v>0</v>
      </c>
      <c r="Q890" s="5" t="str">
        <f t="shared" si="8"/>
        <v>ˈsa</v>
      </c>
      <c r="R890" s="15" t="s">
        <v>80</v>
      </c>
      <c r="S890" s="15" t="s">
        <v>2665</v>
      </c>
      <c r="T890" s="15" t="s">
        <v>2666</v>
      </c>
      <c r="U890" s="15" t="s">
        <v>22</v>
      </c>
      <c r="V890" s="20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</row>
    <row r="891">
      <c r="A891" s="15" t="s">
        <v>14</v>
      </c>
      <c r="B891" s="15" t="s">
        <v>2661</v>
      </c>
      <c r="C891" s="15" t="s">
        <v>2662</v>
      </c>
      <c r="D891" s="15" t="s">
        <v>2663</v>
      </c>
      <c r="E891" s="15" t="s">
        <v>2664</v>
      </c>
      <c r="F891" s="15" t="s">
        <v>1032</v>
      </c>
      <c r="G891" s="15" t="s">
        <v>1032</v>
      </c>
      <c r="H891" s="43">
        <f t="shared" ref="H891:I891" si="1783">LEN(D891)-LEN(B891)+1</f>
        <v>2</v>
      </c>
      <c r="I891" s="43">
        <f t="shared" si="1783"/>
        <v>3</v>
      </c>
      <c r="J891" s="18">
        <v>2.0</v>
      </c>
      <c r="K891" s="18">
        <v>2.0</v>
      </c>
      <c r="L891" s="5" t="str">
        <f t="shared" ref="L891:M891" si="1784">IFS(J891="-", "-", J891=H891, "Final", J891=1, "Initial", J891&gt;1, "Medial")</f>
        <v>Final</v>
      </c>
      <c r="M891" s="44" t="str">
        <f t="shared" si="1784"/>
        <v>Medial</v>
      </c>
      <c r="N891" s="5" t="str">
        <f t="shared" si="5"/>
        <v>-</v>
      </c>
      <c r="O891" s="5" t="str">
        <f t="shared" si="6"/>
        <v>du</v>
      </c>
      <c r="P891" s="5" t="str">
        <f t="shared" si="7"/>
        <v>ɐ</v>
      </c>
      <c r="Q891" s="5" t="str">
        <f t="shared" si="8"/>
        <v>du</v>
      </c>
      <c r="R891" s="15"/>
      <c r="S891" s="15" t="s">
        <v>2665</v>
      </c>
      <c r="T891" s="15" t="s">
        <v>2666</v>
      </c>
      <c r="U891" s="15" t="s">
        <v>22</v>
      </c>
      <c r="V891" s="20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</row>
    <row r="892">
      <c r="A892" s="15" t="s">
        <v>14</v>
      </c>
      <c r="B892" s="15" t="s">
        <v>2661</v>
      </c>
      <c r="C892" s="15" t="s">
        <v>2662</v>
      </c>
      <c r="D892" s="15" t="s">
        <v>2663</v>
      </c>
      <c r="E892" s="15" t="s">
        <v>2664</v>
      </c>
      <c r="F892" s="15" t="s">
        <v>387</v>
      </c>
      <c r="G892" s="15" t="s">
        <v>387</v>
      </c>
      <c r="H892" s="43">
        <f t="shared" ref="H892:I892" si="1785">LEN(D892)-LEN(B892)+1</f>
        <v>2</v>
      </c>
      <c r="I892" s="43">
        <f t="shared" si="1785"/>
        <v>3</v>
      </c>
      <c r="J892" s="18">
        <v>2.0</v>
      </c>
      <c r="K892" s="18">
        <v>3.0</v>
      </c>
      <c r="L892" s="5" t="str">
        <f t="shared" ref="L892:M892" si="1786">IFS(J892="-", "-", J892=H892, "Final", J892=1, "Initial", J892&gt;1, "Medial")</f>
        <v>Final</v>
      </c>
      <c r="M892" s="44" t="str">
        <f t="shared" si="1786"/>
        <v>Final</v>
      </c>
      <c r="N892" s="5" t="str">
        <f t="shared" si="5"/>
        <v>ˈsa</v>
      </c>
      <c r="O892" s="5">
        <f t="shared" si="6"/>
        <v>2</v>
      </c>
      <c r="P892" s="5" t="str">
        <f t="shared" si="7"/>
        <v>ˈsa</v>
      </c>
      <c r="Q892" s="5">
        <f t="shared" si="8"/>
        <v>3</v>
      </c>
      <c r="R892" s="15"/>
      <c r="S892" s="15" t="s">
        <v>2665</v>
      </c>
      <c r="T892" s="15" t="s">
        <v>2666</v>
      </c>
      <c r="U892" s="15" t="s">
        <v>22</v>
      </c>
      <c r="V892" s="20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</row>
    <row r="893">
      <c r="A893" s="3" t="s">
        <v>14</v>
      </c>
      <c r="B893" s="3" t="s">
        <v>2667</v>
      </c>
      <c r="C893" s="3" t="s">
        <v>2668</v>
      </c>
      <c r="D893" s="3" t="s">
        <v>2669</v>
      </c>
      <c r="E893" s="3" t="s">
        <v>2669</v>
      </c>
      <c r="F893" s="3" t="s">
        <v>614</v>
      </c>
      <c r="G893" s="3" t="s">
        <v>614</v>
      </c>
      <c r="H893" s="43">
        <f t="shared" ref="H893:I893" si="1787">LEN(D893)-LEN(B893)+1</f>
        <v>2</v>
      </c>
      <c r="I893" s="43">
        <f t="shared" si="1787"/>
        <v>2</v>
      </c>
      <c r="J893" s="4">
        <v>1.0</v>
      </c>
      <c r="K893" s="4">
        <v>1.0</v>
      </c>
      <c r="L893" s="5" t="str">
        <f t="shared" ref="L893:M893" si="1788">IFS(J893="-", "-", J893=H893, "Final", J893=1, "Initial", J893&gt;1, "Medial")</f>
        <v>Initial</v>
      </c>
      <c r="M893" s="44" t="str">
        <f t="shared" si="1788"/>
        <v>Initial</v>
      </c>
      <c r="N893" s="5" t="str">
        <f t="shared" si="5"/>
        <v>0</v>
      </c>
      <c r="O893" s="5" t="str">
        <f t="shared" si="6"/>
        <v>gu</v>
      </c>
      <c r="P893" s="5" t="str">
        <f t="shared" si="7"/>
        <v>0</v>
      </c>
      <c r="Q893" s="5" t="str">
        <f t="shared" si="8"/>
        <v>gu</v>
      </c>
      <c r="R893" s="3"/>
      <c r="S893" s="3" t="s">
        <v>2670</v>
      </c>
      <c r="T893" s="3" t="s">
        <v>2671</v>
      </c>
      <c r="U893" s="3" t="s">
        <v>22</v>
      </c>
      <c r="V893" s="5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>
      <c r="A894" s="3" t="s">
        <v>14</v>
      </c>
      <c r="B894" s="3" t="s">
        <v>2667</v>
      </c>
      <c r="C894" s="3" t="s">
        <v>2668</v>
      </c>
      <c r="D894" s="3" t="s">
        <v>2669</v>
      </c>
      <c r="E894" s="3" t="s">
        <v>2669</v>
      </c>
      <c r="F894" s="3" t="s">
        <v>98</v>
      </c>
      <c r="G894" s="3" t="s">
        <v>98</v>
      </c>
      <c r="H894" s="43">
        <f t="shared" ref="H894:I894" si="1789">LEN(D894)-LEN(B894)+1</f>
        <v>2</v>
      </c>
      <c r="I894" s="43">
        <f t="shared" si="1789"/>
        <v>2</v>
      </c>
      <c r="J894" s="4">
        <v>2.0</v>
      </c>
      <c r="K894" s="4">
        <v>2.0</v>
      </c>
      <c r="L894" s="5" t="str">
        <f t="shared" ref="L894:M894" si="1790">IFS(J894="-", "-", J894=H894, "Final", J894=1, "Initial", J894&gt;1, "Medial")</f>
        <v>Final</v>
      </c>
      <c r="M894" s="44" t="str">
        <f t="shared" si="1790"/>
        <v>Final</v>
      </c>
      <c r="N894" s="5" t="str">
        <f t="shared" si="5"/>
        <v>ˈsɛ</v>
      </c>
      <c r="O894" s="5">
        <f t="shared" si="6"/>
        <v>2</v>
      </c>
      <c r="P894" s="5" t="str">
        <f t="shared" si="7"/>
        <v>ˈsɛ</v>
      </c>
      <c r="Q894" s="5">
        <f t="shared" si="8"/>
        <v>2</v>
      </c>
      <c r="R894" s="3"/>
      <c r="S894" s="3" t="s">
        <v>2670</v>
      </c>
      <c r="T894" s="3" t="s">
        <v>2671</v>
      </c>
      <c r="U894" s="3" t="s">
        <v>22</v>
      </c>
      <c r="V894" s="5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>
      <c r="A895" s="3" t="s">
        <v>14</v>
      </c>
      <c r="B895" s="3" t="s">
        <v>2672</v>
      </c>
      <c r="C895" s="3" t="s">
        <v>2673</v>
      </c>
      <c r="D895" s="3" t="s">
        <v>2674</v>
      </c>
      <c r="E895" s="3" t="s">
        <v>2675</v>
      </c>
      <c r="F895" s="3" t="s">
        <v>261</v>
      </c>
      <c r="G895" s="3" t="s">
        <v>2676</v>
      </c>
      <c r="H895" s="43">
        <f t="shared" ref="H895:I895" si="1791">LEN(D895)-LEN(B895)+1</f>
        <v>2</v>
      </c>
      <c r="I895" s="43">
        <f t="shared" si="1791"/>
        <v>2</v>
      </c>
      <c r="J895" s="4">
        <v>1.0</v>
      </c>
      <c r="K895" s="4">
        <v>1.0</v>
      </c>
      <c r="L895" s="5" t="str">
        <f t="shared" ref="L895:M895" si="1792">IFS(J895="-", "-", J895=H895, "Final", J895=1, "Initial", J895&gt;1, "Medial")</f>
        <v>Initial</v>
      </c>
      <c r="M895" s="44" t="str">
        <f t="shared" si="1792"/>
        <v>Initial</v>
      </c>
      <c r="N895" s="5" t="str">
        <f t="shared" si="5"/>
        <v>0</v>
      </c>
      <c r="O895" s="5" t="str">
        <f t="shared" si="6"/>
        <v>du</v>
      </c>
      <c r="P895" s="5" t="str">
        <f t="shared" si="7"/>
        <v>0</v>
      </c>
      <c r="Q895" s="5" t="str">
        <f t="shared" si="8"/>
        <v>du</v>
      </c>
      <c r="R895" s="3"/>
      <c r="S895" s="3" t="s">
        <v>2677</v>
      </c>
      <c r="T895" s="3" t="s">
        <v>2678</v>
      </c>
      <c r="U895" s="3" t="s">
        <v>22</v>
      </c>
      <c r="V895" s="5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>
      <c r="A896" s="3" t="s">
        <v>14</v>
      </c>
      <c r="B896" s="3" t="s">
        <v>2672</v>
      </c>
      <c r="C896" s="3" t="s">
        <v>2673</v>
      </c>
      <c r="D896" s="3" t="s">
        <v>2674</v>
      </c>
      <c r="E896" s="3" t="s">
        <v>2675</v>
      </c>
      <c r="F896" s="3" t="s">
        <v>387</v>
      </c>
      <c r="G896" s="3" t="s">
        <v>387</v>
      </c>
      <c r="H896" s="43">
        <f t="shared" ref="H896:I896" si="1793">LEN(D896)-LEN(B896)+1</f>
        <v>2</v>
      </c>
      <c r="I896" s="43">
        <f t="shared" si="1793"/>
        <v>2</v>
      </c>
      <c r="J896" s="4">
        <v>2.0</v>
      </c>
      <c r="K896" s="4">
        <v>2.0</v>
      </c>
      <c r="L896" s="5" t="str">
        <f t="shared" ref="L896:M896" si="1794">IFS(J896="-", "-", J896=H896, "Final", J896=1, "Initial", J896&gt;1, "Medial")</f>
        <v>Final</v>
      </c>
      <c r="M896" s="44" t="str">
        <f t="shared" si="1794"/>
        <v>Final</v>
      </c>
      <c r="N896" s="5" t="str">
        <f t="shared" si="5"/>
        <v>ˈsu</v>
      </c>
      <c r="O896" s="5">
        <f t="shared" si="6"/>
        <v>2</v>
      </c>
      <c r="P896" s="5" t="str">
        <f t="shared" si="7"/>
        <v>ˈsuɾ</v>
      </c>
      <c r="Q896" s="5">
        <f t="shared" si="8"/>
        <v>2</v>
      </c>
      <c r="R896" s="3"/>
      <c r="S896" s="3" t="s">
        <v>2677</v>
      </c>
      <c r="T896" s="3" t="s">
        <v>2678</v>
      </c>
      <c r="U896" s="3" t="s">
        <v>22</v>
      </c>
      <c r="V896" s="5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>
      <c r="A897" s="15" t="s">
        <v>14</v>
      </c>
      <c r="B897" s="15" t="s">
        <v>2679</v>
      </c>
      <c r="C897" s="15" t="s">
        <v>2680</v>
      </c>
      <c r="D897" s="15" t="s">
        <v>2681</v>
      </c>
      <c r="E897" s="15" t="s">
        <v>2682</v>
      </c>
      <c r="F897" s="15" t="s">
        <v>36</v>
      </c>
      <c r="G897" s="15" t="s">
        <v>1113</v>
      </c>
      <c r="H897" s="43">
        <f t="shared" ref="H897:I897" si="1795">LEN(D897)-LEN(B897)+1</f>
        <v>3</v>
      </c>
      <c r="I897" s="43">
        <f t="shared" si="1795"/>
        <v>4</v>
      </c>
      <c r="J897" s="18" t="s">
        <v>36</v>
      </c>
      <c r="K897" s="18">
        <v>1.0</v>
      </c>
      <c r="L897" s="5" t="str">
        <f t="shared" ref="L897:M897" si="1796">IFS(J897="-", "-", J897=H897, "Final", J897=1, "Initial", J897&gt;1, "Medial")</f>
        <v>-</v>
      </c>
      <c r="M897" s="44" t="str">
        <f t="shared" si="1796"/>
        <v>Initial</v>
      </c>
      <c r="N897" s="5" t="str">
        <f t="shared" si="5"/>
        <v>0</v>
      </c>
      <c r="O897" s="5" t="str">
        <f t="shared" si="6"/>
        <v>su</v>
      </c>
      <c r="P897" s="5" t="str">
        <f t="shared" si="7"/>
        <v>0</v>
      </c>
      <c r="Q897" s="5" t="str">
        <f t="shared" si="8"/>
        <v>ʃu</v>
      </c>
      <c r="R897" s="15"/>
      <c r="S897" s="15" t="s">
        <v>2683</v>
      </c>
      <c r="T897" s="15" t="s">
        <v>2684</v>
      </c>
      <c r="U897" s="15" t="s">
        <v>22</v>
      </c>
      <c r="V897" s="20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</row>
    <row r="898">
      <c r="A898" s="15" t="s">
        <v>14</v>
      </c>
      <c r="B898" s="15" t="s">
        <v>2679</v>
      </c>
      <c r="C898" s="15" t="s">
        <v>2680</v>
      </c>
      <c r="D898" s="15" t="s">
        <v>2681</v>
      </c>
      <c r="E898" s="15" t="s">
        <v>2682</v>
      </c>
      <c r="F898" s="15" t="s">
        <v>362</v>
      </c>
      <c r="G898" s="15" t="s">
        <v>566</v>
      </c>
      <c r="H898" s="43">
        <f t="shared" ref="H898:I898" si="1797">LEN(D898)-LEN(B898)+1</f>
        <v>3</v>
      </c>
      <c r="I898" s="43">
        <f t="shared" si="1797"/>
        <v>4</v>
      </c>
      <c r="J898" s="18">
        <v>1.0</v>
      </c>
      <c r="K898" s="18">
        <v>2.0</v>
      </c>
      <c r="L898" s="5" t="str">
        <f t="shared" ref="L898:M898" si="1798">IFS(J898="-", "-", J898=H898, "Final", J898=1, "Initial", J898&gt;1, "Medial")</f>
        <v>Initial</v>
      </c>
      <c r="M898" s="44" t="str">
        <f t="shared" si="1798"/>
        <v>Medial</v>
      </c>
      <c r="N898" s="5" t="str">
        <f t="shared" si="5"/>
        <v>-</v>
      </c>
      <c r="O898" s="5" t="str">
        <f t="shared" si="6"/>
        <v>ˈga</v>
      </c>
      <c r="P898" s="5" t="str">
        <f t="shared" si="7"/>
        <v>ẽ</v>
      </c>
      <c r="Q898" s="5" t="str">
        <f t="shared" si="8"/>
        <v>ˈga</v>
      </c>
      <c r="R898" s="15"/>
      <c r="S898" s="15" t="s">
        <v>2683</v>
      </c>
      <c r="T898" s="15" t="s">
        <v>2684</v>
      </c>
      <c r="U898" s="15" t="s">
        <v>22</v>
      </c>
      <c r="V898" s="20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</row>
    <row r="899">
      <c r="A899" s="15" t="s">
        <v>14</v>
      </c>
      <c r="B899" s="15" t="s">
        <v>2679</v>
      </c>
      <c r="C899" s="15" t="s">
        <v>2680</v>
      </c>
      <c r="D899" s="15" t="s">
        <v>2681</v>
      </c>
      <c r="E899" s="15" t="s">
        <v>2682</v>
      </c>
      <c r="F899" s="15" t="s">
        <v>629</v>
      </c>
      <c r="G899" s="15" t="s">
        <v>629</v>
      </c>
      <c r="H899" s="43">
        <f t="shared" ref="H899:I899" si="1799">LEN(D899)-LEN(B899)+1</f>
        <v>3</v>
      </c>
      <c r="I899" s="43">
        <f t="shared" si="1799"/>
        <v>4</v>
      </c>
      <c r="J899" s="18">
        <v>2.0</v>
      </c>
      <c r="K899" s="18">
        <v>3.0</v>
      </c>
      <c r="L899" s="5" t="str">
        <f t="shared" ref="L899:M899" si="1800">IFS(J899="-", "-", J899=H899, "Final", J899=1, "Initial", J899&gt;1, "Medial")</f>
        <v>Medial</v>
      </c>
      <c r="M899" s="44" t="str">
        <f t="shared" si="1800"/>
        <v>Medial</v>
      </c>
      <c r="N899" s="5" t="str">
        <f t="shared" si="5"/>
        <v>su</v>
      </c>
      <c r="O899" s="5" t="str">
        <f t="shared" si="6"/>
        <v>du</v>
      </c>
      <c r="P899" s="5" t="str">
        <f t="shared" si="7"/>
        <v>ʃu</v>
      </c>
      <c r="Q899" s="5" t="str">
        <f t="shared" si="8"/>
        <v>du</v>
      </c>
      <c r="R899" s="15"/>
      <c r="S899" s="15" t="s">
        <v>2683</v>
      </c>
      <c r="T899" s="15" t="s">
        <v>2684</v>
      </c>
      <c r="U899" s="15" t="s">
        <v>22</v>
      </c>
      <c r="V899" s="20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</row>
    <row r="900">
      <c r="A900" s="15" t="s">
        <v>14</v>
      </c>
      <c r="B900" s="15" t="s">
        <v>2679</v>
      </c>
      <c r="C900" s="15" t="s">
        <v>2680</v>
      </c>
      <c r="D900" s="15" t="s">
        <v>2681</v>
      </c>
      <c r="E900" s="15" t="s">
        <v>2682</v>
      </c>
      <c r="F900" s="15" t="s">
        <v>387</v>
      </c>
      <c r="G900" s="15" t="s">
        <v>387</v>
      </c>
      <c r="H900" s="43">
        <f t="shared" ref="H900:I900" si="1801">LEN(D900)-LEN(B900)+1</f>
        <v>3</v>
      </c>
      <c r="I900" s="43">
        <f t="shared" si="1801"/>
        <v>4</v>
      </c>
      <c r="J900" s="18">
        <v>3.0</v>
      </c>
      <c r="K900" s="18">
        <v>4.0</v>
      </c>
      <c r="L900" s="5" t="str">
        <f t="shared" ref="L900:M900" si="1802">IFS(J900="-", "-", J900=H900, "Final", J900=1, "Initial", J900&gt;1, "Medial")</f>
        <v>Final</v>
      </c>
      <c r="M900" s="44" t="str">
        <f t="shared" si="1802"/>
        <v>Final</v>
      </c>
      <c r="N900" s="5" t="str">
        <f t="shared" si="5"/>
        <v>ˈga</v>
      </c>
      <c r="O900" s="5">
        <f t="shared" si="6"/>
        <v>3</v>
      </c>
      <c r="P900" s="5" t="str">
        <f t="shared" si="7"/>
        <v>ˈga</v>
      </c>
      <c r="Q900" s="5">
        <f t="shared" si="8"/>
        <v>4</v>
      </c>
      <c r="R900" s="15"/>
      <c r="S900" s="15" t="s">
        <v>2683</v>
      </c>
      <c r="T900" s="15" t="s">
        <v>2684</v>
      </c>
      <c r="U900" s="15" t="s">
        <v>22</v>
      </c>
      <c r="V900" s="20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</row>
    <row r="901">
      <c r="A901" s="15" t="s">
        <v>14</v>
      </c>
      <c r="B901" s="15" t="s">
        <v>732</v>
      </c>
      <c r="C901" s="15" t="s">
        <v>733</v>
      </c>
      <c r="D901" s="15" t="s">
        <v>734</v>
      </c>
      <c r="E901" s="15" t="s">
        <v>735</v>
      </c>
      <c r="F901" s="15" t="s">
        <v>261</v>
      </c>
      <c r="G901" s="15" t="s">
        <v>736</v>
      </c>
      <c r="H901" s="43">
        <f t="shared" ref="H901:I901" si="1803">LEN(D901)-LEN(B901)+1</f>
        <v>2</v>
      </c>
      <c r="I901" s="43">
        <f t="shared" si="1803"/>
        <v>3</v>
      </c>
      <c r="J901" s="18">
        <v>1.0</v>
      </c>
      <c r="K901" s="18">
        <v>1.0</v>
      </c>
      <c r="L901" s="5" t="str">
        <f t="shared" ref="L901:M901" si="1804">IFS(J901="-", "-", J901=H901, "Final", J901=1, "Initial", J901&gt;1, "Medial")</f>
        <v>Initial</v>
      </c>
      <c r="M901" s="44" t="str">
        <f t="shared" si="1804"/>
        <v>Initial</v>
      </c>
      <c r="N901" s="5" t="str">
        <f t="shared" si="5"/>
        <v>0</v>
      </c>
      <c r="O901" s="5" t="str">
        <f t="shared" si="6"/>
        <v>-</v>
      </c>
      <c r="P901" s="5" t="str">
        <f t="shared" si="7"/>
        <v>0</v>
      </c>
      <c r="Q901" s="5" t="str">
        <f t="shared" si="8"/>
        <v>ˈu</v>
      </c>
      <c r="R901" s="15" t="s">
        <v>80</v>
      </c>
      <c r="S901" s="15" t="s">
        <v>2685</v>
      </c>
      <c r="T901" s="15" t="s">
        <v>2686</v>
      </c>
      <c r="U901" s="15" t="s">
        <v>22</v>
      </c>
      <c r="V901" s="20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</row>
    <row r="902">
      <c r="A902" s="15" t="s">
        <v>14</v>
      </c>
      <c r="B902" s="15" t="s">
        <v>732</v>
      </c>
      <c r="C902" s="15" t="s">
        <v>733</v>
      </c>
      <c r="D902" s="15" t="s">
        <v>734</v>
      </c>
      <c r="E902" s="15" t="s">
        <v>735</v>
      </c>
      <c r="F902" s="15" t="s">
        <v>36</v>
      </c>
      <c r="G902" s="15" t="s">
        <v>546</v>
      </c>
      <c r="H902" s="43">
        <f t="shared" ref="H902:I902" si="1805">LEN(D902)-LEN(B902)+1</f>
        <v>2</v>
      </c>
      <c r="I902" s="43">
        <f t="shared" si="1805"/>
        <v>3</v>
      </c>
      <c r="J902" s="18" t="s">
        <v>36</v>
      </c>
      <c r="K902" s="18">
        <v>2.0</v>
      </c>
      <c r="L902" s="5" t="str">
        <f t="shared" ref="L902:M902" si="1806">IFS(J902="-", "-", J902=H902, "Final", J902=1, "Initial", J902&gt;1, "Medial")</f>
        <v>-</v>
      </c>
      <c r="M902" s="44" t="str">
        <f t="shared" si="1806"/>
        <v>Medial</v>
      </c>
      <c r="N902" s="5" t="str">
        <f t="shared" si="5"/>
        <v>ˈsu</v>
      </c>
      <c r="O902" s="5" t="str">
        <f t="shared" si="6"/>
        <v>mi</v>
      </c>
      <c r="P902" s="5" t="str">
        <f t="shared" si="7"/>
        <v>si</v>
      </c>
      <c r="Q902" s="5" t="str">
        <f t="shared" si="8"/>
        <v>mɨ</v>
      </c>
      <c r="R902" s="15"/>
      <c r="S902" s="15" t="s">
        <v>2685</v>
      </c>
      <c r="T902" s="15" t="s">
        <v>2686</v>
      </c>
      <c r="U902" s="15" t="s">
        <v>22</v>
      </c>
      <c r="V902" s="20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</row>
    <row r="903">
      <c r="A903" s="15" t="s">
        <v>14</v>
      </c>
      <c r="B903" s="15" t="s">
        <v>732</v>
      </c>
      <c r="C903" s="15" t="s">
        <v>733</v>
      </c>
      <c r="D903" s="15" t="s">
        <v>734</v>
      </c>
      <c r="E903" s="15" t="s">
        <v>735</v>
      </c>
      <c r="F903" s="15" t="s">
        <v>575</v>
      </c>
      <c r="G903" s="15" t="s">
        <v>739</v>
      </c>
      <c r="H903" s="43">
        <f t="shared" ref="H903:I903" si="1807">LEN(D903)-LEN(B903)+1</f>
        <v>2</v>
      </c>
      <c r="I903" s="43">
        <f t="shared" si="1807"/>
        <v>3</v>
      </c>
      <c r="J903" s="18">
        <v>2.0</v>
      </c>
      <c r="K903" s="18">
        <v>3.0</v>
      </c>
      <c r="L903" s="5" t="str">
        <f t="shared" ref="L903:M903" si="1808">IFS(J903="-", "-", J903=H903, "Final", J903=1, "Initial", J903&gt;1, "Medial")</f>
        <v>Final</v>
      </c>
      <c r="M903" s="44" t="str">
        <f t="shared" si="1808"/>
        <v>Final</v>
      </c>
      <c r="N903" s="5" t="str">
        <f t="shared" si="5"/>
        <v>-</v>
      </c>
      <c r="O903" s="5">
        <f t="shared" si="6"/>
        <v>2</v>
      </c>
      <c r="P903" s="5" t="str">
        <f t="shared" si="7"/>
        <v>ˈu</v>
      </c>
      <c r="Q903" s="5">
        <f t="shared" si="8"/>
        <v>3</v>
      </c>
      <c r="R903" s="15"/>
      <c r="S903" s="15" t="s">
        <v>2685</v>
      </c>
      <c r="T903" s="15" t="s">
        <v>2686</v>
      </c>
      <c r="U903" s="15" t="s">
        <v>22</v>
      </c>
      <c r="V903" s="20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</row>
    <row r="904">
      <c r="A904" s="3" t="s">
        <v>14</v>
      </c>
      <c r="B904" s="3" t="s">
        <v>2687</v>
      </c>
      <c r="C904" s="3" t="s">
        <v>2688</v>
      </c>
      <c r="D904" s="3" t="s">
        <v>2689</v>
      </c>
      <c r="E904" s="3" t="s">
        <v>2690</v>
      </c>
      <c r="F904" s="3" t="s">
        <v>362</v>
      </c>
      <c r="G904" s="3" t="s">
        <v>301</v>
      </c>
      <c r="H904" s="43">
        <f t="shared" ref="H904:I904" si="1809">LEN(D904)-LEN(B904)+1</f>
        <v>3</v>
      </c>
      <c r="I904" s="43">
        <f t="shared" si="1809"/>
        <v>3</v>
      </c>
      <c r="J904" s="4">
        <v>1.0</v>
      </c>
      <c r="K904" s="4">
        <v>1.0</v>
      </c>
      <c r="L904" s="5" t="str">
        <f t="shared" ref="L904:M904" si="1810">IFS(J904="-", "-", J904=H904, "Final", J904=1, "Initial", J904&gt;1, "Medial")</f>
        <v>Initial</v>
      </c>
      <c r="M904" s="44" t="str">
        <f t="shared" si="1810"/>
        <v>Initial</v>
      </c>
      <c r="N904" s="5" t="str">
        <f t="shared" si="5"/>
        <v>0</v>
      </c>
      <c r="O904" s="5" t="str">
        <f t="shared" si="6"/>
        <v>ˈpɛ</v>
      </c>
      <c r="P904" s="5" t="str">
        <f t="shared" si="7"/>
        <v>0</v>
      </c>
      <c r="Q904" s="5" t="str">
        <f t="shared" si="8"/>
        <v>ˈpeɾ</v>
      </c>
      <c r="R904" s="3"/>
      <c r="S904" s="3" t="s">
        <v>2691</v>
      </c>
      <c r="T904" s="3" t="s">
        <v>2692</v>
      </c>
      <c r="U904" s="3" t="s">
        <v>22</v>
      </c>
      <c r="V904" s="5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>
      <c r="A905" s="3" t="s">
        <v>14</v>
      </c>
      <c r="B905" s="3" t="s">
        <v>2687</v>
      </c>
      <c r="C905" s="3" t="s">
        <v>2688</v>
      </c>
      <c r="D905" s="3" t="s">
        <v>2689</v>
      </c>
      <c r="E905" s="3" t="s">
        <v>2690</v>
      </c>
      <c r="F905" s="3" t="s">
        <v>469</v>
      </c>
      <c r="G905" s="3" t="s">
        <v>2693</v>
      </c>
      <c r="H905" s="43">
        <f t="shared" ref="H905:I905" si="1811">LEN(D905)-LEN(B905)+1</f>
        <v>3</v>
      </c>
      <c r="I905" s="43">
        <f t="shared" si="1811"/>
        <v>3</v>
      </c>
      <c r="J905" s="4">
        <v>2.0</v>
      </c>
      <c r="K905" s="4">
        <v>2.0</v>
      </c>
      <c r="L905" s="5" t="str">
        <f t="shared" ref="L905:M905" si="1812">IFS(J905="-", "-", J905=H905, "Final", J905=1, "Initial", J905&gt;1, "Medial")</f>
        <v>Medial</v>
      </c>
      <c r="M905" s="44" t="str">
        <f t="shared" si="1812"/>
        <v>Medial</v>
      </c>
      <c r="N905" s="5" t="str">
        <f t="shared" si="5"/>
        <v>su</v>
      </c>
      <c r="O905" s="5" t="str">
        <f t="shared" si="6"/>
        <v>tu</v>
      </c>
      <c r="P905" s="5" t="str">
        <f t="shared" si="7"/>
        <v>ʃ</v>
      </c>
      <c r="Q905" s="5" t="str">
        <f t="shared" si="8"/>
        <v>tu</v>
      </c>
      <c r="R905" s="3"/>
      <c r="S905" s="3" t="s">
        <v>2691</v>
      </c>
      <c r="T905" s="3" t="s">
        <v>2692</v>
      </c>
      <c r="U905" s="3" t="s">
        <v>22</v>
      </c>
      <c r="V905" s="5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>
      <c r="A906" s="3" t="s">
        <v>14</v>
      </c>
      <c r="B906" s="3" t="s">
        <v>2687</v>
      </c>
      <c r="C906" s="3" t="s">
        <v>2688</v>
      </c>
      <c r="D906" s="3" t="s">
        <v>2689</v>
      </c>
      <c r="E906" s="3" t="s">
        <v>2690</v>
      </c>
      <c r="F906" s="3" t="s">
        <v>784</v>
      </c>
      <c r="G906" s="3" t="s">
        <v>784</v>
      </c>
      <c r="H906" s="43">
        <f t="shared" ref="H906:I906" si="1813">LEN(D906)-LEN(B906)+1</f>
        <v>3</v>
      </c>
      <c r="I906" s="43">
        <f t="shared" si="1813"/>
        <v>3</v>
      </c>
      <c r="J906" s="4">
        <v>3.0</v>
      </c>
      <c r="K906" s="4">
        <v>3.0</v>
      </c>
      <c r="L906" s="5" t="str">
        <f t="shared" ref="L906:M906" si="1814">IFS(J906="-", "-", J906=H906, "Final", J906=1, "Initial", J906&gt;1, "Medial")</f>
        <v>Final</v>
      </c>
      <c r="M906" s="44" t="str">
        <f t="shared" si="1814"/>
        <v>Final</v>
      </c>
      <c r="N906" s="5" t="str">
        <f t="shared" si="5"/>
        <v>ˈpɛ</v>
      </c>
      <c r="O906" s="5">
        <f t="shared" si="6"/>
        <v>3</v>
      </c>
      <c r="P906" s="5" t="str">
        <f t="shared" si="7"/>
        <v>ˈpeɾ</v>
      </c>
      <c r="Q906" s="5">
        <f t="shared" si="8"/>
        <v>3</v>
      </c>
      <c r="R906" s="3"/>
      <c r="S906" s="3" t="s">
        <v>2691</v>
      </c>
      <c r="T906" s="3" t="s">
        <v>2692</v>
      </c>
      <c r="U906" s="3" t="s">
        <v>22</v>
      </c>
      <c r="V906" s="5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>
      <c r="A907" s="15" t="s">
        <v>14</v>
      </c>
      <c r="B907" s="15" t="s">
        <v>2694</v>
      </c>
      <c r="C907" s="15" t="s">
        <v>2695</v>
      </c>
      <c r="D907" s="15" t="s">
        <v>2696</v>
      </c>
      <c r="E907" s="15" t="s">
        <v>2697</v>
      </c>
      <c r="F907" s="15"/>
      <c r="G907" s="15"/>
      <c r="H907" s="43">
        <f t="shared" ref="H907:I907" si="1815">LEN(D907)-LEN(B907)+1</f>
        <v>3</v>
      </c>
      <c r="I907" s="43">
        <f t="shared" si="1815"/>
        <v>3</v>
      </c>
      <c r="J907" s="18"/>
      <c r="K907" s="18"/>
      <c r="L907" s="5" t="str">
        <f t="shared" ref="L907:M907" si="1816">IFS(J907="-", "-", J907=H907, "Final", J907=1, "Initial", J907&gt;1, "Medial")</f>
        <v>#N/A</v>
      </c>
      <c r="M907" s="44" t="str">
        <f t="shared" si="1816"/>
        <v>#N/A</v>
      </c>
      <c r="N907" s="5" t="str">
        <f t="shared" si="5"/>
        <v>0</v>
      </c>
      <c r="O907" s="5" t="str">
        <f t="shared" si="6"/>
        <v/>
      </c>
      <c r="P907" s="5" t="str">
        <f t="shared" si="7"/>
        <v>0</v>
      </c>
      <c r="Q907" s="5" t="str">
        <f t="shared" si="8"/>
        <v/>
      </c>
      <c r="R907" s="15"/>
      <c r="S907" s="15" t="s">
        <v>2698</v>
      </c>
      <c r="T907" s="15" t="s">
        <v>2699</v>
      </c>
      <c r="U907" s="15" t="s">
        <v>22</v>
      </c>
      <c r="V907" s="15" t="s">
        <v>560</v>
      </c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</row>
    <row r="908">
      <c r="A908" s="3" t="s">
        <v>14</v>
      </c>
      <c r="B908" s="3" t="s">
        <v>2700</v>
      </c>
      <c r="C908" s="3" t="s">
        <v>2701</v>
      </c>
      <c r="D908" s="3" t="s">
        <v>2700</v>
      </c>
      <c r="E908" s="3" t="s">
        <v>2702</v>
      </c>
      <c r="F908" s="3" t="s">
        <v>2700</v>
      </c>
      <c r="G908" s="3" t="s">
        <v>797</v>
      </c>
      <c r="H908" s="43">
        <f t="shared" ref="H908:I908" si="1817">LEN(D908)-LEN(B908)+1</f>
        <v>1</v>
      </c>
      <c r="I908" s="43">
        <f t="shared" si="1817"/>
        <v>2</v>
      </c>
      <c r="J908" s="4">
        <v>1.0</v>
      </c>
      <c r="K908" s="4">
        <v>1.0</v>
      </c>
      <c r="L908" s="5" t="str">
        <f t="shared" ref="L908:M908" si="1818">IFS(J908="-", "-", J908=H908, "Final", J908=1, "Initial", J908&gt;1, "Medial")</f>
        <v>Final</v>
      </c>
      <c r="M908" s="44" t="str">
        <f t="shared" si="1818"/>
        <v>Initial</v>
      </c>
      <c r="N908" s="5" t="str">
        <f t="shared" si="5"/>
        <v>0</v>
      </c>
      <c r="O908" s="5" t="str">
        <f t="shared" si="6"/>
        <v>-</v>
      </c>
      <c r="P908" s="5" t="str">
        <f t="shared" si="7"/>
        <v>0</v>
      </c>
      <c r="Q908" s="5" t="str">
        <f t="shared" si="8"/>
        <v>ʎu</v>
      </c>
      <c r="R908" s="3" t="s">
        <v>80</v>
      </c>
      <c r="S908" s="3" t="s">
        <v>2703</v>
      </c>
      <c r="T908" s="3" t="s">
        <v>2704</v>
      </c>
      <c r="U908" s="3" t="s">
        <v>22</v>
      </c>
      <c r="V908" s="5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>
      <c r="A909" s="3" t="s">
        <v>14</v>
      </c>
      <c r="B909" s="3" t="s">
        <v>2700</v>
      </c>
      <c r="C909" s="3" t="s">
        <v>2701</v>
      </c>
      <c r="D909" s="3" t="s">
        <v>2700</v>
      </c>
      <c r="E909" s="3" t="s">
        <v>2702</v>
      </c>
      <c r="F909" s="3" t="s">
        <v>36</v>
      </c>
      <c r="G909" s="3" t="s">
        <v>24</v>
      </c>
      <c r="H909" s="43">
        <f t="shared" ref="H909:I909" si="1819">LEN(D909)-LEN(B909)+1</f>
        <v>1</v>
      </c>
      <c r="I909" s="43">
        <f t="shared" si="1819"/>
        <v>2</v>
      </c>
      <c r="J909" s="4" t="s">
        <v>36</v>
      </c>
      <c r="K909" s="4">
        <v>2.0</v>
      </c>
      <c r="L909" s="5" t="str">
        <f t="shared" ref="L909:M909" si="1820">IFS(J909="-", "-", J909=H909, "Final", J909=1, "Initial", J909&gt;1, "Medial")</f>
        <v>-</v>
      </c>
      <c r="M909" s="44" t="str">
        <f t="shared" si="1820"/>
        <v>Final</v>
      </c>
      <c r="N909" s="5" t="str">
        <f t="shared" si="5"/>
        <v>ˈvɛ</v>
      </c>
      <c r="O909" s="5" t="str">
        <f t="shared" si="6"/>
        <v>-</v>
      </c>
      <c r="P909" s="5" t="str">
        <f t="shared" si="7"/>
        <v>ˈve</v>
      </c>
      <c r="Q909" s="5">
        <f t="shared" si="8"/>
        <v>2</v>
      </c>
      <c r="R909" s="3"/>
      <c r="S909" s="3" t="s">
        <v>2703</v>
      </c>
      <c r="T909" s="3" t="s">
        <v>2704</v>
      </c>
      <c r="U909" s="3" t="s">
        <v>22</v>
      </c>
      <c r="V909" s="5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>
      <c r="A910" s="15" t="s">
        <v>14</v>
      </c>
      <c r="B910" s="15" t="s">
        <v>2705</v>
      </c>
      <c r="C910" s="15" t="s">
        <v>2706</v>
      </c>
      <c r="D910" s="15" t="s">
        <v>2707</v>
      </c>
      <c r="E910" s="15" t="s">
        <v>2708</v>
      </c>
      <c r="F910" s="15" t="s">
        <v>36</v>
      </c>
      <c r="G910" s="15" t="s">
        <v>49</v>
      </c>
      <c r="H910" s="43">
        <f t="shared" ref="H910:I910" si="1821">LEN(D910)-LEN(B910)+1</f>
        <v>2</v>
      </c>
      <c r="I910" s="43">
        <f t="shared" si="1821"/>
        <v>3</v>
      </c>
      <c r="J910" s="18" t="s">
        <v>36</v>
      </c>
      <c r="K910" s="18">
        <v>1.0</v>
      </c>
      <c r="L910" s="5" t="str">
        <f t="shared" ref="L910:M910" si="1822">IFS(J910="-", "-", J910=H910, "Final", J910=1, "Initial", J910&gt;1, "Medial")</f>
        <v>-</v>
      </c>
      <c r="M910" s="44" t="str">
        <f t="shared" si="1822"/>
        <v>Initial</v>
      </c>
      <c r="N910" s="5" t="str">
        <f t="shared" si="5"/>
        <v>0</v>
      </c>
      <c r="O910" s="5" t="str">
        <f t="shared" si="6"/>
        <v>ˈzɛ</v>
      </c>
      <c r="P910" s="5" t="str">
        <f t="shared" si="7"/>
        <v>0</v>
      </c>
      <c r="Q910" s="5" t="str">
        <f t="shared" si="8"/>
        <v>ˈze</v>
      </c>
      <c r="R910" s="15" t="s">
        <v>80</v>
      </c>
      <c r="S910" s="15" t="s">
        <v>2709</v>
      </c>
      <c r="T910" s="15" t="s">
        <v>2710</v>
      </c>
      <c r="U910" s="15" t="s">
        <v>22</v>
      </c>
      <c r="V910" s="20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</row>
    <row r="911">
      <c r="A911" s="15" t="s">
        <v>14</v>
      </c>
      <c r="B911" s="15" t="s">
        <v>2705</v>
      </c>
      <c r="C911" s="15" t="s">
        <v>2706</v>
      </c>
      <c r="D911" s="15" t="s">
        <v>2707</v>
      </c>
      <c r="E911" s="15" t="s">
        <v>2708</v>
      </c>
      <c r="F911" s="15" t="s">
        <v>2711</v>
      </c>
      <c r="G911" s="15" t="s">
        <v>290</v>
      </c>
      <c r="H911" s="43">
        <f t="shared" ref="H911:I911" si="1823">LEN(D911)-LEN(B911)+1</f>
        <v>2</v>
      </c>
      <c r="I911" s="43">
        <f t="shared" si="1823"/>
        <v>3</v>
      </c>
      <c r="J911" s="18">
        <v>1.0</v>
      </c>
      <c r="K911" s="18">
        <v>2.0</v>
      </c>
      <c r="L911" s="5" t="str">
        <f t="shared" ref="L911:M911" si="1824">IFS(J911="-", "-", J911=H911, "Final", J911=1, "Initial", J911&gt;1, "Medial")</f>
        <v>Initial</v>
      </c>
      <c r="M911" s="44" t="str">
        <f t="shared" si="1824"/>
        <v>Medial</v>
      </c>
      <c r="N911" s="5" t="str">
        <f t="shared" si="5"/>
        <v>-</v>
      </c>
      <c r="O911" s="5" t="str">
        <f t="shared" si="6"/>
        <v>du</v>
      </c>
      <c r="P911" s="5" t="str">
        <f t="shared" si="7"/>
        <v>ɐ</v>
      </c>
      <c r="Q911" s="5" t="str">
        <f t="shared" si="8"/>
        <v>du</v>
      </c>
      <c r="R911" s="15"/>
      <c r="S911" s="15" t="s">
        <v>2709</v>
      </c>
      <c r="T911" s="15" t="s">
        <v>2710</v>
      </c>
      <c r="U911" s="15" t="s">
        <v>22</v>
      </c>
      <c r="V911" s="20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</row>
    <row r="912">
      <c r="A912" s="15" t="s">
        <v>14</v>
      </c>
      <c r="B912" s="15" t="s">
        <v>2705</v>
      </c>
      <c r="C912" s="15" t="s">
        <v>2706</v>
      </c>
      <c r="D912" s="15" t="s">
        <v>2707</v>
      </c>
      <c r="E912" s="15" t="s">
        <v>2708</v>
      </c>
      <c r="F912" s="15" t="s">
        <v>387</v>
      </c>
      <c r="G912" s="15" t="s">
        <v>387</v>
      </c>
      <c r="H912" s="43">
        <f t="shared" ref="H912:I912" si="1825">LEN(D912)-LEN(B912)+1</f>
        <v>2</v>
      </c>
      <c r="I912" s="43">
        <f t="shared" si="1825"/>
        <v>3</v>
      </c>
      <c r="J912" s="18">
        <v>2.0</v>
      </c>
      <c r="K912" s="18">
        <v>3.0</v>
      </c>
      <c r="L912" s="5" t="str">
        <f t="shared" ref="L912:M912" si="1826">IFS(J912="-", "-", J912=H912, "Final", J912=1, "Initial", J912&gt;1, "Medial")</f>
        <v>Final</v>
      </c>
      <c r="M912" s="44" t="str">
        <f t="shared" si="1826"/>
        <v>Final</v>
      </c>
      <c r="N912" s="5" t="str">
        <f t="shared" si="5"/>
        <v>ˈzɛ</v>
      </c>
      <c r="O912" s="5">
        <f t="shared" si="6"/>
        <v>2</v>
      </c>
      <c r="P912" s="5" t="str">
        <f t="shared" si="7"/>
        <v>ˈze</v>
      </c>
      <c r="Q912" s="5">
        <f t="shared" si="8"/>
        <v>3</v>
      </c>
      <c r="R912" s="15"/>
      <c r="S912" s="15" t="s">
        <v>2709</v>
      </c>
      <c r="T912" s="15" t="s">
        <v>2710</v>
      </c>
      <c r="U912" s="15" t="s">
        <v>22</v>
      </c>
      <c r="V912" s="20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</row>
    <row r="913">
      <c r="A913" s="15" t="s">
        <v>14</v>
      </c>
      <c r="B913" s="15" t="s">
        <v>2712</v>
      </c>
      <c r="C913" s="15" t="s">
        <v>2713</v>
      </c>
      <c r="D913" s="15" t="s">
        <v>2714</v>
      </c>
      <c r="E913" s="15" t="s">
        <v>2715</v>
      </c>
      <c r="F913" s="15"/>
      <c r="G913" s="15"/>
      <c r="H913" s="43">
        <f t="shared" ref="H913:I913" si="1827">LEN(D913)-LEN(B913)+1</f>
        <v>2</v>
      </c>
      <c r="I913" s="43">
        <f t="shared" si="1827"/>
        <v>3</v>
      </c>
      <c r="J913" s="18"/>
      <c r="K913" s="18"/>
      <c r="L913" s="5" t="str">
        <f t="shared" ref="L913:M913" si="1828">IFS(J913="-", "-", J913=H913, "Final", J913=1, "Initial", J913&gt;1, "Medial")</f>
        <v>#N/A</v>
      </c>
      <c r="M913" s="44" t="str">
        <f t="shared" si="1828"/>
        <v>#N/A</v>
      </c>
      <c r="N913" s="5" t="str">
        <f t="shared" si="5"/>
        <v>0</v>
      </c>
      <c r="O913" s="5" t="str">
        <f t="shared" si="6"/>
        <v/>
      </c>
      <c r="P913" s="5" t="str">
        <f t="shared" si="7"/>
        <v>0</v>
      </c>
      <c r="Q913" s="5" t="str">
        <f t="shared" si="8"/>
        <v/>
      </c>
      <c r="R913" s="15"/>
      <c r="S913" s="15" t="s">
        <v>2716</v>
      </c>
      <c r="T913" s="15" t="s">
        <v>2717</v>
      </c>
      <c r="U913" s="15" t="s">
        <v>22</v>
      </c>
      <c r="V913" s="15" t="s">
        <v>560</v>
      </c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</row>
    <row r="914">
      <c r="A914" s="3" t="s">
        <v>14</v>
      </c>
      <c r="B914" s="3" t="s">
        <v>2718</v>
      </c>
      <c r="C914" s="3" t="s">
        <v>2719</v>
      </c>
      <c r="D914" s="3" t="s">
        <v>2720</v>
      </c>
      <c r="E914" s="3" t="s">
        <v>2719</v>
      </c>
      <c r="F914" s="3" t="s">
        <v>1180</v>
      </c>
      <c r="G914" s="3" t="s">
        <v>2719</v>
      </c>
      <c r="H914" s="43">
        <f t="shared" ref="H914:I914" si="1829">LEN(D914)-LEN(B914)+1</f>
        <v>2</v>
      </c>
      <c r="I914" s="43">
        <f t="shared" si="1829"/>
        <v>1</v>
      </c>
      <c r="J914" s="4">
        <v>1.0</v>
      </c>
      <c r="K914" s="4">
        <v>1.0</v>
      </c>
      <c r="L914" s="5" t="str">
        <f t="shared" ref="L914:M914" si="1830">IFS(J914="-", "-", J914=H914, "Final", J914=1, "Initial", J914&gt;1, "Medial")</f>
        <v>Initial</v>
      </c>
      <c r="M914" s="44" t="str">
        <f t="shared" si="1830"/>
        <v>Final</v>
      </c>
      <c r="N914" s="5" t="str">
        <f t="shared" si="5"/>
        <v>0</v>
      </c>
      <c r="O914" s="5" t="str">
        <f t="shared" si="6"/>
        <v>ʃi</v>
      </c>
      <c r="P914" s="5" t="str">
        <f t="shared" si="7"/>
        <v>0</v>
      </c>
      <c r="Q914" s="5" t="str">
        <f t="shared" si="8"/>
        <v>-</v>
      </c>
      <c r="R914" s="3"/>
      <c r="S914" s="3" t="s">
        <v>2721</v>
      </c>
      <c r="T914" s="3" t="s">
        <v>2722</v>
      </c>
      <c r="U914" s="3" t="s">
        <v>22</v>
      </c>
      <c r="V914" s="5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>
      <c r="A915" s="3" t="s">
        <v>14</v>
      </c>
      <c r="B915" s="3" t="s">
        <v>2718</v>
      </c>
      <c r="C915" s="3" t="s">
        <v>2719</v>
      </c>
      <c r="D915" s="3" t="s">
        <v>2720</v>
      </c>
      <c r="E915" s="3" t="s">
        <v>2719</v>
      </c>
      <c r="F915" s="3" t="s">
        <v>848</v>
      </c>
      <c r="G915" s="3" t="s">
        <v>36</v>
      </c>
      <c r="H915" s="43">
        <f t="shared" ref="H915:I915" si="1831">LEN(D915)-LEN(B915)+1</f>
        <v>2</v>
      </c>
      <c r="I915" s="43">
        <f t="shared" si="1831"/>
        <v>1</v>
      </c>
      <c r="J915" s="4">
        <v>2.0</v>
      </c>
      <c r="K915" s="4" t="s">
        <v>36</v>
      </c>
      <c r="L915" s="5" t="str">
        <f t="shared" ref="L915:M915" si="1832">IFS(J915="-", "-", J915=H915, "Final", J915=1, "Initial", J915&gt;1, "Medial")</f>
        <v>Final</v>
      </c>
      <c r="M915" s="44" t="str">
        <f t="shared" si="1832"/>
        <v>-</v>
      </c>
      <c r="N915" s="5" t="str">
        <f t="shared" si="5"/>
        <v>ˈdɛ</v>
      </c>
      <c r="O915" s="5">
        <f t="shared" si="6"/>
        <v>2</v>
      </c>
      <c r="P915" s="5" t="str">
        <f t="shared" si="7"/>
        <v>ˈdeʃ</v>
      </c>
      <c r="Q915" s="5" t="str">
        <f t="shared" si="8"/>
        <v>-</v>
      </c>
      <c r="R915" s="3"/>
      <c r="S915" s="3" t="s">
        <v>2721</v>
      </c>
      <c r="T915" s="3" t="s">
        <v>2722</v>
      </c>
      <c r="U915" s="3" t="s">
        <v>22</v>
      </c>
      <c r="V915" s="5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>
      <c r="A916" s="3" t="s">
        <v>14</v>
      </c>
      <c r="B916" s="3" t="s">
        <v>2723</v>
      </c>
      <c r="C916" s="3" t="s">
        <v>2724</v>
      </c>
      <c r="D916" s="3" t="s">
        <v>2725</v>
      </c>
      <c r="E916" s="3" t="s">
        <v>2724</v>
      </c>
      <c r="F916" s="3" t="s">
        <v>878</v>
      </c>
      <c r="G916" s="3" t="s">
        <v>2724</v>
      </c>
      <c r="H916" s="43">
        <f t="shared" ref="H916:I916" si="1833">LEN(D916)-LEN(B916)+1</f>
        <v>2</v>
      </c>
      <c r="I916" s="43">
        <f t="shared" si="1833"/>
        <v>1</v>
      </c>
      <c r="J916" s="4">
        <v>1.0</v>
      </c>
      <c r="K916" s="4">
        <v>1.0</v>
      </c>
      <c r="L916" s="5" t="str">
        <f t="shared" ref="L916:M916" si="1834">IFS(J916="-", "-", J916=H916, "Final", J916=1, "Initial", J916&gt;1, "Medial")</f>
        <v>Initial</v>
      </c>
      <c r="M916" s="44" t="str">
        <f t="shared" si="1834"/>
        <v>Final</v>
      </c>
      <c r="N916" s="5" t="str">
        <f t="shared" si="5"/>
        <v>0</v>
      </c>
      <c r="O916" s="5" t="str">
        <f t="shared" si="6"/>
        <v>su</v>
      </c>
      <c r="P916" s="5" t="str">
        <f t="shared" si="7"/>
        <v>0</v>
      </c>
      <c r="Q916" s="5" t="str">
        <f t="shared" si="8"/>
        <v>-</v>
      </c>
      <c r="R916" s="3"/>
      <c r="S916" s="3" t="s">
        <v>2726</v>
      </c>
      <c r="T916" s="3" t="s">
        <v>2727</v>
      </c>
      <c r="U916" s="3" t="s">
        <v>22</v>
      </c>
      <c r="V916" s="5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>
      <c r="A917" s="3" t="s">
        <v>14</v>
      </c>
      <c r="B917" s="3" t="s">
        <v>2723</v>
      </c>
      <c r="C917" s="3" t="s">
        <v>2724</v>
      </c>
      <c r="D917" s="3" t="s">
        <v>2725</v>
      </c>
      <c r="E917" s="3" t="s">
        <v>2724</v>
      </c>
      <c r="F917" s="3" t="s">
        <v>362</v>
      </c>
      <c r="G917" s="3" t="s">
        <v>36</v>
      </c>
      <c r="H917" s="43">
        <f t="shared" ref="H917:I917" si="1835">LEN(D917)-LEN(B917)+1</f>
        <v>2</v>
      </c>
      <c r="I917" s="43">
        <f t="shared" si="1835"/>
        <v>1</v>
      </c>
      <c r="J917" s="4">
        <v>2.0</v>
      </c>
      <c r="K917" s="4" t="s">
        <v>36</v>
      </c>
      <c r="L917" s="5" t="str">
        <f t="shared" ref="L917:M917" si="1836">IFS(J917="-", "-", J917=H917, "Final", J917=1, "Initial", J917&gt;1, "Medial")</f>
        <v>Final</v>
      </c>
      <c r="M917" s="44" t="str">
        <f t="shared" si="1836"/>
        <v>-</v>
      </c>
      <c r="N917" s="5" t="str">
        <f t="shared" si="5"/>
        <v>ˈdo</v>
      </c>
      <c r="O917" s="5">
        <f t="shared" si="6"/>
        <v>2</v>
      </c>
      <c r="P917" s="5" t="str">
        <f t="shared" si="7"/>
        <v>ˈdojʃ</v>
      </c>
      <c r="Q917" s="5" t="str">
        <f t="shared" si="8"/>
        <v>-</v>
      </c>
      <c r="R917" s="3"/>
      <c r="S917" s="3" t="s">
        <v>2726</v>
      </c>
      <c r="T917" s="3" t="s">
        <v>2727</v>
      </c>
      <c r="U917" s="3" t="s">
        <v>22</v>
      </c>
      <c r="V917" s="5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>
      <c r="A918" s="3" t="s">
        <v>14</v>
      </c>
      <c r="B918" s="3" t="s">
        <v>2728</v>
      </c>
      <c r="C918" s="3" t="s">
        <v>2729</v>
      </c>
      <c r="D918" s="3" t="s">
        <v>2730</v>
      </c>
      <c r="E918" s="3" t="s">
        <v>2731</v>
      </c>
      <c r="F918" s="3" t="s">
        <v>1968</v>
      </c>
      <c r="G918" s="3" t="s">
        <v>1968</v>
      </c>
      <c r="H918" s="43">
        <f t="shared" ref="H918:I918" si="1837">LEN(D918)-LEN(B918)+1</f>
        <v>2</v>
      </c>
      <c r="I918" s="43">
        <f t="shared" si="1837"/>
        <v>2</v>
      </c>
      <c r="J918" s="4">
        <v>1.0</v>
      </c>
      <c r="K918" s="4">
        <v>1.0</v>
      </c>
      <c r="L918" s="5" t="str">
        <f t="shared" ref="L918:M918" si="1838">IFS(J918="-", "-", J918=H918, "Final", J918=1, "Initial", J918&gt;1, "Medial")</f>
        <v>Initial</v>
      </c>
      <c r="M918" s="44" t="str">
        <f t="shared" si="1838"/>
        <v>Initial</v>
      </c>
      <c r="N918" s="5" t="str">
        <f t="shared" si="5"/>
        <v>0</v>
      </c>
      <c r="O918" s="5" t="str">
        <f t="shared" si="6"/>
        <v>tu</v>
      </c>
      <c r="P918" s="5" t="str">
        <f t="shared" si="7"/>
        <v>0</v>
      </c>
      <c r="Q918" s="5" t="str">
        <f t="shared" si="8"/>
        <v>tɾu</v>
      </c>
      <c r="R918" s="3"/>
      <c r="S918" s="3" t="s">
        <v>2732</v>
      </c>
      <c r="T918" s="3" t="s">
        <v>2733</v>
      </c>
      <c r="U918" s="3" t="s">
        <v>22</v>
      </c>
      <c r="V918" s="5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>
      <c r="A919" s="3" t="s">
        <v>14</v>
      </c>
      <c r="B919" s="3" t="s">
        <v>2728</v>
      </c>
      <c r="C919" s="3" t="s">
        <v>2729</v>
      </c>
      <c r="D919" s="3" t="s">
        <v>2730</v>
      </c>
      <c r="E919" s="3" t="s">
        <v>2731</v>
      </c>
      <c r="F919" s="3" t="s">
        <v>784</v>
      </c>
      <c r="G919" s="3" t="s">
        <v>2207</v>
      </c>
      <c r="H919" s="43">
        <f t="shared" ref="H919:I919" si="1839">LEN(D919)-LEN(B919)+1</f>
        <v>2</v>
      </c>
      <c r="I919" s="43">
        <f t="shared" si="1839"/>
        <v>2</v>
      </c>
      <c r="J919" s="4">
        <v>2.0</v>
      </c>
      <c r="K919" s="4">
        <v>2.0</v>
      </c>
      <c r="L919" s="5" t="str">
        <f t="shared" ref="L919:M919" si="1840">IFS(J919="-", "-", J919=H919, "Final", J919=1, "Initial", J919&gt;1, "Medial")</f>
        <v>Final</v>
      </c>
      <c r="M919" s="44" t="str">
        <f t="shared" si="1840"/>
        <v>Final</v>
      </c>
      <c r="N919" s="5" t="str">
        <f t="shared" si="5"/>
        <v>ˈkwa</v>
      </c>
      <c r="O919" s="5">
        <f t="shared" si="6"/>
        <v>2</v>
      </c>
      <c r="P919" s="5" t="str">
        <f t="shared" si="7"/>
        <v>ˈkwa</v>
      </c>
      <c r="Q919" s="5">
        <f t="shared" si="8"/>
        <v>2</v>
      </c>
      <c r="R919" s="3"/>
      <c r="S919" s="3" t="s">
        <v>2732</v>
      </c>
      <c r="T919" s="3" t="s">
        <v>2733</v>
      </c>
      <c r="U919" s="3" t="s">
        <v>22</v>
      </c>
      <c r="V919" s="5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>
      <c r="A920" s="3" t="s">
        <v>14</v>
      </c>
      <c r="B920" s="3" t="s">
        <v>2734</v>
      </c>
      <c r="C920" s="3" t="s">
        <v>2735</v>
      </c>
      <c r="D920" s="3" t="s">
        <v>2736</v>
      </c>
      <c r="E920" s="3" t="s">
        <v>2737</v>
      </c>
      <c r="F920" s="3" t="s">
        <v>623</v>
      </c>
      <c r="G920" s="3" t="s">
        <v>623</v>
      </c>
      <c r="H920" s="43">
        <f t="shared" ref="H920:I920" si="1841">LEN(D920)-LEN(B920)+1</f>
        <v>2</v>
      </c>
      <c r="I920" s="43">
        <f t="shared" si="1841"/>
        <v>2</v>
      </c>
      <c r="J920" s="4">
        <v>1.0</v>
      </c>
      <c r="K920" s="4">
        <v>1.0</v>
      </c>
      <c r="L920" s="5" t="str">
        <f t="shared" ref="L920:M920" si="1842">IFS(J920="-", "-", J920=H920, "Final", J920=1, "Initial", J920&gt;1, "Medial")</f>
        <v>Initial</v>
      </c>
      <c r="M920" s="44" t="str">
        <f t="shared" si="1842"/>
        <v>Initial</v>
      </c>
      <c r="N920" s="5" t="str">
        <f t="shared" si="5"/>
        <v>0</v>
      </c>
      <c r="O920" s="5" t="str">
        <f t="shared" si="6"/>
        <v>tu</v>
      </c>
      <c r="P920" s="5" t="str">
        <f t="shared" si="7"/>
        <v>0</v>
      </c>
      <c r="Q920" s="5" t="str">
        <f t="shared" si="8"/>
        <v>tɾu</v>
      </c>
      <c r="R920" s="3"/>
      <c r="S920" s="3" t="s">
        <v>2738</v>
      </c>
      <c r="T920" s="3" t="s">
        <v>2739</v>
      </c>
      <c r="U920" s="3" t="s">
        <v>22</v>
      </c>
      <c r="V920" s="5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>
      <c r="A921" s="3" t="s">
        <v>14</v>
      </c>
      <c r="B921" s="3" t="s">
        <v>2734</v>
      </c>
      <c r="C921" s="3" t="s">
        <v>2735</v>
      </c>
      <c r="D921" s="3" t="s">
        <v>2736</v>
      </c>
      <c r="E921" s="3" t="s">
        <v>2737</v>
      </c>
      <c r="F921" s="3" t="s">
        <v>784</v>
      </c>
      <c r="G921" s="3" t="s">
        <v>2207</v>
      </c>
      <c r="H921" s="43">
        <f t="shared" ref="H921:I921" si="1843">LEN(D921)-LEN(B921)+1</f>
        <v>2</v>
      </c>
      <c r="I921" s="43">
        <f t="shared" si="1843"/>
        <v>2</v>
      </c>
      <c r="J921" s="4">
        <v>2.0</v>
      </c>
      <c r="K921" s="4">
        <v>2.0</v>
      </c>
      <c r="L921" s="5" t="str">
        <f t="shared" ref="L921:M921" si="1844">IFS(J921="-", "-", J921=H921, "Final", J921=1, "Initial", J921&gt;1, "Medial")</f>
        <v>Final</v>
      </c>
      <c r="M921" s="44" t="str">
        <f t="shared" si="1844"/>
        <v>Final</v>
      </c>
      <c r="N921" s="5" t="str">
        <f t="shared" si="5"/>
        <v>ˈli</v>
      </c>
      <c r="O921" s="5">
        <f t="shared" si="6"/>
        <v>2</v>
      </c>
      <c r="P921" s="5" t="str">
        <f t="shared" si="7"/>
        <v>ˈli</v>
      </c>
      <c r="Q921" s="5">
        <f t="shared" si="8"/>
        <v>2</v>
      </c>
      <c r="R921" s="3"/>
      <c r="S921" s="3" t="s">
        <v>2738</v>
      </c>
      <c r="T921" s="3" t="s">
        <v>2739</v>
      </c>
      <c r="U921" s="3" t="s">
        <v>22</v>
      </c>
      <c r="V921" s="5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>
      <c r="A922" s="3" t="s">
        <v>14</v>
      </c>
      <c r="B922" s="3" t="s">
        <v>2740</v>
      </c>
      <c r="C922" s="3" t="s">
        <v>2741</v>
      </c>
      <c r="D922" s="3" t="s">
        <v>2742</v>
      </c>
      <c r="E922" s="3" t="s">
        <v>2743</v>
      </c>
      <c r="F922" s="3" t="s">
        <v>2744</v>
      </c>
      <c r="G922" s="3" t="s">
        <v>739</v>
      </c>
      <c r="H922" s="43">
        <f t="shared" ref="H922:I922" si="1845">LEN(D922)-LEN(B922)+1</f>
        <v>3</v>
      </c>
      <c r="I922" s="43">
        <f t="shared" si="1845"/>
        <v>3</v>
      </c>
      <c r="J922" s="4">
        <v>1.0</v>
      </c>
      <c r="K922" s="4">
        <v>1.0</v>
      </c>
      <c r="L922" s="5" t="str">
        <f t="shared" ref="L922:M922" si="1846">IFS(J922="-", "-", J922=H922, "Final", J922=1, "Initial", J922&gt;1, "Medial")</f>
        <v>Initial</v>
      </c>
      <c r="M922" s="44" t="str">
        <f t="shared" si="1846"/>
        <v>Initial</v>
      </c>
      <c r="N922" s="5" t="str">
        <f t="shared" si="5"/>
        <v>0</v>
      </c>
      <c r="O922" s="5" t="str">
        <f t="shared" si="6"/>
        <v>ˈtɛ</v>
      </c>
      <c r="P922" s="5" t="str">
        <f t="shared" si="7"/>
        <v>0</v>
      </c>
      <c r="Q922" s="5" t="str">
        <f t="shared" si="8"/>
        <v>ˈta</v>
      </c>
      <c r="R922" s="3" t="s">
        <v>72</v>
      </c>
      <c r="S922" s="3" t="s">
        <v>2745</v>
      </c>
      <c r="T922" s="3" t="s">
        <v>2746</v>
      </c>
      <c r="U922" s="3" t="s">
        <v>22</v>
      </c>
      <c r="V922" s="5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>
      <c r="A923" s="3" t="s">
        <v>14</v>
      </c>
      <c r="B923" s="3" t="s">
        <v>2740</v>
      </c>
      <c r="C923" s="3" t="s">
        <v>2741</v>
      </c>
      <c r="D923" s="3" t="s">
        <v>2742</v>
      </c>
      <c r="E923" s="3" t="s">
        <v>2743</v>
      </c>
      <c r="F923" s="3" t="s">
        <v>2023</v>
      </c>
      <c r="G923" s="3" t="s">
        <v>1075</v>
      </c>
      <c r="H923" s="43">
        <f t="shared" ref="H923:I923" si="1847">LEN(D923)-LEN(B923)+1</f>
        <v>3</v>
      </c>
      <c r="I923" s="43">
        <f t="shared" si="1847"/>
        <v>3</v>
      </c>
      <c r="J923" s="4">
        <v>2.0</v>
      </c>
      <c r="K923" s="4">
        <v>2.0</v>
      </c>
      <c r="L923" s="5" t="str">
        <f t="shared" ref="L923:M923" si="1848">IFS(J923="-", "-", J923=H923, "Final", J923=1, "Initial", J923&gt;1, "Medial")</f>
        <v>Medial</v>
      </c>
      <c r="M923" s="44" t="str">
        <f t="shared" si="1848"/>
        <v>Medial</v>
      </c>
      <c r="N923" s="5" t="str">
        <f t="shared" si="5"/>
        <v>mɛ</v>
      </c>
      <c r="O923" s="5" t="str">
        <f t="shared" si="6"/>
        <v>di</v>
      </c>
      <c r="P923" s="5" t="str">
        <f t="shared" si="7"/>
        <v>mɨ</v>
      </c>
      <c r="Q923" s="5" t="str">
        <f t="shared" si="8"/>
        <v>dɨ</v>
      </c>
      <c r="R923" s="3"/>
      <c r="S923" s="3" t="s">
        <v>2745</v>
      </c>
      <c r="T923" s="3" t="s">
        <v>2746</v>
      </c>
      <c r="U923" s="3" t="s">
        <v>22</v>
      </c>
      <c r="V923" s="5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>
      <c r="A924" s="3" t="s">
        <v>14</v>
      </c>
      <c r="B924" s="3" t="s">
        <v>2740</v>
      </c>
      <c r="C924" s="3" t="s">
        <v>2741</v>
      </c>
      <c r="D924" s="3" t="s">
        <v>2742</v>
      </c>
      <c r="E924" s="3" t="s">
        <v>2743</v>
      </c>
      <c r="F924" s="3" t="s">
        <v>172</v>
      </c>
      <c r="G924" s="3" t="s">
        <v>334</v>
      </c>
      <c r="H924" s="43">
        <f t="shared" ref="H924:I924" si="1849">LEN(D924)-LEN(B924)+1</f>
        <v>3</v>
      </c>
      <c r="I924" s="43">
        <f t="shared" si="1849"/>
        <v>3</v>
      </c>
      <c r="J924" s="4">
        <v>3.0</v>
      </c>
      <c r="K924" s="4">
        <v>3.0</v>
      </c>
      <c r="L924" s="5" t="str">
        <f t="shared" ref="L924:M924" si="1850">IFS(J924="-", "-", J924=H924, "Final", J924=1, "Initial", J924&gt;1, "Medial")</f>
        <v>Final</v>
      </c>
      <c r="M924" s="44" t="str">
        <f t="shared" si="1850"/>
        <v>Final</v>
      </c>
      <c r="N924" s="5" t="str">
        <f t="shared" si="5"/>
        <v>ˈtɛ</v>
      </c>
      <c r="O924" s="5">
        <f t="shared" si="6"/>
        <v>3</v>
      </c>
      <c r="P924" s="5" t="str">
        <f t="shared" si="7"/>
        <v>ˈta</v>
      </c>
      <c r="Q924" s="5">
        <f t="shared" si="8"/>
        <v>3</v>
      </c>
      <c r="R924" s="3"/>
      <c r="S924" s="3" t="s">
        <v>2745</v>
      </c>
      <c r="T924" s="3" t="s">
        <v>2746</v>
      </c>
      <c r="U924" s="3" t="s">
        <v>22</v>
      </c>
      <c r="V924" s="5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>
      <c r="A925" s="3" t="s">
        <v>14</v>
      </c>
      <c r="B925" s="3" t="s">
        <v>2747</v>
      </c>
      <c r="C925" s="3" t="s">
        <v>2748</v>
      </c>
      <c r="D925" s="3" t="s">
        <v>2749</v>
      </c>
      <c r="E925" s="3" t="s">
        <v>2750</v>
      </c>
      <c r="F925" s="3" t="s">
        <v>2751</v>
      </c>
      <c r="G925" s="3" t="s">
        <v>2123</v>
      </c>
      <c r="H925" s="43">
        <f t="shared" ref="H925:I925" si="1851">LEN(D925)-LEN(B925)+1</f>
        <v>2</v>
      </c>
      <c r="I925" s="43">
        <f t="shared" si="1851"/>
        <v>2</v>
      </c>
      <c r="J925" s="4">
        <v>1.0</v>
      </c>
      <c r="K925" s="4">
        <v>1.0</v>
      </c>
      <c r="L925" s="5" t="str">
        <f t="shared" ref="L925:M925" si="1852">IFS(J925="-", "-", J925=H925, "Final", J925=1, "Initial", J925&gt;1, "Medial")</f>
        <v>Initial</v>
      </c>
      <c r="M925" s="44" t="str">
        <f t="shared" si="1852"/>
        <v>Initial</v>
      </c>
      <c r="N925" s="5" t="str">
        <f t="shared" si="5"/>
        <v>0</v>
      </c>
      <c r="O925" s="5" t="str">
        <f t="shared" si="6"/>
        <v>vɛ</v>
      </c>
      <c r="P925" s="5" t="str">
        <f t="shared" si="7"/>
        <v>0</v>
      </c>
      <c r="Q925" s="5" t="str">
        <f t="shared" si="8"/>
        <v>vɨ</v>
      </c>
      <c r="R925" s="3"/>
      <c r="S925" s="3" t="s">
        <v>2752</v>
      </c>
      <c r="T925" s="3" t="s">
        <v>2753</v>
      </c>
      <c r="U925" s="3" t="s">
        <v>22</v>
      </c>
      <c r="V925" s="5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>
      <c r="A926" s="3" t="s">
        <v>14</v>
      </c>
      <c r="B926" s="3" t="s">
        <v>2747</v>
      </c>
      <c r="C926" s="3" t="s">
        <v>2748</v>
      </c>
      <c r="D926" s="3" t="s">
        <v>2749</v>
      </c>
      <c r="E926" s="3" t="s">
        <v>2750</v>
      </c>
      <c r="F926" s="3" t="s">
        <v>2754</v>
      </c>
      <c r="G926" s="3" t="s">
        <v>2755</v>
      </c>
      <c r="H926" s="43">
        <f t="shared" ref="H926:I926" si="1853">LEN(D926)-LEN(B926)+1</f>
        <v>2</v>
      </c>
      <c r="I926" s="43">
        <f t="shared" si="1853"/>
        <v>2</v>
      </c>
      <c r="J926" s="4">
        <v>2.0</v>
      </c>
      <c r="K926" s="4">
        <v>2.0</v>
      </c>
      <c r="L926" s="5" t="str">
        <f t="shared" ref="L926:M926" si="1854">IFS(J926="-", "-", J926=H926, "Final", J926=1, "Initial", J926&gt;1, "Medial")</f>
        <v>Final</v>
      </c>
      <c r="M926" s="44" t="str">
        <f t="shared" si="1854"/>
        <v>Final</v>
      </c>
      <c r="N926" s="5" t="str">
        <f t="shared" si="5"/>
        <v>ˈnɔ</v>
      </c>
      <c r="O926" s="5">
        <f t="shared" si="6"/>
        <v>2</v>
      </c>
      <c r="P926" s="5" t="str">
        <f t="shared" si="7"/>
        <v>ˈno</v>
      </c>
      <c r="Q926" s="5">
        <f t="shared" si="8"/>
        <v>2</v>
      </c>
      <c r="R926" s="3"/>
      <c r="S926" s="3" t="s">
        <v>2752</v>
      </c>
      <c r="T926" s="3" t="s">
        <v>2753</v>
      </c>
      <c r="U926" s="3" t="s">
        <v>22</v>
      </c>
      <c r="V926" s="5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>
      <c r="A927" s="3" t="s">
        <v>14</v>
      </c>
      <c r="B927" s="3" t="s">
        <v>2756</v>
      </c>
      <c r="C927" s="3" t="s">
        <v>2757</v>
      </c>
      <c r="D927" s="3" t="s">
        <v>2758</v>
      </c>
      <c r="E927" s="3" t="s">
        <v>2759</v>
      </c>
      <c r="F927" s="3" t="s">
        <v>233</v>
      </c>
      <c r="G927" s="3" t="s">
        <v>2760</v>
      </c>
      <c r="H927" s="43">
        <f t="shared" ref="H927:I927" si="1855">LEN(D927)-LEN(B927)+1</f>
        <v>2</v>
      </c>
      <c r="I927" s="43">
        <f t="shared" si="1855"/>
        <v>3</v>
      </c>
      <c r="J927" s="4">
        <v>1.0</v>
      </c>
      <c r="K927" s="4">
        <v>1.0</v>
      </c>
      <c r="L927" s="5" t="str">
        <f t="shared" ref="L927:M927" si="1856">IFS(J927="-", "-", J927=H927, "Final", J927=1, "Initial", J927&gt;1, "Medial")</f>
        <v>Initial</v>
      </c>
      <c r="M927" s="44" t="str">
        <f t="shared" si="1856"/>
        <v>Initial</v>
      </c>
      <c r="N927" s="5" t="str">
        <f t="shared" si="5"/>
        <v>0</v>
      </c>
      <c r="O927" s="5" t="str">
        <f t="shared" si="6"/>
        <v>ˈmew</v>
      </c>
      <c r="P927" s="5" t="str">
        <f t="shared" si="7"/>
        <v>0</v>
      </c>
      <c r="Q927" s="5" t="str">
        <f t="shared" si="8"/>
        <v>ˈmɐj</v>
      </c>
      <c r="R927" s="3" t="s">
        <v>80</v>
      </c>
      <c r="S927" s="3" t="s">
        <v>2761</v>
      </c>
      <c r="T927" s="3" t="s">
        <v>2762</v>
      </c>
      <c r="U927" s="3" t="s">
        <v>22</v>
      </c>
      <c r="V927" s="5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>
      <c r="A928" s="3" t="s">
        <v>14</v>
      </c>
      <c r="B928" s="3" t="s">
        <v>2756</v>
      </c>
      <c r="C928" s="3" t="s">
        <v>2757</v>
      </c>
      <c r="D928" s="3" t="s">
        <v>2758</v>
      </c>
      <c r="E928" s="3" t="s">
        <v>2759</v>
      </c>
      <c r="F928" s="3" t="s">
        <v>2763</v>
      </c>
      <c r="G928" s="3" t="s">
        <v>810</v>
      </c>
      <c r="H928" s="43">
        <f t="shared" ref="H928:I928" si="1857">LEN(D928)-LEN(B928)+1</f>
        <v>2</v>
      </c>
      <c r="I928" s="43">
        <f t="shared" si="1857"/>
        <v>3</v>
      </c>
      <c r="J928" s="4">
        <v>2.0</v>
      </c>
      <c r="K928" s="4">
        <v>2.0</v>
      </c>
      <c r="L928" s="5" t="str">
        <f t="shared" ref="L928:M928" si="1858">IFS(J928="-", "-", J928=H928, "Final", J928=1, "Initial", J928&gt;1, "Medial")</f>
        <v>Final</v>
      </c>
      <c r="M928" s="44" t="str">
        <f t="shared" si="1858"/>
        <v>Medial</v>
      </c>
      <c r="N928" s="5" t="str">
        <f t="shared" si="5"/>
        <v>pi</v>
      </c>
      <c r="O928" s="5" t="str">
        <f t="shared" si="6"/>
        <v>-</v>
      </c>
      <c r="P928" s="5" t="str">
        <f t="shared" si="7"/>
        <v>pɾi</v>
      </c>
      <c r="Q928" s="5" t="str">
        <f t="shared" si="8"/>
        <v>ɾu</v>
      </c>
      <c r="R928" s="3"/>
      <c r="S928" s="3" t="s">
        <v>2761</v>
      </c>
      <c r="T928" s="3" t="s">
        <v>2762</v>
      </c>
      <c r="U928" s="3" t="s">
        <v>22</v>
      </c>
      <c r="V928" s="5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>
      <c r="A929" s="3" t="s">
        <v>14</v>
      </c>
      <c r="B929" s="3" t="s">
        <v>2756</v>
      </c>
      <c r="C929" s="3" t="s">
        <v>2757</v>
      </c>
      <c r="D929" s="3" t="s">
        <v>2758</v>
      </c>
      <c r="E929" s="3" t="s">
        <v>2759</v>
      </c>
      <c r="F929" s="17" t="s">
        <v>36</v>
      </c>
      <c r="G929" s="3" t="s">
        <v>1983</v>
      </c>
      <c r="H929" s="43">
        <f t="shared" ref="H929:I929" si="1859">LEN(D929)-LEN(B929)+1</f>
        <v>2</v>
      </c>
      <c r="I929" s="43">
        <f t="shared" si="1859"/>
        <v>3</v>
      </c>
      <c r="J929" s="4" t="s">
        <v>36</v>
      </c>
      <c r="K929" s="4">
        <v>3.0</v>
      </c>
      <c r="L929" s="5" t="str">
        <f t="shared" ref="L929:M929" si="1860">IFS(J929="-", "-", J929=H929, "Final", J929=1, "Initial", J929&gt;1, "Medial")</f>
        <v>-</v>
      </c>
      <c r="M929" s="44" t="str">
        <f t="shared" si="1860"/>
        <v>Final</v>
      </c>
      <c r="N929" s="5" t="str">
        <f t="shared" si="5"/>
        <v>ˈmew</v>
      </c>
      <c r="O929" s="5" t="str">
        <f t="shared" si="6"/>
        <v>-</v>
      </c>
      <c r="P929" s="5" t="str">
        <f t="shared" si="7"/>
        <v>ˈmɐj</v>
      </c>
      <c r="Q929" s="5">
        <f t="shared" si="8"/>
        <v>3</v>
      </c>
      <c r="R929" s="3"/>
      <c r="S929" s="3" t="s">
        <v>2761</v>
      </c>
      <c r="T929" s="3" t="s">
        <v>2762</v>
      </c>
      <c r="U929" s="3" t="s">
        <v>22</v>
      </c>
      <c r="V929" s="5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>
      <c r="A930" s="3" t="s">
        <v>14</v>
      </c>
      <c r="B930" s="3" t="s">
        <v>2764</v>
      </c>
      <c r="C930" s="3" t="s">
        <v>2765</v>
      </c>
      <c r="D930" s="3" t="s">
        <v>2764</v>
      </c>
      <c r="E930" s="3" t="s">
        <v>2765</v>
      </c>
      <c r="F930" s="3" t="s">
        <v>2764</v>
      </c>
      <c r="G930" s="3" t="s">
        <v>2765</v>
      </c>
      <c r="H930" s="43">
        <f t="shared" ref="H930:I930" si="1861">LEN(D930)-LEN(B930)+1</f>
        <v>1</v>
      </c>
      <c r="I930" s="43">
        <f t="shared" si="1861"/>
        <v>1</v>
      </c>
      <c r="J930" s="4">
        <v>1.0</v>
      </c>
      <c r="K930" s="4">
        <v>1.0</v>
      </c>
      <c r="L930" s="5" t="str">
        <f t="shared" ref="L930:M930" si="1862">IFS(J930="-", "-", J930=H930, "Final", J930=1, "Initial", J930&gt;1, "Medial")</f>
        <v>Final</v>
      </c>
      <c r="M930" s="44" t="str">
        <f t="shared" si="1862"/>
        <v>Final</v>
      </c>
      <c r="N930" s="5" t="str">
        <f t="shared" si="5"/>
        <v>0</v>
      </c>
      <c r="O930" s="5">
        <f t="shared" si="6"/>
        <v>1</v>
      </c>
      <c r="P930" s="5" t="str">
        <f t="shared" si="7"/>
        <v>0</v>
      </c>
      <c r="Q930" s="5">
        <f t="shared" si="8"/>
        <v>1</v>
      </c>
      <c r="R930" s="3"/>
      <c r="S930" s="3" t="s">
        <v>2766</v>
      </c>
      <c r="T930" s="3" t="s">
        <v>2767</v>
      </c>
      <c r="U930" s="3" t="s">
        <v>22</v>
      </c>
      <c r="V930" s="5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>
      <c r="A931" s="3" t="s">
        <v>14</v>
      </c>
      <c r="B931" s="3" t="s">
        <v>2768</v>
      </c>
      <c r="C931" s="3" t="s">
        <v>2769</v>
      </c>
      <c r="D931" s="3" t="s">
        <v>2770</v>
      </c>
      <c r="E931" s="3" t="s">
        <v>2771</v>
      </c>
      <c r="F931" s="3" t="s">
        <v>614</v>
      </c>
      <c r="G931" s="3" t="s">
        <v>614</v>
      </c>
      <c r="H931" s="43">
        <f t="shared" ref="H931:I931" si="1863">LEN(D931)-LEN(B931)+1</f>
        <v>2</v>
      </c>
      <c r="I931" s="43">
        <f t="shared" si="1863"/>
        <v>2</v>
      </c>
      <c r="J931" s="4">
        <v>1.0</v>
      </c>
      <c r="K931" s="4">
        <v>1.0</v>
      </c>
      <c r="L931" s="5" t="str">
        <f t="shared" ref="L931:M931" si="1864">IFS(J931="-", "-", J931=H931, "Final", J931=1, "Initial", J931&gt;1, "Medial")</f>
        <v>Initial</v>
      </c>
      <c r="M931" s="44" t="str">
        <f t="shared" si="1864"/>
        <v>Initial</v>
      </c>
      <c r="N931" s="5" t="str">
        <f t="shared" si="5"/>
        <v>0</v>
      </c>
      <c r="O931" s="5" t="str">
        <f t="shared" si="6"/>
        <v>t̠ʃi</v>
      </c>
      <c r="P931" s="5" t="str">
        <f t="shared" si="7"/>
        <v>0</v>
      </c>
      <c r="Q931" s="5" t="str">
        <f t="shared" si="8"/>
        <v>tɨ</v>
      </c>
      <c r="R931" s="3"/>
      <c r="S931" s="3" t="s">
        <v>2772</v>
      </c>
      <c r="T931" s="3" t="s">
        <v>2773</v>
      </c>
      <c r="U931" s="3" t="s">
        <v>22</v>
      </c>
      <c r="V931" s="5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>
      <c r="A932" s="3" t="s">
        <v>14</v>
      </c>
      <c r="B932" s="3" t="s">
        <v>2768</v>
      </c>
      <c r="C932" s="3" t="s">
        <v>2769</v>
      </c>
      <c r="D932" s="3" t="s">
        <v>2770</v>
      </c>
      <c r="E932" s="3" t="s">
        <v>2771</v>
      </c>
      <c r="F932" s="3" t="s">
        <v>55</v>
      </c>
      <c r="G932" s="3" t="s">
        <v>56</v>
      </c>
      <c r="H932" s="43">
        <f t="shared" ref="H932:I932" si="1865">LEN(D932)-LEN(B932)+1</f>
        <v>2</v>
      </c>
      <c r="I932" s="43">
        <f t="shared" si="1865"/>
        <v>2</v>
      </c>
      <c r="J932" s="4">
        <v>2.0</v>
      </c>
      <c r="K932" s="4">
        <v>2.0</v>
      </c>
      <c r="L932" s="5" t="str">
        <f t="shared" ref="L932:M932" si="1866">IFS(J932="-", "-", J932=H932, "Final", J932=1, "Initial", J932&gt;1, "Medial")</f>
        <v>Final</v>
      </c>
      <c r="M932" s="44" t="str">
        <f t="shared" si="1866"/>
        <v>Final</v>
      </c>
      <c r="N932" s="5" t="str">
        <f t="shared" si="5"/>
        <v>ˈsɛ</v>
      </c>
      <c r="O932" s="5">
        <f t="shared" si="6"/>
        <v>2</v>
      </c>
      <c r="P932" s="5" t="str">
        <f t="shared" si="7"/>
        <v>ˈsɛ</v>
      </c>
      <c r="Q932" s="5">
        <f t="shared" si="8"/>
        <v>2</v>
      </c>
      <c r="R932" s="3"/>
      <c r="S932" s="3" t="s">
        <v>2772</v>
      </c>
      <c r="T932" s="3" t="s">
        <v>2773</v>
      </c>
      <c r="U932" s="3" t="s">
        <v>22</v>
      </c>
      <c r="V932" s="5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>
      <c r="A933" s="3" t="s">
        <v>14</v>
      </c>
      <c r="B933" s="3" t="s">
        <v>2774</v>
      </c>
      <c r="C933" s="3" t="s">
        <v>2775</v>
      </c>
      <c r="D933" s="3" t="s">
        <v>2776</v>
      </c>
      <c r="E933" s="3" t="s">
        <v>2777</v>
      </c>
      <c r="F933" s="3" t="s">
        <v>2778</v>
      </c>
      <c r="G933" s="3" t="s">
        <v>2779</v>
      </c>
      <c r="H933" s="43">
        <f t="shared" ref="H933:I933" si="1867">LEN(D933)-LEN(B933)+1</f>
        <v>2</v>
      </c>
      <c r="I933" s="43">
        <f t="shared" si="1867"/>
        <v>2</v>
      </c>
      <c r="J933" s="4">
        <v>1.0</v>
      </c>
      <c r="K933" s="4">
        <v>1.0</v>
      </c>
      <c r="L933" s="5" t="str">
        <f t="shared" ref="L933:M933" si="1868">IFS(J933="-", "-", J933=H933, "Final", J933=1, "Initial", J933&gt;1, "Medial")</f>
        <v>Initial</v>
      </c>
      <c r="M933" s="44" t="str">
        <f t="shared" si="1868"/>
        <v>Initial</v>
      </c>
      <c r="N933" s="5" t="str">
        <f t="shared" si="5"/>
        <v>0</v>
      </c>
      <c r="O933" s="5" t="str">
        <f t="shared" si="6"/>
        <v>ku</v>
      </c>
      <c r="P933" s="5" t="str">
        <f t="shared" si="7"/>
        <v>0</v>
      </c>
      <c r="Q933" s="5" t="str">
        <f t="shared" si="8"/>
        <v>ku</v>
      </c>
      <c r="R933" s="3"/>
      <c r="S933" s="3" t="s">
        <v>2780</v>
      </c>
      <c r="T933" s="3" t="s">
        <v>2781</v>
      </c>
      <c r="U933" s="3" t="s">
        <v>22</v>
      </c>
      <c r="V933" s="5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>
      <c r="A934" s="3" t="s">
        <v>14</v>
      </c>
      <c r="B934" s="3" t="s">
        <v>2774</v>
      </c>
      <c r="C934" s="3" t="s">
        <v>2775</v>
      </c>
      <c r="D934" s="3" t="s">
        <v>2776</v>
      </c>
      <c r="E934" s="3" t="s">
        <v>2777</v>
      </c>
      <c r="F934" s="3" t="s">
        <v>425</v>
      </c>
      <c r="G934" s="3" t="s">
        <v>425</v>
      </c>
      <c r="H934" s="43">
        <f t="shared" ref="H934:I934" si="1869">LEN(D934)-LEN(B934)+1</f>
        <v>2</v>
      </c>
      <c r="I934" s="43">
        <f t="shared" si="1869"/>
        <v>2</v>
      </c>
      <c r="J934" s="4">
        <v>2.0</v>
      </c>
      <c r="K934" s="4">
        <v>2.0</v>
      </c>
      <c r="L934" s="5" t="str">
        <f t="shared" ref="L934:M934" si="1870">IFS(J934="-", "-", J934=H934, "Final", J934=1, "Initial", J934&gt;1, "Medial")</f>
        <v>Final</v>
      </c>
      <c r="M934" s="44" t="str">
        <f t="shared" si="1870"/>
        <v>Final</v>
      </c>
      <c r="N934" s="5" t="str">
        <f t="shared" si="5"/>
        <v>ˈʃĩ</v>
      </c>
      <c r="O934" s="5">
        <f t="shared" si="6"/>
        <v>2</v>
      </c>
      <c r="P934" s="5" t="str">
        <f t="shared" si="7"/>
        <v>ˈsĩ</v>
      </c>
      <c r="Q934" s="5">
        <f t="shared" si="8"/>
        <v>2</v>
      </c>
      <c r="R934" s="3"/>
      <c r="S934" s="3" t="s">
        <v>2780</v>
      </c>
      <c r="T934" s="3" t="s">
        <v>2781</v>
      </c>
      <c r="U934" s="3" t="s">
        <v>22</v>
      </c>
      <c r="V934" s="5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>
      <c r="A935" s="3" t="s">
        <v>14</v>
      </c>
      <c r="B935" s="3" t="s">
        <v>2782</v>
      </c>
      <c r="C935" s="3" t="s">
        <v>2783</v>
      </c>
      <c r="D935" s="3" t="s">
        <v>2784</v>
      </c>
      <c r="E935" s="3" t="s">
        <v>2785</v>
      </c>
      <c r="F935" s="3" t="s">
        <v>2786</v>
      </c>
      <c r="G935" s="3" t="s">
        <v>753</v>
      </c>
      <c r="H935" s="43">
        <f t="shared" ref="H935:I935" si="1871">LEN(D935)-LEN(B935)+1</f>
        <v>3</v>
      </c>
      <c r="I935" s="43">
        <f t="shared" si="1871"/>
        <v>3</v>
      </c>
      <c r="J935" s="4">
        <v>1.0</v>
      </c>
      <c r="K935" s="4">
        <v>1.0</v>
      </c>
      <c r="L935" s="5" t="str">
        <f t="shared" ref="L935:M935" si="1872">IFS(J935="-", "-", J935=H935, "Final", J935=1, "Initial", J935&gt;1, "Medial")</f>
        <v>Initial</v>
      </c>
      <c r="M935" s="44" t="str">
        <f t="shared" si="1872"/>
        <v>Initial</v>
      </c>
      <c r="N935" s="5" t="str">
        <f t="shared" si="5"/>
        <v>0</v>
      </c>
      <c r="O935" s="5" t="str">
        <f t="shared" si="6"/>
        <v>ˈtɛ</v>
      </c>
      <c r="P935" s="5" t="str">
        <f t="shared" si="7"/>
        <v>0</v>
      </c>
      <c r="Q935" s="5" t="str">
        <f t="shared" si="8"/>
        <v>ˈtɐj</v>
      </c>
      <c r="R935" s="3" t="s">
        <v>72</v>
      </c>
      <c r="S935" s="3" t="s">
        <v>2787</v>
      </c>
      <c r="T935" s="3" t="s">
        <v>2788</v>
      </c>
      <c r="U935" s="3" t="s">
        <v>22</v>
      </c>
      <c r="V935" s="5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>
      <c r="A936" s="3" t="s">
        <v>14</v>
      </c>
      <c r="B936" s="3" t="s">
        <v>2782</v>
      </c>
      <c r="C936" s="3" t="s">
        <v>2783</v>
      </c>
      <c r="D936" s="3" t="s">
        <v>2784</v>
      </c>
      <c r="E936" s="3" t="s">
        <v>2785</v>
      </c>
      <c r="F936" s="3" t="s">
        <v>2023</v>
      </c>
      <c r="G936" s="3" t="s">
        <v>2789</v>
      </c>
      <c r="H936" s="43">
        <f t="shared" ref="H936:I936" si="1873">LEN(D936)-LEN(B936)+1</f>
        <v>3</v>
      </c>
      <c r="I936" s="43">
        <f t="shared" si="1873"/>
        <v>3</v>
      </c>
      <c r="J936" s="4">
        <v>2.0</v>
      </c>
      <c r="K936" s="4">
        <v>2.0</v>
      </c>
      <c r="L936" s="5" t="str">
        <f t="shared" ref="L936:M936" si="1874">IFS(J936="-", "-", J936=H936, "Final", J936=1, "Initial", J936&gt;1, "Medial")</f>
        <v>Medial</v>
      </c>
      <c r="M936" s="44" t="str">
        <f t="shared" si="1874"/>
        <v>Medial</v>
      </c>
      <c r="N936" s="5" t="str">
        <f t="shared" si="5"/>
        <v>n</v>
      </c>
      <c r="O936" s="5" t="str">
        <f t="shared" si="6"/>
        <v>ru</v>
      </c>
      <c r="P936" s="5" t="str">
        <f t="shared" si="7"/>
        <v>ĩ</v>
      </c>
      <c r="Q936" s="5" t="str">
        <f t="shared" si="8"/>
        <v>ɾu</v>
      </c>
      <c r="R936" s="3"/>
      <c r="S936" s="3" t="s">
        <v>2787</v>
      </c>
      <c r="T936" s="3" t="s">
        <v>2788</v>
      </c>
      <c r="U936" s="3" t="s">
        <v>22</v>
      </c>
      <c r="V936" s="5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>
      <c r="A937" s="3" t="s">
        <v>14</v>
      </c>
      <c r="B937" s="3" t="s">
        <v>2782</v>
      </c>
      <c r="C937" s="3" t="s">
        <v>2783</v>
      </c>
      <c r="D937" s="3" t="s">
        <v>2784</v>
      </c>
      <c r="E937" s="3" t="s">
        <v>2785</v>
      </c>
      <c r="F937" s="3" t="s">
        <v>1647</v>
      </c>
      <c r="G937" s="3" t="s">
        <v>1983</v>
      </c>
      <c r="H937" s="43">
        <f t="shared" ref="H937:I937" si="1875">LEN(D937)-LEN(B937)+1</f>
        <v>3</v>
      </c>
      <c r="I937" s="43">
        <f t="shared" si="1875"/>
        <v>3</v>
      </c>
      <c r="J937" s="4">
        <v>3.0</v>
      </c>
      <c r="K937" s="4">
        <v>3.0</v>
      </c>
      <c r="L937" s="5" t="str">
        <f t="shared" ref="L937:M937" si="1876">IFS(J937="-", "-", J937=H937, "Final", J937=1, "Initial", J937&gt;1, "Medial")</f>
        <v>Final</v>
      </c>
      <c r="M937" s="44" t="str">
        <f t="shared" si="1876"/>
        <v>Final</v>
      </c>
      <c r="N937" s="5" t="str">
        <f t="shared" si="5"/>
        <v>ˈtɛ</v>
      </c>
      <c r="O937" s="5">
        <f t="shared" si="6"/>
        <v>3</v>
      </c>
      <c r="P937" s="5" t="str">
        <f t="shared" si="7"/>
        <v>ˈtɐj</v>
      </c>
      <c r="Q937" s="5">
        <f t="shared" si="8"/>
        <v>3</v>
      </c>
      <c r="R937" s="3"/>
      <c r="S937" s="3" t="s">
        <v>2787</v>
      </c>
      <c r="T937" s="3" t="s">
        <v>2788</v>
      </c>
      <c r="U937" s="3" t="s">
        <v>22</v>
      </c>
      <c r="V937" s="5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>
      <c r="A938" s="3" t="s">
        <v>14</v>
      </c>
      <c r="B938" s="3" t="s">
        <v>2790</v>
      </c>
      <c r="C938" s="3" t="s">
        <v>2791</v>
      </c>
      <c r="D938" s="3" t="s">
        <v>2792</v>
      </c>
      <c r="E938" s="3" t="s">
        <v>2791</v>
      </c>
      <c r="F938" s="3" t="s">
        <v>2793</v>
      </c>
      <c r="G938" s="3" t="s">
        <v>2791</v>
      </c>
      <c r="H938" s="43">
        <f t="shared" ref="H938:I938" si="1877">LEN(D938)-LEN(B938)+1</f>
        <v>2</v>
      </c>
      <c r="I938" s="43">
        <f t="shared" si="1877"/>
        <v>1</v>
      </c>
      <c r="J938" s="4">
        <v>1.0</v>
      </c>
      <c r="K938" s="4">
        <v>1.0</v>
      </c>
      <c r="L938" s="5" t="str">
        <f t="shared" ref="L938:M938" si="1878">IFS(J938="-", "-", J938=H938, "Final", J938=1, "Initial", J938&gt;1, "Medial")</f>
        <v>Initial</v>
      </c>
      <c r="M938" s="44" t="str">
        <f t="shared" si="1878"/>
        <v>Final</v>
      </c>
      <c r="N938" s="5" t="str">
        <f t="shared" si="5"/>
        <v>0</v>
      </c>
      <c r="O938" s="5" t="str">
        <f t="shared" si="6"/>
        <v>ʃi</v>
      </c>
      <c r="P938" s="5" t="str">
        <f t="shared" si="7"/>
        <v>0</v>
      </c>
      <c r="Q938" s="5" t="str">
        <f t="shared" si="8"/>
        <v>-</v>
      </c>
      <c r="R938" s="3"/>
      <c r="S938" s="3" t="s">
        <v>2794</v>
      </c>
      <c r="T938" s="3" t="s">
        <v>2795</v>
      </c>
      <c r="U938" s="3" t="s">
        <v>22</v>
      </c>
      <c r="V938" s="5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>
      <c r="A939" s="3" t="s">
        <v>14</v>
      </c>
      <c r="B939" s="3" t="s">
        <v>2790</v>
      </c>
      <c r="C939" s="3" t="s">
        <v>2791</v>
      </c>
      <c r="D939" s="3" t="s">
        <v>2792</v>
      </c>
      <c r="E939" s="3" t="s">
        <v>2791</v>
      </c>
      <c r="F939" s="3" t="s">
        <v>848</v>
      </c>
      <c r="G939" s="3" t="s">
        <v>36</v>
      </c>
      <c r="H939" s="43">
        <f t="shared" ref="H939:I939" si="1879">LEN(D939)-LEN(B939)+1</f>
        <v>2</v>
      </c>
      <c r="I939" s="43">
        <f t="shared" si="1879"/>
        <v>1</v>
      </c>
      <c r="J939" s="4">
        <v>2.0</v>
      </c>
      <c r="K939" s="4" t="s">
        <v>36</v>
      </c>
      <c r="L939" s="5" t="str">
        <f t="shared" ref="L939:M939" si="1880">IFS(J939="-", "-", J939=H939, "Final", J939=1, "Initial", J939&gt;1, "Medial")</f>
        <v>Final</v>
      </c>
      <c r="M939" s="44" t="str">
        <f t="shared" si="1880"/>
        <v>-</v>
      </c>
      <c r="N939" s="5" t="str">
        <f t="shared" si="5"/>
        <v>ˈte:</v>
      </c>
      <c r="O939" s="5">
        <f t="shared" si="6"/>
        <v>2</v>
      </c>
      <c r="P939" s="5" t="str">
        <f t="shared" si="7"/>
        <v>ˈtɾeʃ</v>
      </c>
      <c r="Q939" s="5" t="str">
        <f t="shared" si="8"/>
        <v>-</v>
      </c>
      <c r="R939" s="3"/>
      <c r="S939" s="3" t="s">
        <v>2794</v>
      </c>
      <c r="T939" s="3" t="s">
        <v>2795</v>
      </c>
      <c r="U939" s="3" t="s">
        <v>22</v>
      </c>
      <c r="V939" s="5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>
      <c r="A940" s="3" t="s">
        <v>14</v>
      </c>
      <c r="B940" s="3" t="s">
        <v>2796</v>
      </c>
      <c r="C940" s="3" t="s">
        <v>2797</v>
      </c>
      <c r="D940" s="3" t="s">
        <v>2796</v>
      </c>
      <c r="E940" s="3" t="s">
        <v>2797</v>
      </c>
      <c r="F940" s="3" t="s">
        <v>2796</v>
      </c>
      <c r="G940" s="3" t="s">
        <v>2797</v>
      </c>
      <c r="H940" s="43">
        <f t="shared" ref="H940:I940" si="1881">LEN(D940)-LEN(B940)+1</f>
        <v>1</v>
      </c>
      <c r="I940" s="43">
        <f t="shared" si="1881"/>
        <v>1</v>
      </c>
      <c r="J940" s="4">
        <v>1.0</v>
      </c>
      <c r="K940" s="4">
        <v>1.0</v>
      </c>
      <c r="L940" s="5" t="str">
        <f t="shared" ref="L940:M940" si="1882">IFS(J940="-", "-", J940=H940, "Final", J940=1, "Initial", J940&gt;1, "Medial")</f>
        <v>Final</v>
      </c>
      <c r="M940" s="44" t="str">
        <f t="shared" si="1882"/>
        <v>Final</v>
      </c>
      <c r="N940" s="5" t="str">
        <f t="shared" si="5"/>
        <v>0</v>
      </c>
      <c r="O940" s="5">
        <f t="shared" si="6"/>
        <v>1</v>
      </c>
      <c r="P940" s="5" t="str">
        <f t="shared" si="7"/>
        <v>0</v>
      </c>
      <c r="Q940" s="5">
        <f t="shared" si="8"/>
        <v>1</v>
      </c>
      <c r="R940" s="3" t="s">
        <v>72</v>
      </c>
      <c r="S940" s="3" t="s">
        <v>2798</v>
      </c>
      <c r="T940" s="3" t="s">
        <v>2799</v>
      </c>
      <c r="U940" s="3" t="s">
        <v>22</v>
      </c>
      <c r="V940" s="5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>
      <c r="A941" s="3" t="s">
        <v>14</v>
      </c>
      <c r="B941" s="3" t="s">
        <v>2800</v>
      </c>
      <c r="C941" s="3" t="s">
        <v>2801</v>
      </c>
      <c r="D941" s="3" t="s">
        <v>2802</v>
      </c>
      <c r="E941" s="3" t="s">
        <v>2803</v>
      </c>
      <c r="F941" s="3" t="s">
        <v>335</v>
      </c>
      <c r="G941" s="3" t="s">
        <v>2804</v>
      </c>
      <c r="H941" s="43">
        <f t="shared" ref="H941:I941" si="1883">LEN(D941)-LEN(B941)+1</f>
        <v>2</v>
      </c>
      <c r="I941" s="43">
        <f t="shared" si="1883"/>
        <v>2</v>
      </c>
      <c r="J941" s="4">
        <v>1.0</v>
      </c>
      <c r="K941" s="4">
        <v>1.0</v>
      </c>
      <c r="L941" s="5" t="str">
        <f t="shared" ref="L941:M941" si="1884">IFS(J941="-", "-", J941=H941, "Final", J941=1, "Initial", J941&gt;1, "Medial")</f>
        <v>Initial</v>
      </c>
      <c r="M941" s="44" t="str">
        <f t="shared" si="1884"/>
        <v>Initial</v>
      </c>
      <c r="N941" s="5" t="str">
        <f t="shared" si="5"/>
        <v>0</v>
      </c>
      <c r="O941" s="5" t="str">
        <f t="shared" si="6"/>
        <v>tu</v>
      </c>
      <c r="P941" s="5" t="str">
        <f t="shared" si="7"/>
        <v>0</v>
      </c>
      <c r="Q941" s="5" t="str">
        <f t="shared" si="8"/>
        <v>tu</v>
      </c>
      <c r="R941" s="3"/>
      <c r="S941" s="3" t="s">
        <v>2805</v>
      </c>
      <c r="T941" s="3" t="s">
        <v>2806</v>
      </c>
      <c r="U941" s="3" t="s">
        <v>22</v>
      </c>
      <c r="V941" s="5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>
      <c r="A942" s="3" t="s">
        <v>14</v>
      </c>
      <c r="B942" s="3" t="s">
        <v>2800</v>
      </c>
      <c r="C942" s="3" t="s">
        <v>2801</v>
      </c>
      <c r="D942" s="3" t="s">
        <v>2802</v>
      </c>
      <c r="E942" s="3" t="s">
        <v>2803</v>
      </c>
      <c r="F942" s="3" t="s">
        <v>784</v>
      </c>
      <c r="G942" s="3" t="s">
        <v>784</v>
      </c>
      <c r="H942" s="43">
        <f t="shared" ref="H942:I942" si="1885">LEN(D942)-LEN(B942)+1</f>
        <v>2</v>
      </c>
      <c r="I942" s="43">
        <f t="shared" si="1885"/>
        <v>2</v>
      </c>
      <c r="J942" s="4">
        <v>2.0</v>
      </c>
      <c r="K942" s="4">
        <v>2.0</v>
      </c>
      <c r="L942" s="5" t="str">
        <f t="shared" ref="L942:M942" si="1886">IFS(J942="-", "-", J942=H942, "Final", J942=1, "Initial", J942&gt;1, "Medial")</f>
        <v>Final</v>
      </c>
      <c r="M942" s="44" t="str">
        <f t="shared" si="1886"/>
        <v>Final</v>
      </c>
      <c r="N942" s="5" t="str">
        <f t="shared" si="5"/>
        <v>ˈwe</v>
      </c>
      <c r="O942" s="5">
        <f t="shared" si="6"/>
        <v>2</v>
      </c>
      <c r="P942" s="5" t="str">
        <f t="shared" si="7"/>
        <v>ˈoj</v>
      </c>
      <c r="Q942" s="5">
        <f t="shared" si="8"/>
        <v>2</v>
      </c>
      <c r="R942" s="3"/>
      <c r="S942" s="3" t="s">
        <v>2805</v>
      </c>
      <c r="T942" s="3" t="s">
        <v>2806</v>
      </c>
      <c r="U942" s="3" t="s">
        <v>22</v>
      </c>
      <c r="V942" s="5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>
      <c r="A943" s="3" t="s">
        <v>14</v>
      </c>
      <c r="B943" s="3" t="s">
        <v>2807</v>
      </c>
      <c r="C943" s="3" t="s">
        <v>2808</v>
      </c>
      <c r="D943" s="3" t="s">
        <v>2809</v>
      </c>
      <c r="E943" s="3" t="s">
        <v>2810</v>
      </c>
      <c r="F943" s="3" t="s">
        <v>30</v>
      </c>
      <c r="G943" s="3" t="s">
        <v>49</v>
      </c>
      <c r="H943" s="43">
        <f t="shared" ref="H943:I943" si="1887">LEN(D943)-LEN(B943)+1</f>
        <v>3</v>
      </c>
      <c r="I943" s="43">
        <f t="shared" si="1887"/>
        <v>2</v>
      </c>
      <c r="J943" s="4">
        <v>1.0</v>
      </c>
      <c r="K943" s="4">
        <v>1.0</v>
      </c>
      <c r="L943" s="5" t="str">
        <f t="shared" ref="L943:M943" si="1888">IFS(J943="-", "-", J943=H943, "Final", J943=1, "Initial", J943&gt;1, "Medial")</f>
        <v>Initial</v>
      </c>
      <c r="M943" s="44" t="str">
        <f t="shared" si="1888"/>
        <v>Initial</v>
      </c>
      <c r="N943" s="5" t="str">
        <f t="shared" si="5"/>
        <v>0</v>
      </c>
      <c r="O943" s="5" t="str">
        <f t="shared" si="6"/>
        <v>ˈbi</v>
      </c>
      <c r="P943" s="5" t="str">
        <f t="shared" si="7"/>
        <v>0</v>
      </c>
      <c r="Q943" s="5" t="str">
        <f t="shared" si="8"/>
        <v>-</v>
      </c>
      <c r="R943" s="3" t="s">
        <v>80</v>
      </c>
      <c r="S943" s="3" t="s">
        <v>2811</v>
      </c>
      <c r="T943" s="3" t="s">
        <v>2812</v>
      </c>
      <c r="U943" s="3" t="s">
        <v>22</v>
      </c>
      <c r="V943" s="5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>
      <c r="A944" s="3" t="s">
        <v>14</v>
      </c>
      <c r="B944" s="3" t="s">
        <v>2807</v>
      </c>
      <c r="C944" s="3" t="s">
        <v>2808</v>
      </c>
      <c r="D944" s="3" t="s">
        <v>2809</v>
      </c>
      <c r="E944" s="3" t="s">
        <v>2810</v>
      </c>
      <c r="F944" s="3" t="s">
        <v>466</v>
      </c>
      <c r="G944" s="3" t="s">
        <v>36</v>
      </c>
      <c r="H944" s="43">
        <f t="shared" ref="H944:I944" si="1889">LEN(D944)-LEN(B944)+1</f>
        <v>3</v>
      </c>
      <c r="I944" s="43">
        <f t="shared" si="1889"/>
        <v>2</v>
      </c>
      <c r="J944" s="4">
        <v>2.0</v>
      </c>
      <c r="K944" s="4" t="s">
        <v>36</v>
      </c>
      <c r="L944" s="5" t="str">
        <f t="shared" ref="L944:M944" si="1890">IFS(J944="-", "-", J944=H944, "Final", J944=1, "Initial", J944&gt;1, "Medial")</f>
        <v>Medial</v>
      </c>
      <c r="M944" s="44" t="str">
        <f t="shared" si="1890"/>
        <v>-</v>
      </c>
      <c r="N944" s="5" t="str">
        <f t="shared" si="5"/>
        <v>a</v>
      </c>
      <c r="O944" s="5" t="str">
        <f t="shared" si="6"/>
        <v>li</v>
      </c>
      <c r="P944" s="5" t="str">
        <f t="shared" si="7"/>
        <v>ɐ</v>
      </c>
      <c r="Q944" s="5" t="str">
        <f t="shared" si="8"/>
        <v>ˈbɾiɫ</v>
      </c>
      <c r="R944" s="3"/>
      <c r="S944" s="3" t="s">
        <v>2813</v>
      </c>
      <c r="T944" s="3" t="s">
        <v>2812</v>
      </c>
      <c r="U944" s="3" t="s">
        <v>22</v>
      </c>
      <c r="V944" s="5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>
      <c r="A945" s="3" t="s">
        <v>14</v>
      </c>
      <c r="B945" s="3" t="s">
        <v>2807</v>
      </c>
      <c r="C945" s="3" t="s">
        <v>2808</v>
      </c>
      <c r="D945" s="3" t="s">
        <v>2809</v>
      </c>
      <c r="E945" s="3" t="s">
        <v>2810</v>
      </c>
      <c r="F945" s="3" t="s">
        <v>197</v>
      </c>
      <c r="G945" s="3" t="s">
        <v>2814</v>
      </c>
      <c r="H945" s="43">
        <f t="shared" ref="H945:I945" si="1891">LEN(D945)-LEN(B945)+1</f>
        <v>3</v>
      </c>
      <c r="I945" s="43">
        <f t="shared" si="1891"/>
        <v>2</v>
      </c>
      <c r="J945" s="4">
        <v>3.0</v>
      </c>
      <c r="K945" s="4">
        <v>2.0</v>
      </c>
      <c r="L945" s="5" t="str">
        <f t="shared" ref="L945:M945" si="1892">IFS(J945="-", "-", J945=H945, "Final", J945=1, "Initial", J945&gt;1, "Medial")</f>
        <v>Final</v>
      </c>
      <c r="M945" s="44" t="str">
        <f t="shared" si="1892"/>
        <v>Final</v>
      </c>
      <c r="N945" s="5" t="str">
        <f t="shared" si="5"/>
        <v>ˈbi</v>
      </c>
      <c r="O945" s="5">
        <f t="shared" si="6"/>
        <v>3</v>
      </c>
      <c r="P945" s="5" t="str">
        <f t="shared" si="7"/>
        <v>-</v>
      </c>
      <c r="Q945" s="5">
        <f t="shared" si="8"/>
        <v>2</v>
      </c>
      <c r="R945" s="3"/>
      <c r="S945" s="3" t="s">
        <v>2815</v>
      </c>
      <c r="T945" s="3" t="s">
        <v>2812</v>
      </c>
      <c r="U945" s="3" t="s">
        <v>22</v>
      </c>
      <c r="V945" s="5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>
      <c r="A946" s="3" t="s">
        <v>14</v>
      </c>
      <c r="B946" s="3" t="s">
        <v>2816</v>
      </c>
      <c r="C946" s="3" t="s">
        <v>2817</v>
      </c>
      <c r="D946" s="3" t="s">
        <v>2818</v>
      </c>
      <c r="E946" s="3" t="s">
        <v>2819</v>
      </c>
      <c r="F946" s="3" t="s">
        <v>30</v>
      </c>
      <c r="G946" s="3" t="s">
        <v>49</v>
      </c>
      <c r="H946" s="43">
        <f t="shared" ref="H946:I946" si="1893">LEN(D946)-LEN(B946)+1</f>
        <v>3</v>
      </c>
      <c r="I946" s="43">
        <f t="shared" si="1893"/>
        <v>3</v>
      </c>
      <c r="J946" s="4">
        <v>1.0</v>
      </c>
      <c r="K946" s="4">
        <v>1.0</v>
      </c>
      <c r="L946" s="5" t="str">
        <f t="shared" ref="L946:M946" si="1894">IFS(J946="-", "-", J946=H946, "Final", J946=1, "Initial", J946&gt;1, "Medial")</f>
        <v>Initial</v>
      </c>
      <c r="M946" s="44" t="str">
        <f t="shared" si="1894"/>
        <v>Initial</v>
      </c>
      <c r="N946" s="5" t="str">
        <f t="shared" si="5"/>
        <v>0</v>
      </c>
      <c r="O946" s="5" t="str">
        <f t="shared" si="6"/>
        <v>ˈgoʃ</v>
      </c>
      <c r="P946" s="5" t="str">
        <f t="shared" si="7"/>
        <v>0</v>
      </c>
      <c r="Q946" s="5" t="str">
        <f t="shared" si="8"/>
        <v>ˈgoʃ</v>
      </c>
      <c r="R946" s="3"/>
      <c r="S946" s="3" t="s">
        <v>2820</v>
      </c>
      <c r="T946" s="3" t="s">
        <v>2821</v>
      </c>
      <c r="U946" s="3" t="s">
        <v>22</v>
      </c>
      <c r="V946" s="5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>
      <c r="A947" s="3" t="s">
        <v>14</v>
      </c>
      <c r="B947" s="3" t="s">
        <v>2816</v>
      </c>
      <c r="C947" s="3" t="s">
        <v>2817</v>
      </c>
      <c r="D947" s="3" t="s">
        <v>2818</v>
      </c>
      <c r="E947" s="3" t="s">
        <v>2819</v>
      </c>
      <c r="F947" s="3" t="s">
        <v>2822</v>
      </c>
      <c r="G947" s="3" t="s">
        <v>2822</v>
      </c>
      <c r="H947" s="43">
        <f t="shared" ref="H947:I947" si="1895">LEN(D947)-LEN(B947)+1</f>
        <v>3</v>
      </c>
      <c r="I947" s="43">
        <f t="shared" si="1895"/>
        <v>3</v>
      </c>
      <c r="J947" s="4">
        <v>2.0</v>
      </c>
      <c r="K947" s="4">
        <v>2.0</v>
      </c>
      <c r="L947" s="5" t="str">
        <f t="shared" ref="L947:M947" si="1896">IFS(J947="-", "-", J947=H947, "Final", J947=1, "Initial", J947&gt;1, "Medial")</f>
        <v>Medial</v>
      </c>
      <c r="M947" s="44" t="str">
        <f t="shared" si="1896"/>
        <v>Medial</v>
      </c>
      <c r="N947" s="5" t="str">
        <f t="shared" si="5"/>
        <v>a</v>
      </c>
      <c r="O947" s="5" t="str">
        <f t="shared" si="6"/>
        <v>to</v>
      </c>
      <c r="P947" s="5" t="str">
        <f t="shared" si="7"/>
        <v>ɐ</v>
      </c>
      <c r="Q947" s="5" t="str">
        <f t="shared" si="8"/>
        <v>tu</v>
      </c>
      <c r="R947" s="3"/>
      <c r="S947" s="3" t="s">
        <v>2820</v>
      </c>
      <c r="T947" s="3" t="s">
        <v>2821</v>
      </c>
      <c r="U947" s="3" t="s">
        <v>22</v>
      </c>
      <c r="V947" s="5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>
      <c r="A948" s="3" t="s">
        <v>14</v>
      </c>
      <c r="B948" s="3" t="s">
        <v>2816</v>
      </c>
      <c r="C948" s="3" t="s">
        <v>2817</v>
      </c>
      <c r="D948" s="3" t="s">
        <v>2818</v>
      </c>
      <c r="E948" s="3" t="s">
        <v>2819</v>
      </c>
      <c r="F948" s="3" t="s">
        <v>2206</v>
      </c>
      <c r="G948" s="3" t="s">
        <v>784</v>
      </c>
      <c r="H948" s="43">
        <f t="shared" ref="H948:I948" si="1897">LEN(D948)-LEN(B948)+1</f>
        <v>3</v>
      </c>
      <c r="I948" s="43">
        <f t="shared" si="1897"/>
        <v>3</v>
      </c>
      <c r="J948" s="4">
        <v>3.0</v>
      </c>
      <c r="K948" s="4">
        <v>3.0</v>
      </c>
      <c r="L948" s="5" t="str">
        <f t="shared" ref="L948:M948" si="1898">IFS(J948="-", "-", J948=H948, "Final", J948=1, "Initial", J948&gt;1, "Medial")</f>
        <v>Final</v>
      </c>
      <c r="M948" s="44" t="str">
        <f t="shared" si="1898"/>
        <v>Final</v>
      </c>
      <c r="N948" s="5" t="str">
        <f t="shared" si="5"/>
        <v>ˈgoʃ</v>
      </c>
      <c r="O948" s="5">
        <f t="shared" si="6"/>
        <v>3</v>
      </c>
      <c r="P948" s="5" t="str">
        <f t="shared" si="7"/>
        <v>ˈgoʃ</v>
      </c>
      <c r="Q948" s="5">
        <f t="shared" si="8"/>
        <v>3</v>
      </c>
      <c r="R948" s="3"/>
      <c r="S948" s="3" t="s">
        <v>2823</v>
      </c>
      <c r="T948" s="3" t="s">
        <v>2821</v>
      </c>
      <c r="U948" s="3" t="s">
        <v>22</v>
      </c>
      <c r="V948" s="5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>
      <c r="A949" s="3" t="s">
        <v>14</v>
      </c>
      <c r="B949" s="3" t="s">
        <v>2824</v>
      </c>
      <c r="C949" s="3" t="s">
        <v>2825</v>
      </c>
      <c r="D949" s="3" t="s">
        <v>2826</v>
      </c>
      <c r="E949" s="3" t="s">
        <v>2827</v>
      </c>
      <c r="F949" s="3" t="s">
        <v>30</v>
      </c>
      <c r="G949" s="3" t="s">
        <v>49</v>
      </c>
      <c r="H949" s="43">
        <f t="shared" ref="H949:I949" si="1899">LEN(D949)-LEN(B949)+1</f>
        <v>2</v>
      </c>
      <c r="I949" s="43">
        <f t="shared" si="1899"/>
        <v>3</v>
      </c>
      <c r="J949" s="4">
        <v>1.0</v>
      </c>
      <c r="K949" s="4">
        <v>1.0</v>
      </c>
      <c r="L949" s="5" t="str">
        <f t="shared" ref="L949:M949" si="1900">IFS(J949="-", "-", J949=H949, "Final", J949=1, "Initial", J949&gt;1, "Medial")</f>
        <v>Initial</v>
      </c>
      <c r="M949" s="44" t="str">
        <f t="shared" si="1900"/>
        <v>Initial</v>
      </c>
      <c r="N949" s="5" t="str">
        <f t="shared" si="5"/>
        <v>0</v>
      </c>
      <c r="O949" s="5" t="str">
        <f t="shared" si="6"/>
        <v>ˈmɐ̃</v>
      </c>
      <c r="P949" s="5" t="str">
        <f t="shared" si="7"/>
        <v>0</v>
      </c>
      <c r="Q949" s="5" t="str">
        <f t="shared" si="8"/>
        <v>mɐ</v>
      </c>
      <c r="R949" s="3" t="s">
        <v>80</v>
      </c>
      <c r="S949" s="3" t="s">
        <v>2828</v>
      </c>
      <c r="T949" s="3" t="s">
        <v>2829</v>
      </c>
      <c r="U949" s="3" t="s">
        <v>22</v>
      </c>
      <c r="V949" s="5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>
      <c r="A950" s="3" t="s">
        <v>14</v>
      </c>
      <c r="B950" s="3" t="s">
        <v>2824</v>
      </c>
      <c r="C950" s="3" t="s">
        <v>2825</v>
      </c>
      <c r="D950" s="3" t="s">
        <v>2826</v>
      </c>
      <c r="E950" s="3" t="s">
        <v>2827</v>
      </c>
      <c r="F950" s="3" t="s">
        <v>162</v>
      </c>
      <c r="G950" s="3" t="s">
        <v>158</v>
      </c>
      <c r="H950" s="43">
        <f t="shared" ref="H950:I950" si="1901">LEN(D950)-LEN(B950)+1</f>
        <v>2</v>
      </c>
      <c r="I950" s="43">
        <f t="shared" si="1901"/>
        <v>3</v>
      </c>
      <c r="J950" s="4">
        <v>2.0</v>
      </c>
      <c r="K950" s="4">
        <v>2.0</v>
      </c>
      <c r="L950" s="5" t="str">
        <f t="shared" ref="L950:M950" si="1902">IFS(J950="-", "-", J950=H950, "Final", J950=1, "Initial", J950&gt;1, "Medial")</f>
        <v>Final</v>
      </c>
      <c r="M950" s="44" t="str">
        <f t="shared" si="1902"/>
        <v>Medial</v>
      </c>
      <c r="N950" s="5" t="str">
        <f t="shared" si="5"/>
        <v>a</v>
      </c>
      <c r="O950" s="5" t="str">
        <f t="shared" si="6"/>
        <v>-</v>
      </c>
      <c r="P950" s="5" t="str">
        <f t="shared" si="7"/>
        <v>ɐ</v>
      </c>
      <c r="Q950" s="5" t="str">
        <f t="shared" si="8"/>
        <v>ˈɲɐ̃</v>
      </c>
      <c r="R950" s="3"/>
      <c r="S950" s="3" t="s">
        <v>2828</v>
      </c>
      <c r="T950" s="3" t="s">
        <v>2829</v>
      </c>
      <c r="U950" s="3" t="s">
        <v>22</v>
      </c>
      <c r="V950" s="5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>
      <c r="A951" s="3" t="s">
        <v>14</v>
      </c>
      <c r="B951" s="3" t="s">
        <v>2824</v>
      </c>
      <c r="C951" s="3" t="s">
        <v>2825</v>
      </c>
      <c r="D951" s="3" t="s">
        <v>2826</v>
      </c>
      <c r="E951" s="3" t="s">
        <v>2827</v>
      </c>
      <c r="F951" s="17" t="s">
        <v>36</v>
      </c>
      <c r="G951" s="3" t="s">
        <v>624</v>
      </c>
      <c r="H951" s="43">
        <f t="shared" ref="H951:I951" si="1903">LEN(D951)-LEN(B951)+1</f>
        <v>2</v>
      </c>
      <c r="I951" s="43">
        <f t="shared" si="1903"/>
        <v>3</v>
      </c>
      <c r="J951" s="4" t="s">
        <v>36</v>
      </c>
      <c r="K951" s="4">
        <v>3.0</v>
      </c>
      <c r="L951" s="5" t="str">
        <f t="shared" ref="L951:M951" si="1904">IFS(J951="-", "-", J951=H951, "Final", J951=1, "Initial", J951&gt;1, "Medial")</f>
        <v>-</v>
      </c>
      <c r="M951" s="44" t="str">
        <f t="shared" si="1904"/>
        <v>Final</v>
      </c>
      <c r="N951" s="5" t="str">
        <f t="shared" si="5"/>
        <v>ˈmɐ̃</v>
      </c>
      <c r="O951" s="5" t="str">
        <f t="shared" si="6"/>
        <v>-</v>
      </c>
      <c r="P951" s="5" t="str">
        <f t="shared" si="7"/>
        <v>mɐ</v>
      </c>
      <c r="Q951" s="5">
        <f t="shared" si="8"/>
        <v>3</v>
      </c>
      <c r="R951" s="3"/>
      <c r="S951" s="3" t="s">
        <v>2828</v>
      </c>
      <c r="T951" s="3" t="s">
        <v>2829</v>
      </c>
      <c r="U951" s="3" t="s">
        <v>22</v>
      </c>
      <c r="V951" s="5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>
      <c r="A952" s="3" t="s">
        <v>14</v>
      </c>
      <c r="B952" s="3" t="s">
        <v>2830</v>
      </c>
      <c r="C952" s="3" t="s">
        <v>2831</v>
      </c>
      <c r="D952" s="3" t="s">
        <v>2832</v>
      </c>
      <c r="E952" s="3" t="s">
        <v>2833</v>
      </c>
      <c r="F952" s="3" t="s">
        <v>471</v>
      </c>
      <c r="G952" s="3" t="s">
        <v>2834</v>
      </c>
      <c r="H952" s="43">
        <f t="shared" ref="H952:I952" si="1905">LEN(D952)-LEN(B952)+1</f>
        <v>3</v>
      </c>
      <c r="I952" s="43">
        <f t="shared" si="1905"/>
        <v>4</v>
      </c>
      <c r="J952" s="4">
        <v>1.0</v>
      </c>
      <c r="K952" s="4">
        <v>1.0</v>
      </c>
      <c r="L952" s="5" t="str">
        <f t="shared" ref="L952:M952" si="1906">IFS(J952="-", "-", J952=H952, "Final", J952=1, "Initial", J952&gt;1, "Medial")</f>
        <v>Initial</v>
      </c>
      <c r="M952" s="44" t="str">
        <f t="shared" si="1906"/>
        <v>Initial</v>
      </c>
      <c r="N952" s="5" t="str">
        <f t="shared" si="5"/>
        <v>0</v>
      </c>
      <c r="O952" s="5" t="str">
        <f t="shared" si="6"/>
        <v>ˈtɔ̃</v>
      </c>
      <c r="P952" s="5" t="str">
        <f t="shared" si="7"/>
        <v>0</v>
      </c>
      <c r="Q952" s="5" t="str">
        <f t="shared" si="8"/>
        <v>ti</v>
      </c>
      <c r="R952" s="3" t="s">
        <v>80</v>
      </c>
      <c r="S952" s="3" t="s">
        <v>2835</v>
      </c>
      <c r="T952" s="3" t="s">
        <v>2836</v>
      </c>
      <c r="U952" s="3" t="s">
        <v>22</v>
      </c>
      <c r="V952" s="5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>
      <c r="A953" s="3" t="s">
        <v>14</v>
      </c>
      <c r="B953" s="3" t="s">
        <v>2830</v>
      </c>
      <c r="C953" s="3" t="s">
        <v>2831</v>
      </c>
      <c r="D953" s="3" t="s">
        <v>2832</v>
      </c>
      <c r="E953" s="3" t="s">
        <v>2833</v>
      </c>
      <c r="F953" s="3" t="s">
        <v>2837</v>
      </c>
      <c r="G953" s="3" t="s">
        <v>1800</v>
      </c>
      <c r="H953" s="43">
        <f t="shared" ref="H953:I953" si="1907">LEN(D953)-LEN(B953)+1</f>
        <v>3</v>
      </c>
      <c r="I953" s="43">
        <f t="shared" si="1907"/>
        <v>4</v>
      </c>
      <c r="J953" s="4">
        <v>2.0</v>
      </c>
      <c r="K953" s="4">
        <v>2.0</v>
      </c>
      <c r="L953" s="5" t="str">
        <f t="shared" ref="L953:M953" si="1908">IFS(J953="-", "-", J953=H953, "Final", J953=1, "Initial", J953&gt;1, "Medial")</f>
        <v>Medial</v>
      </c>
      <c r="M953" s="44" t="str">
        <f t="shared" si="1908"/>
        <v>Medial</v>
      </c>
      <c r="N953" s="5" t="str">
        <f t="shared" si="5"/>
        <v>ɔ</v>
      </c>
      <c r="O953" s="5" t="str">
        <f t="shared" si="6"/>
        <v>-</v>
      </c>
      <c r="P953" s="5" t="str">
        <f t="shared" si="7"/>
        <v>ɐ̃</v>
      </c>
      <c r="Q953" s="5" t="str">
        <f t="shared" si="8"/>
        <v>ˈõ</v>
      </c>
      <c r="R953" s="3"/>
      <c r="S953" s="3" t="s">
        <v>2835</v>
      </c>
      <c r="T953" s="3" t="s">
        <v>2836</v>
      </c>
      <c r="U953" s="3" t="s">
        <v>22</v>
      </c>
      <c r="V953" s="5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>
      <c r="A954" s="3" t="s">
        <v>14</v>
      </c>
      <c r="B954" s="3" t="s">
        <v>2830</v>
      </c>
      <c r="C954" s="3" t="s">
        <v>2831</v>
      </c>
      <c r="D954" s="3" t="s">
        <v>2832</v>
      </c>
      <c r="E954" s="3" t="s">
        <v>2833</v>
      </c>
      <c r="F954" s="3" t="s">
        <v>36</v>
      </c>
      <c r="G954" s="3" t="s">
        <v>2838</v>
      </c>
      <c r="H954" s="43">
        <f t="shared" ref="H954:I954" si="1909">LEN(D954)-LEN(B954)+1</f>
        <v>3</v>
      </c>
      <c r="I954" s="43">
        <f t="shared" si="1909"/>
        <v>4</v>
      </c>
      <c r="J954" s="4" t="s">
        <v>36</v>
      </c>
      <c r="K954" s="4">
        <v>3.0</v>
      </c>
      <c r="L954" s="5" t="str">
        <f t="shared" ref="L954:M954" si="1910">IFS(J954="-", "-", J954=H954, "Final", J954=1, "Initial", J954&gt;1, "Medial")</f>
        <v>-</v>
      </c>
      <c r="M954" s="44" t="str">
        <f t="shared" si="1910"/>
        <v>Medial</v>
      </c>
      <c r="N954" s="5" t="str">
        <f t="shared" si="5"/>
        <v>ˈtɔ̃</v>
      </c>
      <c r="O954" s="5" t="str">
        <f t="shared" si="6"/>
        <v>t̠ʃi</v>
      </c>
      <c r="P954" s="5" t="str">
        <f t="shared" si="7"/>
        <v>ti</v>
      </c>
      <c r="Q954" s="5" t="str">
        <f t="shared" si="8"/>
        <v>tɐ̃j̃</v>
      </c>
      <c r="R954" s="3"/>
      <c r="S954" s="3" t="s">
        <v>2835</v>
      </c>
      <c r="T954" s="3" t="s">
        <v>2836</v>
      </c>
      <c r="U954" s="3" t="s">
        <v>22</v>
      </c>
      <c r="V954" s="5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>
      <c r="A955" s="3" t="s">
        <v>14</v>
      </c>
      <c r="B955" s="3" t="s">
        <v>2830</v>
      </c>
      <c r="C955" s="3" t="s">
        <v>2831</v>
      </c>
      <c r="D955" s="3" t="s">
        <v>2832</v>
      </c>
      <c r="E955" s="3" t="s">
        <v>2833</v>
      </c>
      <c r="F955" s="3" t="s">
        <v>55</v>
      </c>
      <c r="G955" s="3" t="s">
        <v>2839</v>
      </c>
      <c r="H955" s="43">
        <f t="shared" ref="H955:I955" si="1911">LEN(D955)-LEN(B955)+1</f>
        <v>3</v>
      </c>
      <c r="I955" s="43">
        <f t="shared" si="1911"/>
        <v>4</v>
      </c>
      <c r="J955" s="4">
        <v>3.0</v>
      </c>
      <c r="K955" s="4">
        <v>4.0</v>
      </c>
      <c r="L955" s="5" t="str">
        <f t="shared" ref="L955:M955" si="1912">IFS(J955="-", "-", J955=H955, "Final", J955=1, "Initial", J955&gt;1, "Medial")</f>
        <v>Final</v>
      </c>
      <c r="M955" s="44" t="str">
        <f t="shared" si="1912"/>
        <v>Final</v>
      </c>
      <c r="N955" s="5" t="str">
        <f t="shared" si="5"/>
        <v>-</v>
      </c>
      <c r="O955" s="5">
        <f t="shared" si="6"/>
        <v>3</v>
      </c>
      <c r="P955" s="5" t="str">
        <f t="shared" si="7"/>
        <v>ˈõ</v>
      </c>
      <c r="Q955" s="5">
        <f t="shared" si="8"/>
        <v>4</v>
      </c>
      <c r="R955" s="5"/>
      <c r="S955" s="3" t="s">
        <v>2835</v>
      </c>
      <c r="T955" s="3" t="s">
        <v>2836</v>
      </c>
      <c r="U955" s="3" t="s">
        <v>22</v>
      </c>
      <c r="V955" s="5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>
      <c r="A956" s="3" t="s">
        <v>14</v>
      </c>
      <c r="B956" s="3" t="s">
        <v>2840</v>
      </c>
      <c r="C956" s="3" t="s">
        <v>2841</v>
      </c>
      <c r="D956" s="3" t="s">
        <v>2842</v>
      </c>
      <c r="E956" s="3" t="s">
        <v>2843</v>
      </c>
      <c r="F956" s="3" t="s">
        <v>801</v>
      </c>
      <c r="G956" s="3" t="s">
        <v>334</v>
      </c>
      <c r="H956" s="43">
        <f t="shared" ref="H956:I956" si="1913">LEN(D956)-LEN(B956)+1</f>
        <v>3</v>
      </c>
      <c r="I956" s="43">
        <f t="shared" si="1913"/>
        <v>3</v>
      </c>
      <c r="J956" s="4">
        <v>1.0</v>
      </c>
      <c r="K956" s="4">
        <v>1.0</v>
      </c>
      <c r="L956" s="5" t="str">
        <f t="shared" ref="L956:M956" si="1914">IFS(J956="-", "-", J956=H956, "Final", J956=1, "Initial", J956&gt;1, "Medial")</f>
        <v>Initial</v>
      </c>
      <c r="M956" s="44" t="str">
        <f t="shared" si="1914"/>
        <v>Initial</v>
      </c>
      <c r="N956" s="5" t="str">
        <f t="shared" si="5"/>
        <v>0</v>
      </c>
      <c r="O956" s="5" t="str">
        <f t="shared" si="6"/>
        <v>ˈzẽ</v>
      </c>
      <c r="P956" s="5" t="str">
        <f t="shared" si="7"/>
        <v>0</v>
      </c>
      <c r="Q956" s="5" t="str">
        <f t="shared" si="8"/>
        <v>ˈzẽ</v>
      </c>
      <c r="R956" s="5"/>
      <c r="S956" s="3" t="s">
        <v>2844</v>
      </c>
      <c r="T956" s="3" t="s">
        <v>2845</v>
      </c>
      <c r="U956" s="3" t="s">
        <v>22</v>
      </c>
      <c r="V956" s="5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>
      <c r="A957" s="3" t="s">
        <v>14</v>
      </c>
      <c r="B957" s="3" t="s">
        <v>2840</v>
      </c>
      <c r="C957" s="3" t="s">
        <v>2841</v>
      </c>
      <c r="D957" s="3" t="s">
        <v>2842</v>
      </c>
      <c r="E957" s="3" t="s">
        <v>2843</v>
      </c>
      <c r="F957" s="3" t="s">
        <v>2846</v>
      </c>
      <c r="G957" s="3" t="s">
        <v>2846</v>
      </c>
      <c r="H957" s="43">
        <f t="shared" ref="H957:I957" si="1915">LEN(D957)-LEN(B957)+1</f>
        <v>3</v>
      </c>
      <c r="I957" s="43">
        <f t="shared" si="1915"/>
        <v>3</v>
      </c>
      <c r="J957" s="4">
        <v>2.0</v>
      </c>
      <c r="K957" s="4">
        <v>2.0</v>
      </c>
      <c r="L957" s="5" t="str">
        <f t="shared" ref="L957:M957" si="1916">IFS(J957="-", "-", J957=H957, "Final", J957=1, "Initial", J957&gt;1, "Medial")</f>
        <v>Medial</v>
      </c>
      <c r="M957" s="44" t="str">
        <f t="shared" si="1916"/>
        <v>Medial</v>
      </c>
      <c r="N957" s="5" t="str">
        <f t="shared" si="5"/>
        <v>de</v>
      </c>
      <c r="O957" s="5" t="str">
        <f t="shared" si="6"/>
        <v>bu</v>
      </c>
      <c r="P957" s="5" t="str">
        <f t="shared" si="7"/>
        <v>dɨ</v>
      </c>
      <c r="Q957" s="5" t="str">
        <f t="shared" si="8"/>
        <v>bɾu</v>
      </c>
      <c r="R957" s="5"/>
      <c r="S957" s="3" t="s">
        <v>2844</v>
      </c>
      <c r="T957" s="3" t="s">
        <v>2845</v>
      </c>
      <c r="U957" s="3" t="s">
        <v>22</v>
      </c>
      <c r="V957" s="5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>
      <c r="A958" s="3" t="s">
        <v>14</v>
      </c>
      <c r="B958" s="3" t="s">
        <v>2840</v>
      </c>
      <c r="C958" s="3" t="s">
        <v>2841</v>
      </c>
      <c r="D958" s="3" t="s">
        <v>2842</v>
      </c>
      <c r="E958" s="3" t="s">
        <v>2843</v>
      </c>
      <c r="F958" s="3" t="s">
        <v>143</v>
      </c>
      <c r="G958" s="3" t="s">
        <v>1116</v>
      </c>
      <c r="H958" s="43">
        <f t="shared" ref="H958:I958" si="1917">LEN(D958)-LEN(B958)+1</f>
        <v>3</v>
      </c>
      <c r="I958" s="43">
        <f t="shared" si="1917"/>
        <v>3</v>
      </c>
      <c r="J958" s="4">
        <v>3.0</v>
      </c>
      <c r="K958" s="4">
        <v>3.0</v>
      </c>
      <c r="L958" s="5" t="str">
        <f t="shared" ref="L958:M958" si="1918">IFS(J958="-", "-", J958=H958, "Final", J958=1, "Initial", J958&gt;1, "Medial")</f>
        <v>Final</v>
      </c>
      <c r="M958" s="44" t="str">
        <f t="shared" si="1918"/>
        <v>Final</v>
      </c>
      <c r="N958" s="5" t="str">
        <f t="shared" si="5"/>
        <v>ˈzẽ</v>
      </c>
      <c r="O958" s="5">
        <f t="shared" si="6"/>
        <v>3</v>
      </c>
      <c r="P958" s="5" t="str">
        <f t="shared" si="7"/>
        <v>ˈzẽ</v>
      </c>
      <c r="Q958" s="5">
        <f t="shared" si="8"/>
        <v>3</v>
      </c>
      <c r="R958" s="5"/>
      <c r="S958" s="3" t="s">
        <v>2844</v>
      </c>
      <c r="T958" s="3" t="s">
        <v>2845</v>
      </c>
      <c r="U958" s="3" t="s">
        <v>22</v>
      </c>
      <c r="V958" s="5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>
      <c r="A959" s="3" t="s">
        <v>14</v>
      </c>
      <c r="B959" s="3" t="s">
        <v>409</v>
      </c>
      <c r="C959" s="3" t="s">
        <v>2847</v>
      </c>
      <c r="D959" s="3" t="s">
        <v>409</v>
      </c>
      <c r="E959" s="3" t="s">
        <v>2848</v>
      </c>
      <c r="F959" s="3" t="s">
        <v>409</v>
      </c>
      <c r="G959" s="3" t="s">
        <v>172</v>
      </c>
      <c r="H959" s="43">
        <f t="shared" ref="H959:I959" si="1919">LEN(D959)-LEN(B959)+1</f>
        <v>1</v>
      </c>
      <c r="I959" s="43">
        <f t="shared" si="1919"/>
        <v>2</v>
      </c>
      <c r="J959" s="4">
        <v>1.0</v>
      </c>
      <c r="K959" s="4">
        <v>1.0</v>
      </c>
      <c r="L959" s="5" t="str">
        <f t="shared" ref="L959:M959" si="1920">IFS(J959="-", "-", J959=H959, "Final", J959=1, "Initial", J959&gt;1, "Medial")</f>
        <v>Final</v>
      </c>
      <c r="M959" s="44" t="str">
        <f t="shared" si="1920"/>
        <v>Initial</v>
      </c>
      <c r="N959" s="5" t="str">
        <f t="shared" si="5"/>
        <v>0</v>
      </c>
      <c r="O959" s="5" t="str">
        <f t="shared" si="6"/>
        <v>-</v>
      </c>
      <c r="P959" s="5" t="str">
        <f t="shared" si="7"/>
        <v>0</v>
      </c>
      <c r="Q959" s="5" t="str">
        <f t="shared" si="8"/>
        <v>ˈa</v>
      </c>
      <c r="R959" s="3" t="s">
        <v>80</v>
      </c>
      <c r="S959" s="3" t="s">
        <v>2849</v>
      </c>
      <c r="T959" s="3" t="s">
        <v>2850</v>
      </c>
      <c r="U959" s="3" t="s">
        <v>22</v>
      </c>
      <c r="V959" s="5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>
      <c r="A960" s="3" t="s">
        <v>14</v>
      </c>
      <c r="B960" s="3" t="s">
        <v>409</v>
      </c>
      <c r="C960" s="3" t="s">
        <v>2847</v>
      </c>
      <c r="D960" s="3" t="s">
        <v>409</v>
      </c>
      <c r="E960" s="3" t="s">
        <v>2848</v>
      </c>
      <c r="F960" s="3" t="s">
        <v>36</v>
      </c>
      <c r="G960" s="3" t="s">
        <v>19</v>
      </c>
      <c r="H960" s="43">
        <f t="shared" ref="H960:I960" si="1921">LEN(D960)-LEN(B960)+1</f>
        <v>1</v>
      </c>
      <c r="I960" s="43">
        <f t="shared" si="1921"/>
        <v>2</v>
      </c>
      <c r="J960" s="4" t="s">
        <v>36</v>
      </c>
      <c r="K960" s="4">
        <v>2.0</v>
      </c>
      <c r="L960" s="5" t="str">
        <f t="shared" ref="L960:M960" si="1922">IFS(J960="-", "-", J960=H960, "Final", J960=1, "Initial", J960&gt;1, "Medial")</f>
        <v>-</v>
      </c>
      <c r="M960" s="44" t="str">
        <f t="shared" si="1922"/>
        <v>Final</v>
      </c>
      <c r="N960" s="5" t="str">
        <f t="shared" si="5"/>
        <v>ˈdja</v>
      </c>
      <c r="O960" s="5" t="str">
        <f t="shared" si="6"/>
        <v>-</v>
      </c>
      <c r="P960" s="5" t="str">
        <f t="shared" si="7"/>
        <v>di</v>
      </c>
      <c r="Q960" s="5">
        <f t="shared" si="8"/>
        <v>2</v>
      </c>
      <c r="R960" s="3"/>
      <c r="S960" s="3" t="s">
        <v>2849</v>
      </c>
      <c r="T960" s="3" t="s">
        <v>2850</v>
      </c>
      <c r="U960" s="3" t="s">
        <v>22</v>
      </c>
      <c r="V960" s="5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>
      <c r="A961" s="3" t="s">
        <v>14</v>
      </c>
      <c r="B961" s="3" t="s">
        <v>2851</v>
      </c>
      <c r="C961" s="3" t="s">
        <v>2852</v>
      </c>
      <c r="D961" s="3" t="s">
        <v>2853</v>
      </c>
      <c r="E961" s="3" t="s">
        <v>2854</v>
      </c>
      <c r="F961" s="3" t="s">
        <v>2855</v>
      </c>
      <c r="G961" s="3" t="s">
        <v>387</v>
      </c>
      <c r="H961" s="43">
        <f t="shared" ref="H961:I961" si="1923">LEN(D961)-LEN(B961)+1</f>
        <v>3</v>
      </c>
      <c r="I961" s="43">
        <f t="shared" si="1923"/>
        <v>3</v>
      </c>
      <c r="J961" s="4">
        <v>1.0</v>
      </c>
      <c r="K961" s="4">
        <v>1.0</v>
      </c>
      <c r="L961" s="5" t="str">
        <f t="shared" ref="L961:M961" si="1924">IFS(J961="-", "-", J961=H961, "Final", J961=1, "Initial", J961&gt;1, "Medial")</f>
        <v>Initial</v>
      </c>
      <c r="M961" s="44" t="str">
        <f t="shared" si="1924"/>
        <v>Initial</v>
      </c>
      <c r="N961" s="5" t="str">
        <f t="shared" si="5"/>
        <v>0</v>
      </c>
      <c r="O961" s="5" t="str">
        <f t="shared" si="6"/>
        <v>ˈdĩ</v>
      </c>
      <c r="P961" s="5" t="str">
        <f t="shared" si="7"/>
        <v>0</v>
      </c>
      <c r="Q961" s="5" t="str">
        <f t="shared" si="8"/>
        <v>ˈmĩ</v>
      </c>
      <c r="R961" s="5"/>
      <c r="S961" s="3" t="s">
        <v>2856</v>
      </c>
      <c r="T961" s="3" t="s">
        <v>2857</v>
      </c>
      <c r="U961" s="3" t="s">
        <v>22</v>
      </c>
      <c r="V961" s="5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>
      <c r="A962" s="3" t="s">
        <v>14</v>
      </c>
      <c r="B962" s="3" t="s">
        <v>2851</v>
      </c>
      <c r="C962" s="3" t="s">
        <v>2852</v>
      </c>
      <c r="D962" s="3" t="s">
        <v>2853</v>
      </c>
      <c r="E962" s="3" t="s">
        <v>2854</v>
      </c>
      <c r="F962" s="3" t="s">
        <v>2858</v>
      </c>
      <c r="G962" s="3" t="s">
        <v>1830</v>
      </c>
      <c r="H962" s="43">
        <f t="shared" ref="H962:I962" si="1925">LEN(D962)-LEN(B962)+1</f>
        <v>3</v>
      </c>
      <c r="I962" s="43">
        <f t="shared" si="1925"/>
        <v>3</v>
      </c>
      <c r="J962" s="4">
        <v>2.0</v>
      </c>
      <c r="K962" s="4">
        <v>2.0</v>
      </c>
      <c r="L962" s="5" t="str">
        <f t="shared" ref="L962:M962" si="1926">IFS(J962="-", "-", J962=H962, "Final", J962=1, "Initial", J962&gt;1, "Medial")</f>
        <v>Medial</v>
      </c>
      <c r="M962" s="44" t="str">
        <f t="shared" si="1926"/>
        <v>Medial</v>
      </c>
      <c r="N962" s="5" t="str">
        <f t="shared" si="5"/>
        <v>dja</v>
      </c>
      <c r="O962" s="5" t="str">
        <f t="shared" si="6"/>
        <v>gu</v>
      </c>
      <c r="P962" s="5" t="str">
        <f t="shared" si="7"/>
        <v>du</v>
      </c>
      <c r="Q962" s="5" t="str">
        <f t="shared" si="8"/>
        <v>gu</v>
      </c>
      <c r="R962" s="5"/>
      <c r="S962" s="3" t="s">
        <v>2856</v>
      </c>
      <c r="T962" s="3" t="s">
        <v>2857</v>
      </c>
      <c r="U962" s="3" t="s">
        <v>22</v>
      </c>
      <c r="V962" s="5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>
      <c r="A963" s="3" t="s">
        <v>14</v>
      </c>
      <c r="B963" s="3" t="s">
        <v>2851</v>
      </c>
      <c r="C963" s="3" t="s">
        <v>2852</v>
      </c>
      <c r="D963" s="3" t="s">
        <v>2853</v>
      </c>
      <c r="E963" s="3" t="s">
        <v>2854</v>
      </c>
      <c r="F963" s="3" t="s">
        <v>98</v>
      </c>
      <c r="G963" s="3" t="s">
        <v>98</v>
      </c>
      <c r="H963" s="43">
        <f t="shared" ref="H963:I963" si="1927">LEN(D963)-LEN(B963)+1</f>
        <v>3</v>
      </c>
      <c r="I963" s="43">
        <f t="shared" si="1927"/>
        <v>3</v>
      </c>
      <c r="J963" s="4">
        <v>3.0</v>
      </c>
      <c r="K963" s="4">
        <v>3.0</v>
      </c>
      <c r="L963" s="5" t="str">
        <f t="shared" ref="L963:M963" si="1928">IFS(J963="-", "-", J963=H963, "Final", J963=1, "Initial", J963&gt;1, "Medial")</f>
        <v>Final</v>
      </c>
      <c r="M963" s="44" t="str">
        <f t="shared" si="1928"/>
        <v>Final</v>
      </c>
      <c r="N963" s="5" t="str">
        <f t="shared" si="5"/>
        <v>ˈdĩ</v>
      </c>
      <c r="O963" s="5">
        <f t="shared" si="6"/>
        <v>3</v>
      </c>
      <c r="P963" s="5" t="str">
        <f t="shared" si="7"/>
        <v>ˈmĩ</v>
      </c>
      <c r="Q963" s="5">
        <f t="shared" si="8"/>
        <v>3</v>
      </c>
      <c r="R963" s="5"/>
      <c r="S963" s="3" t="s">
        <v>2856</v>
      </c>
      <c r="T963" s="3" t="s">
        <v>2857</v>
      </c>
      <c r="U963" s="3" t="s">
        <v>22</v>
      </c>
      <c r="V963" s="5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>
      <c r="A964" s="3" t="s">
        <v>14</v>
      </c>
      <c r="B964" s="3" t="s">
        <v>2859</v>
      </c>
      <c r="C964" s="3" t="s">
        <v>2860</v>
      </c>
      <c r="D964" s="3" t="s">
        <v>2861</v>
      </c>
      <c r="E964" s="3" t="s">
        <v>2862</v>
      </c>
      <c r="F964" s="3" t="s">
        <v>2863</v>
      </c>
      <c r="G964" s="3" t="s">
        <v>908</v>
      </c>
      <c r="H964" s="43">
        <f t="shared" ref="H964:I964" si="1929">LEN(D964)-LEN(B964)+1</f>
        <v>3</v>
      </c>
      <c r="I964" s="43">
        <f t="shared" si="1929"/>
        <v>4</v>
      </c>
      <c r="J964" s="4">
        <v>1.0</v>
      </c>
      <c r="K964" s="4">
        <v>1.0</v>
      </c>
      <c r="L964" s="5" t="str">
        <f t="shared" ref="L964:M964" si="1930">IFS(J964="-", "-", J964=H964, "Final", J964=1, "Initial", J964&gt;1, "Medial")</f>
        <v>Initial</v>
      </c>
      <c r="M964" s="44" t="str">
        <f t="shared" si="1930"/>
        <v>Initial</v>
      </c>
      <c r="N964" s="5" t="str">
        <f t="shared" si="5"/>
        <v>0</v>
      </c>
      <c r="O964" s="5" t="str">
        <f t="shared" si="6"/>
        <v>ve</v>
      </c>
      <c r="P964" s="5" t="str">
        <f t="shared" si="7"/>
        <v>0</v>
      </c>
      <c r="Q964" s="5" t="str">
        <f t="shared" si="8"/>
        <v>vɨ</v>
      </c>
      <c r="R964" s="3" t="s">
        <v>80</v>
      </c>
      <c r="S964" s="3" t="s">
        <v>2864</v>
      </c>
      <c r="T964" s="3" t="s">
        <v>2865</v>
      </c>
      <c r="U964" s="3" t="s">
        <v>22</v>
      </c>
      <c r="V964" s="5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>
      <c r="A965" s="3" t="s">
        <v>14</v>
      </c>
      <c r="B965" s="3" t="s">
        <v>2859</v>
      </c>
      <c r="C965" s="3" t="s">
        <v>2860</v>
      </c>
      <c r="D965" s="3" t="s">
        <v>2861</v>
      </c>
      <c r="E965" s="3" t="s">
        <v>2862</v>
      </c>
      <c r="F965" s="3" t="s">
        <v>806</v>
      </c>
      <c r="G965" s="3" t="s">
        <v>2755</v>
      </c>
      <c r="H965" s="43">
        <f t="shared" ref="H965:I965" si="1931">LEN(D965)-LEN(B965)+1</f>
        <v>3</v>
      </c>
      <c r="I965" s="43">
        <f t="shared" si="1931"/>
        <v>4</v>
      </c>
      <c r="J965" s="4">
        <v>2.0</v>
      </c>
      <c r="K965" s="4">
        <v>2.0</v>
      </c>
      <c r="L965" s="5" t="str">
        <f t="shared" ref="L965:M965" si="1932">IFS(J965="-", "-", J965=H965, "Final", J965=1, "Initial", J965&gt;1, "Medial")</f>
        <v>Medial</v>
      </c>
      <c r="M965" s="44" t="str">
        <f t="shared" si="1932"/>
        <v>Medial</v>
      </c>
      <c r="N965" s="5" t="str">
        <f t="shared" si="5"/>
        <v>fe</v>
      </c>
      <c r="O965" s="5" t="str">
        <f t="shared" si="6"/>
        <v>-</v>
      </c>
      <c r="P965" s="5" t="str">
        <f t="shared" si="7"/>
        <v>fɨ</v>
      </c>
      <c r="Q965" s="5" t="str">
        <f t="shared" si="8"/>
        <v>ˈɾej</v>
      </c>
      <c r="R965" s="5"/>
      <c r="S965" s="3" t="s">
        <v>2866</v>
      </c>
      <c r="T965" s="3" t="s">
        <v>2865</v>
      </c>
      <c r="U965" s="3" t="s">
        <v>22</v>
      </c>
      <c r="V965" s="5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>
      <c r="A966" s="3" t="s">
        <v>14</v>
      </c>
      <c r="B966" s="3" t="s">
        <v>2859</v>
      </c>
      <c r="C966" s="3" t="s">
        <v>2860</v>
      </c>
      <c r="D966" s="3" t="s">
        <v>2861</v>
      </c>
      <c r="E966" s="3" t="s">
        <v>2862</v>
      </c>
      <c r="F966" s="3" t="s">
        <v>36</v>
      </c>
      <c r="G966" s="3" t="s">
        <v>2867</v>
      </c>
      <c r="H966" s="43">
        <f t="shared" ref="H966:I966" si="1933">LEN(D966)-LEN(B966)+1</f>
        <v>3</v>
      </c>
      <c r="I966" s="43">
        <f t="shared" si="1933"/>
        <v>4</v>
      </c>
      <c r="J966" s="4" t="s">
        <v>36</v>
      </c>
      <c r="K966" s="4">
        <v>3.0</v>
      </c>
      <c r="L966" s="5" t="str">
        <f t="shared" ref="L966:M966" si="1934">IFS(J966="-", "-", J966=H966, "Final", J966=1, "Initial", J966&gt;1, "Medial")</f>
        <v>-</v>
      </c>
      <c r="M966" s="44" t="str">
        <f t="shared" si="1934"/>
        <v>Medial</v>
      </c>
      <c r="N966" s="5" t="str">
        <f t="shared" si="5"/>
        <v>ve</v>
      </c>
      <c r="O966" s="5" t="str">
        <f t="shared" si="6"/>
        <v>ˈrew</v>
      </c>
      <c r="P966" s="5" t="str">
        <f t="shared" si="7"/>
        <v>vɨ</v>
      </c>
      <c r="Q966" s="5" t="str">
        <f t="shared" si="8"/>
        <v>ɾu</v>
      </c>
      <c r="R966" s="3"/>
      <c r="S966" s="3" t="s">
        <v>2868</v>
      </c>
      <c r="T966" s="3" t="s">
        <v>2865</v>
      </c>
      <c r="U966" s="3" t="s">
        <v>22</v>
      </c>
      <c r="V966" s="5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>
      <c r="A967" s="3" t="s">
        <v>14</v>
      </c>
      <c r="B967" s="3" t="s">
        <v>2859</v>
      </c>
      <c r="C967" s="3" t="s">
        <v>2860</v>
      </c>
      <c r="D967" s="3" t="s">
        <v>2861</v>
      </c>
      <c r="E967" s="3" t="s">
        <v>2862</v>
      </c>
      <c r="F967" s="3" t="s">
        <v>2869</v>
      </c>
      <c r="G967" s="3" t="s">
        <v>1983</v>
      </c>
      <c r="H967" s="43">
        <f t="shared" ref="H967:I967" si="1935">LEN(D967)-LEN(B967)+1</f>
        <v>3</v>
      </c>
      <c r="I967" s="43">
        <f t="shared" si="1935"/>
        <v>4</v>
      </c>
      <c r="J967" s="4">
        <v>3.0</v>
      </c>
      <c r="K967" s="4">
        <v>4.0</v>
      </c>
      <c r="L967" s="5" t="str">
        <f t="shared" ref="L967:M967" si="1936">IFS(J967="-", "-", J967=H967, "Final", J967=1, "Initial", J967&gt;1, "Medial")</f>
        <v>Final</v>
      </c>
      <c r="M967" s="44" t="str">
        <f t="shared" si="1936"/>
        <v>Final</v>
      </c>
      <c r="N967" s="5" t="str">
        <f t="shared" si="5"/>
        <v>-</v>
      </c>
      <c r="O967" s="5">
        <f t="shared" si="6"/>
        <v>3</v>
      </c>
      <c r="P967" s="5" t="str">
        <f t="shared" si="7"/>
        <v>ˈɾej</v>
      </c>
      <c r="Q967" s="5">
        <f t="shared" si="8"/>
        <v>4</v>
      </c>
      <c r="R967" s="5"/>
      <c r="S967" s="3" t="s">
        <v>2864</v>
      </c>
      <c r="T967" s="3" t="s">
        <v>2865</v>
      </c>
      <c r="U967" s="3" t="s">
        <v>22</v>
      </c>
      <c r="V967" s="5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>
      <c r="A968" s="3" t="s">
        <v>14</v>
      </c>
      <c r="B968" s="3" t="s">
        <v>2870</v>
      </c>
      <c r="C968" s="6" t="s">
        <v>2871</v>
      </c>
      <c r="D968" s="3" t="s">
        <v>2872</v>
      </c>
      <c r="E968" s="3" t="s">
        <v>2873</v>
      </c>
      <c r="F968" s="3" t="s">
        <v>2874</v>
      </c>
      <c r="G968" s="3" t="s">
        <v>2874</v>
      </c>
      <c r="H968" s="43">
        <f t="shared" ref="H968:I968" si="1937">LEN(D968)-LEN(B968)+1</f>
        <v>3</v>
      </c>
      <c r="I968" s="43">
        <f t="shared" si="1937"/>
        <v>3</v>
      </c>
      <c r="J968" s="4">
        <v>1.0</v>
      </c>
      <c r="K968" s="4">
        <v>1.0</v>
      </c>
      <c r="L968" s="5" t="str">
        <f t="shared" ref="L968:M968" si="1938">IFS(J968="-", "-", J968=H968, "Final", J968=1, "Initial", J968&gt;1, "Medial")</f>
        <v>Initial</v>
      </c>
      <c r="M968" s="44" t="str">
        <f t="shared" si="1938"/>
        <v>Initial</v>
      </c>
      <c r="N968" s="5" t="str">
        <f t="shared" si="5"/>
        <v>0</v>
      </c>
      <c r="O968" s="5" t="str">
        <f t="shared" si="6"/>
        <v>tɐ</v>
      </c>
      <c r="P968" s="5" t="str">
        <f t="shared" si="7"/>
        <v>0</v>
      </c>
      <c r="Q968" s="5" t="str">
        <f t="shared" si="8"/>
        <v>tɐ</v>
      </c>
      <c r="R968" s="3" t="s">
        <v>80</v>
      </c>
      <c r="S968" s="3" t="s">
        <v>2875</v>
      </c>
      <c r="T968" s="3" t="s">
        <v>2876</v>
      </c>
      <c r="U968" s="3" t="s">
        <v>22</v>
      </c>
      <c r="V968" s="5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>
      <c r="A969" s="3" t="s">
        <v>14</v>
      </c>
      <c r="B969" s="3" t="s">
        <v>2870</v>
      </c>
      <c r="C969" s="6" t="s">
        <v>2871</v>
      </c>
      <c r="D969" s="3" t="s">
        <v>2872</v>
      </c>
      <c r="E969" s="3" t="s">
        <v>2873</v>
      </c>
      <c r="F969" s="3" t="s">
        <v>238</v>
      </c>
      <c r="G969" s="3" t="s">
        <v>238</v>
      </c>
      <c r="H969" s="43">
        <f t="shared" ref="H969:I969" si="1939">LEN(D969)-LEN(B969)+1</f>
        <v>3</v>
      </c>
      <c r="I969" s="43">
        <f t="shared" si="1939"/>
        <v>3</v>
      </c>
      <c r="J969" s="4">
        <v>2.0</v>
      </c>
      <c r="K969" s="4">
        <v>2.0</v>
      </c>
      <c r="L969" s="5" t="str">
        <f t="shared" ref="L969:M969" si="1940">IFS(J969="-", "-", J969=H969, "Final", J969=1, "Initial", J969&gt;1, "Medial")</f>
        <v>Medial</v>
      </c>
      <c r="M969" s="44" t="str">
        <f t="shared" si="1940"/>
        <v>Medial</v>
      </c>
      <c r="N969" s="5" t="str">
        <f t="shared" si="5"/>
        <v>ˈkĩ</v>
      </c>
      <c r="O969" s="5" t="str">
        <f t="shared" si="6"/>
        <v>-</v>
      </c>
      <c r="P969" s="5" t="str">
        <f t="shared" si="7"/>
        <v>ˈkĩ</v>
      </c>
      <c r="Q969" s="5" t="str">
        <f t="shared" si="8"/>
        <v>ˈfɐj</v>
      </c>
      <c r="R969" s="5"/>
      <c r="S969" s="3" t="s">
        <v>2875</v>
      </c>
      <c r="T969" s="3" t="s">
        <v>2876</v>
      </c>
      <c r="U969" s="3" t="s">
        <v>22</v>
      </c>
      <c r="V969" s="5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>
      <c r="A970" s="3" t="s">
        <v>14</v>
      </c>
      <c r="B970" s="3" t="s">
        <v>2870</v>
      </c>
      <c r="C970" s="6" t="s">
        <v>2871</v>
      </c>
      <c r="D970" s="3" t="s">
        <v>2872</v>
      </c>
      <c r="E970" s="3" t="s">
        <v>2873</v>
      </c>
      <c r="F970" s="3" t="s">
        <v>36</v>
      </c>
      <c r="G970" s="3" t="s">
        <v>2877</v>
      </c>
      <c r="H970" s="43">
        <f t="shared" ref="H970:I970" si="1941">LEN(D970)-LEN(B970)+1</f>
        <v>3</v>
      </c>
      <c r="I970" s="43">
        <f t="shared" si="1941"/>
        <v>3</v>
      </c>
      <c r="J970" s="4" t="s">
        <v>36</v>
      </c>
      <c r="K970" s="4">
        <v>3.0</v>
      </c>
      <c r="L970" s="5" t="str">
        <f t="shared" ref="L970:M970" si="1942">IFS(J970="-", "-", J970=H970, "Final", J970=1, "Initial", J970&gt;1, "Medial")</f>
        <v>-</v>
      </c>
      <c r="M970" s="44" t="str">
        <f t="shared" si="1942"/>
        <v>Final</v>
      </c>
      <c r="N970" s="5" t="str">
        <f t="shared" si="5"/>
        <v>tɐ</v>
      </c>
      <c r="O970" s="5" t="str">
        <f t="shared" si="6"/>
        <v>ˈfja</v>
      </c>
      <c r="P970" s="5" t="str">
        <f t="shared" si="7"/>
        <v>tɐ</v>
      </c>
      <c r="Q970" s="5" t="str">
        <f t="shared" si="8"/>
        <v>ɾɐ</v>
      </c>
      <c r="R970" s="3"/>
      <c r="S970" s="3" t="s">
        <v>2875</v>
      </c>
      <c r="T970" s="3" t="s">
        <v>2876</v>
      </c>
      <c r="U970" s="3" t="s">
        <v>22</v>
      </c>
      <c r="V970" s="5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>
      <c r="A971" s="3" t="s">
        <v>14</v>
      </c>
      <c r="B971" s="3" t="s">
        <v>2870</v>
      </c>
      <c r="C971" s="6" t="s">
        <v>2871</v>
      </c>
      <c r="D971" s="3" t="s">
        <v>2872</v>
      </c>
      <c r="E971" s="3" t="s">
        <v>2873</v>
      </c>
      <c r="F971" s="3" t="s">
        <v>1920</v>
      </c>
      <c r="G971" s="3" t="s">
        <v>103</v>
      </c>
      <c r="H971" s="43">
        <f t="shared" ref="H971:I971" si="1943">LEN(D971)-LEN(B971)+1</f>
        <v>3</v>
      </c>
      <c r="I971" s="43">
        <f t="shared" si="1943"/>
        <v>3</v>
      </c>
      <c r="J971" s="4">
        <v>3.0</v>
      </c>
      <c r="K971" s="4">
        <v>4.0</v>
      </c>
      <c r="L971" s="5" t="str">
        <f t="shared" ref="L971:M971" si="1944">IFS(J971="-", "-", J971=H971, "Final", J971=1, "Initial", J971&gt;1, "Medial")</f>
        <v>Final</v>
      </c>
      <c r="M971" s="44" t="str">
        <f t="shared" si="1944"/>
        <v>Medial</v>
      </c>
      <c r="N971" s="5" t="str">
        <f t="shared" si="5"/>
        <v>-</v>
      </c>
      <c r="O971" s="5">
        <f t="shared" si="6"/>
        <v>3</v>
      </c>
      <c r="P971" s="5" t="str">
        <f t="shared" si="7"/>
        <v>ˈfɐj</v>
      </c>
      <c r="Q971" s="5">
        <f t="shared" si="8"/>
        <v>4</v>
      </c>
      <c r="R971" s="5"/>
      <c r="S971" s="3" t="s">
        <v>2875</v>
      </c>
      <c r="T971" s="3" t="s">
        <v>2876</v>
      </c>
      <c r="U971" s="3" t="s">
        <v>22</v>
      </c>
      <c r="V971" s="5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>
      <c r="A972" s="3" t="s">
        <v>14</v>
      </c>
      <c r="B972" s="3" t="s">
        <v>2878</v>
      </c>
      <c r="C972" s="6" t="s">
        <v>2879</v>
      </c>
      <c r="D972" s="3" t="s">
        <v>2880</v>
      </c>
      <c r="E972" s="3" t="s">
        <v>2881</v>
      </c>
      <c r="F972" s="3" t="s">
        <v>1968</v>
      </c>
      <c r="G972" s="3" t="s">
        <v>1965</v>
      </c>
      <c r="H972" s="43">
        <f t="shared" ref="H972:I972" si="1945">LEN(D972)-LEN(B972)+1</f>
        <v>3</v>
      </c>
      <c r="I972" s="43">
        <f t="shared" si="1945"/>
        <v>3</v>
      </c>
      <c r="J972" s="4">
        <v>1.0</v>
      </c>
      <c r="K972" s="4">
        <v>1.0</v>
      </c>
      <c r="L972" s="5" t="str">
        <f t="shared" ref="L972:M972" si="1946">IFS(J972="-", "-", J972=H972, "Final", J972=1, "Initial", J972&gt;1, "Medial")</f>
        <v>Initial</v>
      </c>
      <c r="M972" s="44" t="str">
        <f t="shared" si="1946"/>
        <v>Initial</v>
      </c>
      <c r="N972" s="5" t="str">
        <f t="shared" si="5"/>
        <v>0</v>
      </c>
      <c r="O972" s="5" t="str">
        <f t="shared" si="6"/>
        <v>tɐ</v>
      </c>
      <c r="P972" s="5" t="str">
        <f t="shared" si="7"/>
        <v>0</v>
      </c>
      <c r="Q972" s="5" t="str">
        <f t="shared" si="8"/>
        <v>tɐ</v>
      </c>
      <c r="R972" s="3" t="s">
        <v>80</v>
      </c>
      <c r="S972" s="3" t="s">
        <v>2882</v>
      </c>
      <c r="T972" s="3" t="s">
        <v>2883</v>
      </c>
      <c r="U972" s="3" t="s">
        <v>22</v>
      </c>
      <c r="V972" s="5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>
      <c r="A973" s="3" t="s">
        <v>14</v>
      </c>
      <c r="B973" s="3" t="s">
        <v>2878</v>
      </c>
      <c r="C973" s="6" t="s">
        <v>2879</v>
      </c>
      <c r="D973" s="3" t="s">
        <v>2880</v>
      </c>
      <c r="E973" s="3" t="s">
        <v>2881</v>
      </c>
      <c r="F973" s="3" t="s">
        <v>238</v>
      </c>
      <c r="G973" s="3" t="s">
        <v>238</v>
      </c>
      <c r="H973" s="43">
        <f t="shared" ref="H973:I973" si="1947">LEN(D973)-LEN(B973)+1</f>
        <v>3</v>
      </c>
      <c r="I973" s="43">
        <f t="shared" si="1947"/>
        <v>3</v>
      </c>
      <c r="J973" s="4">
        <v>2.0</v>
      </c>
      <c r="K973" s="4">
        <v>2.0</v>
      </c>
      <c r="L973" s="5" t="str">
        <f t="shared" ref="L973:M973" si="1948">IFS(J973="-", "-", J973=H973, "Final", J973=1, "Initial", J973&gt;1, "Medial")</f>
        <v>Medial</v>
      </c>
      <c r="M973" s="44" t="str">
        <f t="shared" si="1948"/>
        <v>Medial</v>
      </c>
      <c r="N973" s="5" t="str">
        <f t="shared" si="5"/>
        <v>ˈkwa</v>
      </c>
      <c r="O973" s="5" t="str">
        <f t="shared" si="6"/>
        <v>-</v>
      </c>
      <c r="P973" s="5" t="str">
        <f t="shared" si="7"/>
        <v>ˈkwaɾ</v>
      </c>
      <c r="Q973" s="5" t="str">
        <f t="shared" si="8"/>
        <v>ˈfɐj</v>
      </c>
      <c r="R973" s="5"/>
      <c r="S973" s="3" t="s">
        <v>2882</v>
      </c>
      <c r="T973" s="3" t="s">
        <v>2883</v>
      </c>
      <c r="U973" s="3" t="s">
        <v>22</v>
      </c>
      <c r="V973" s="5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>
      <c r="A974" s="3" t="s">
        <v>14</v>
      </c>
      <c r="B974" s="3" t="s">
        <v>2878</v>
      </c>
      <c r="C974" s="6" t="s">
        <v>2879</v>
      </c>
      <c r="D974" s="3" t="s">
        <v>2880</v>
      </c>
      <c r="E974" s="3" t="s">
        <v>2881</v>
      </c>
      <c r="F974" s="3" t="s">
        <v>36</v>
      </c>
      <c r="G974" s="3" t="s">
        <v>2877</v>
      </c>
      <c r="H974" s="43">
        <f t="shared" ref="H974:I974" si="1949">LEN(D974)-LEN(B974)+1</f>
        <v>3</v>
      </c>
      <c r="I974" s="43">
        <f t="shared" si="1949"/>
        <v>3</v>
      </c>
      <c r="J974" s="4" t="s">
        <v>36</v>
      </c>
      <c r="K974" s="4">
        <v>3.0</v>
      </c>
      <c r="L974" s="5" t="str">
        <f t="shared" ref="L974:M974" si="1950">IFS(J974="-", "-", J974=H974, "Final", J974=1, "Initial", J974&gt;1, "Medial")</f>
        <v>-</v>
      </c>
      <c r="M974" s="44" t="str">
        <f t="shared" si="1950"/>
        <v>Final</v>
      </c>
      <c r="N974" s="5" t="str">
        <f t="shared" si="5"/>
        <v>tɐ</v>
      </c>
      <c r="O974" s="5" t="str">
        <f t="shared" si="6"/>
        <v>ˈfja</v>
      </c>
      <c r="P974" s="5" t="str">
        <f t="shared" si="7"/>
        <v>tɐ</v>
      </c>
      <c r="Q974" s="5" t="str">
        <f t="shared" si="8"/>
        <v>ɾɐ</v>
      </c>
      <c r="R974" s="3"/>
      <c r="S974" s="3" t="s">
        <v>2882</v>
      </c>
      <c r="T974" s="3" t="s">
        <v>2883</v>
      </c>
      <c r="U974" s="3" t="s">
        <v>22</v>
      </c>
      <c r="V974" s="5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>
      <c r="A975" s="3" t="s">
        <v>14</v>
      </c>
      <c r="B975" s="3" t="s">
        <v>2878</v>
      </c>
      <c r="C975" s="6" t="s">
        <v>2879</v>
      </c>
      <c r="D975" s="3" t="s">
        <v>2880</v>
      </c>
      <c r="E975" s="3" t="s">
        <v>2881</v>
      </c>
      <c r="F975" s="3" t="s">
        <v>1920</v>
      </c>
      <c r="G975" s="3" t="s">
        <v>103</v>
      </c>
      <c r="H975" s="43">
        <f t="shared" ref="H975:I975" si="1951">LEN(D975)-LEN(B975)+1</f>
        <v>3</v>
      </c>
      <c r="I975" s="43">
        <f t="shared" si="1951"/>
        <v>3</v>
      </c>
      <c r="J975" s="4">
        <v>3.0</v>
      </c>
      <c r="K975" s="4">
        <v>4.0</v>
      </c>
      <c r="L975" s="5" t="str">
        <f t="shared" ref="L975:M975" si="1952">IFS(J975="-", "-", J975=H975, "Final", J975=1, "Initial", J975&gt;1, "Medial")</f>
        <v>Final</v>
      </c>
      <c r="M975" s="44" t="str">
        <f t="shared" si="1952"/>
        <v>Medial</v>
      </c>
      <c r="N975" s="5" t="str">
        <f t="shared" si="5"/>
        <v>-</v>
      </c>
      <c r="O975" s="5">
        <f t="shared" si="6"/>
        <v>3</v>
      </c>
      <c r="P975" s="5" t="str">
        <f t="shared" si="7"/>
        <v>ˈfɐj</v>
      </c>
      <c r="Q975" s="5">
        <f t="shared" si="8"/>
        <v>4</v>
      </c>
      <c r="R975" s="5"/>
      <c r="S975" s="3" t="s">
        <v>2882</v>
      </c>
      <c r="T975" s="3" t="s">
        <v>2883</v>
      </c>
      <c r="U975" s="3" t="s">
        <v>22</v>
      </c>
      <c r="V975" s="5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>
      <c r="A976" s="15" t="s">
        <v>14</v>
      </c>
      <c r="B976" s="15" t="s">
        <v>2884</v>
      </c>
      <c r="C976" s="15" t="s">
        <v>2555</v>
      </c>
      <c r="D976" s="15" t="s">
        <v>2885</v>
      </c>
      <c r="E976" s="15" t="s">
        <v>2557</v>
      </c>
      <c r="F976" s="15" t="s">
        <v>36</v>
      </c>
      <c r="G976" s="15" t="s">
        <v>301</v>
      </c>
      <c r="H976" s="43">
        <f t="shared" ref="H976:I976" si="1953">LEN(D976)-LEN(B976)+1</f>
        <v>2</v>
      </c>
      <c r="I976" s="43">
        <f t="shared" si="1953"/>
        <v>3</v>
      </c>
      <c r="J976" s="18" t="s">
        <v>36</v>
      </c>
      <c r="K976" s="18">
        <v>1.0</v>
      </c>
      <c r="L976" s="5" t="str">
        <f t="shared" ref="L976:M976" si="1954">IFS(J976="-", "-", J976=H976, "Final", J976=1, "Initial", J976&gt;1, "Medial")</f>
        <v>-</v>
      </c>
      <c r="M976" s="44" t="str">
        <f t="shared" si="1954"/>
        <v>Initial</v>
      </c>
      <c r="N976" s="5" t="str">
        <f t="shared" si="5"/>
        <v>0</v>
      </c>
      <c r="O976" s="5" t="str">
        <f t="shared" si="6"/>
        <v>ˈku</v>
      </c>
      <c r="P976" s="5" t="str">
        <f t="shared" si="7"/>
        <v>0</v>
      </c>
      <c r="Q976" s="5" t="str">
        <f t="shared" si="8"/>
        <v>ˈku</v>
      </c>
      <c r="R976" s="15" t="s">
        <v>80</v>
      </c>
      <c r="S976" s="15" t="s">
        <v>2558</v>
      </c>
      <c r="T976" s="15" t="s">
        <v>2886</v>
      </c>
      <c r="U976" s="15" t="s">
        <v>22</v>
      </c>
      <c r="V976" s="20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</row>
    <row r="977">
      <c r="A977" s="15" t="s">
        <v>14</v>
      </c>
      <c r="B977" s="15" t="s">
        <v>2884</v>
      </c>
      <c r="C977" s="15" t="s">
        <v>2555</v>
      </c>
      <c r="D977" s="15" t="s">
        <v>2885</v>
      </c>
      <c r="E977" s="15" t="s">
        <v>2557</v>
      </c>
      <c r="F977" s="15" t="s">
        <v>961</v>
      </c>
      <c r="G977" s="15" t="s">
        <v>961</v>
      </c>
      <c r="H977" s="43">
        <f t="shared" ref="H977:I977" si="1955">LEN(D977)-LEN(B977)+1</f>
        <v>2</v>
      </c>
      <c r="I977" s="43">
        <f t="shared" si="1955"/>
        <v>3</v>
      </c>
      <c r="J977" s="18">
        <v>1.0</v>
      </c>
      <c r="K977" s="18">
        <v>2.0</v>
      </c>
      <c r="L977" s="5" t="str">
        <f t="shared" ref="L977:M977" si="1956">IFS(J977="-", "-", J977=H977, "Final", J977=1, "Initial", J977&gt;1, "Medial")</f>
        <v>Initial</v>
      </c>
      <c r="M977" s="44" t="str">
        <f t="shared" si="1956"/>
        <v>Medial</v>
      </c>
      <c r="N977" s="5" t="str">
        <f t="shared" si="5"/>
        <v>-</v>
      </c>
      <c r="O977" s="5" t="str">
        <f t="shared" si="6"/>
        <v>ru</v>
      </c>
      <c r="P977" s="5" t="str">
        <f t="shared" si="7"/>
        <v>ʃ</v>
      </c>
      <c r="Q977" s="5" t="str">
        <f t="shared" si="8"/>
        <v>ɾu</v>
      </c>
      <c r="R977" s="15"/>
      <c r="S977" s="15" t="s">
        <v>2558</v>
      </c>
      <c r="T977" s="15" t="s">
        <v>2886</v>
      </c>
      <c r="U977" s="15" t="s">
        <v>22</v>
      </c>
      <c r="V977" s="20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</row>
    <row r="978">
      <c r="A978" s="15" t="s">
        <v>14</v>
      </c>
      <c r="B978" s="15" t="s">
        <v>2884</v>
      </c>
      <c r="C978" s="15" t="s">
        <v>2555</v>
      </c>
      <c r="D978" s="15" t="s">
        <v>2885</v>
      </c>
      <c r="E978" s="15" t="s">
        <v>2557</v>
      </c>
      <c r="F978" s="15" t="s">
        <v>1647</v>
      </c>
      <c r="G978" s="15" t="s">
        <v>1983</v>
      </c>
      <c r="H978" s="43">
        <f t="shared" ref="H978:I978" si="1957">LEN(D978)-LEN(B978)+1</f>
        <v>2</v>
      </c>
      <c r="I978" s="43">
        <f t="shared" si="1957"/>
        <v>3</v>
      </c>
      <c r="J978" s="18">
        <v>2.0</v>
      </c>
      <c r="K978" s="18">
        <v>3.0</v>
      </c>
      <c r="L978" s="5" t="str">
        <f t="shared" ref="L978:M978" si="1958">IFS(J978="-", "-", J978=H978, "Final", J978=1, "Initial", J978&gt;1, "Medial")</f>
        <v>Final</v>
      </c>
      <c r="M978" s="44" t="str">
        <f t="shared" si="1958"/>
        <v>Final</v>
      </c>
      <c r="N978" s="5" t="str">
        <f t="shared" si="5"/>
        <v>ˈku</v>
      </c>
      <c r="O978" s="5">
        <f t="shared" si="6"/>
        <v>2</v>
      </c>
      <c r="P978" s="5" t="str">
        <f t="shared" si="7"/>
        <v>ˈku</v>
      </c>
      <c r="Q978" s="5">
        <f t="shared" si="8"/>
        <v>3</v>
      </c>
      <c r="R978" s="20"/>
      <c r="S978" s="15" t="s">
        <v>2558</v>
      </c>
      <c r="T978" s="15" t="s">
        <v>2886</v>
      </c>
      <c r="U978" s="15" t="s">
        <v>22</v>
      </c>
      <c r="V978" s="20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</row>
    <row r="979">
      <c r="A979" s="15" t="s">
        <v>14</v>
      </c>
      <c r="B979" s="15" t="s">
        <v>2887</v>
      </c>
      <c r="C979" s="15" t="s">
        <v>2888</v>
      </c>
      <c r="D979" s="15" t="s">
        <v>2889</v>
      </c>
      <c r="E979" s="15" t="s">
        <v>2890</v>
      </c>
      <c r="F979" s="15" t="s">
        <v>128</v>
      </c>
      <c r="G979" s="15" t="s">
        <v>36</v>
      </c>
      <c r="H979" s="43">
        <f t="shared" ref="H979:I979" si="1959">LEN(D979)-LEN(B979)+1</f>
        <v>3</v>
      </c>
      <c r="I979" s="43">
        <f t="shared" si="1959"/>
        <v>2</v>
      </c>
      <c r="J979" s="18">
        <v>1.0</v>
      </c>
      <c r="K979" s="18" t="s">
        <v>36</v>
      </c>
      <c r="L979" s="5" t="str">
        <f t="shared" ref="L979:M979" si="1960">IFS(J979="-", "-", J979=H979, "Final", J979=1, "Initial", J979&gt;1, "Medial")</f>
        <v>Initial</v>
      </c>
      <c r="M979" s="44" t="str">
        <f t="shared" si="1960"/>
        <v>-</v>
      </c>
      <c r="N979" s="5" t="str">
        <f t="shared" si="5"/>
        <v>0</v>
      </c>
      <c r="O979" s="5" t="str">
        <f t="shared" si="6"/>
        <v>ˈma</v>
      </c>
      <c r="P979" s="5" t="str">
        <f t="shared" si="7"/>
        <v>0</v>
      </c>
      <c r="Q979" s="5" t="str">
        <f t="shared" si="8"/>
        <v>ˈmaj</v>
      </c>
      <c r="R979" s="20"/>
      <c r="S979" s="15" t="s">
        <v>2813</v>
      </c>
      <c r="T979" s="15" t="s">
        <v>2891</v>
      </c>
      <c r="U979" s="15" t="s">
        <v>22</v>
      </c>
      <c r="V979" s="20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</row>
    <row r="980">
      <c r="A980" s="15" t="s">
        <v>14</v>
      </c>
      <c r="B980" s="15" t="s">
        <v>2887</v>
      </c>
      <c r="C980" s="15" t="s">
        <v>2888</v>
      </c>
      <c r="D980" s="15" t="s">
        <v>2889</v>
      </c>
      <c r="E980" s="15" t="s">
        <v>2890</v>
      </c>
      <c r="F980" s="15" t="s">
        <v>451</v>
      </c>
      <c r="G980" s="15" t="s">
        <v>2892</v>
      </c>
      <c r="H980" s="43">
        <f t="shared" ref="H980:I980" si="1961">LEN(D980)-LEN(B980)+1</f>
        <v>3</v>
      </c>
      <c r="I980" s="43">
        <f t="shared" si="1961"/>
        <v>2</v>
      </c>
      <c r="J980" s="18">
        <v>2.0</v>
      </c>
      <c r="K980" s="18">
        <v>1.0</v>
      </c>
      <c r="L980" s="5" t="str">
        <f t="shared" ref="L980:M980" si="1962">IFS(J980="-", "-", J980=H980, "Final", J980=1, "Initial", J980&gt;1, "Medial")</f>
        <v>Medial</v>
      </c>
      <c r="M980" s="44" t="str">
        <f t="shared" si="1962"/>
        <v>Initial</v>
      </c>
      <c r="N980" s="5" t="str">
        <f t="shared" si="5"/>
        <v>u</v>
      </c>
      <c r="O980" s="5" t="str">
        <f t="shared" si="6"/>
        <v>ju</v>
      </c>
      <c r="P980" s="5" t="str">
        <f t="shared" si="7"/>
        <v>-</v>
      </c>
      <c r="Q980" s="5" t="str">
        <f t="shared" si="8"/>
        <v>u</v>
      </c>
      <c r="R980" s="20"/>
      <c r="S980" s="15" t="s">
        <v>2813</v>
      </c>
      <c r="T980" s="15" t="s">
        <v>2891</v>
      </c>
      <c r="U980" s="15" t="s">
        <v>22</v>
      </c>
      <c r="V980" s="20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</row>
    <row r="981">
      <c r="A981" s="15" t="s">
        <v>14</v>
      </c>
      <c r="B981" s="15" t="s">
        <v>2887</v>
      </c>
      <c r="C981" s="15" t="s">
        <v>2888</v>
      </c>
      <c r="D981" s="15" t="s">
        <v>2889</v>
      </c>
      <c r="E981" s="15" t="s">
        <v>2890</v>
      </c>
      <c r="F981" s="15" t="s">
        <v>23</v>
      </c>
      <c r="G981" s="15" t="s">
        <v>128</v>
      </c>
      <c r="H981" s="43">
        <f t="shared" ref="H981:I981" si="1963">LEN(D981)-LEN(B981)+1</f>
        <v>3</v>
      </c>
      <c r="I981" s="43">
        <f t="shared" si="1963"/>
        <v>2</v>
      </c>
      <c r="J981" s="18">
        <v>3.0</v>
      </c>
      <c r="K981" s="18">
        <v>2.0</v>
      </c>
      <c r="L981" s="5" t="str">
        <f t="shared" ref="L981:M981" si="1964">IFS(J981="-", "-", J981=H981, "Final", J981=1, "Initial", J981&gt;1, "Medial")</f>
        <v>Final</v>
      </c>
      <c r="M981" s="44" t="str">
        <f t="shared" si="1964"/>
        <v>Final</v>
      </c>
      <c r="N981" s="5" t="str">
        <f t="shared" si="5"/>
        <v>ˈma</v>
      </c>
      <c r="O981" s="5">
        <f t="shared" si="6"/>
        <v>3</v>
      </c>
      <c r="P981" s="5" t="str">
        <f t="shared" si="7"/>
        <v>ˈmaj</v>
      </c>
      <c r="Q981" s="5">
        <f t="shared" si="8"/>
        <v>2</v>
      </c>
      <c r="R981" s="20"/>
      <c r="S981" s="15" t="s">
        <v>2813</v>
      </c>
      <c r="T981" s="15" t="s">
        <v>2891</v>
      </c>
      <c r="U981" s="15" t="s">
        <v>22</v>
      </c>
      <c r="V981" s="20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</row>
    <row r="982">
      <c r="A982" s="3" t="s">
        <v>14</v>
      </c>
      <c r="B982" s="3" t="s">
        <v>2893</v>
      </c>
      <c r="C982" s="3" t="s">
        <v>2894</v>
      </c>
      <c r="D982" s="3" t="s">
        <v>2895</v>
      </c>
      <c r="E982" s="3" t="s">
        <v>2896</v>
      </c>
      <c r="F982" s="3" t="s">
        <v>128</v>
      </c>
      <c r="G982" s="3" t="s">
        <v>1211</v>
      </c>
      <c r="H982" s="43">
        <f t="shared" ref="H982:I982" si="1965">LEN(D982)-LEN(B982)+1</f>
        <v>3</v>
      </c>
      <c r="I982" s="43">
        <f t="shared" si="1965"/>
        <v>2</v>
      </c>
      <c r="J982" s="4">
        <v>1.0</v>
      </c>
      <c r="K982" s="4">
        <v>1.0</v>
      </c>
      <c r="L982" s="5" t="str">
        <f t="shared" ref="L982:M982" si="1966">IFS(J982="-", "-", J982=H982, "Final", J982=1, "Initial", J982&gt;1, "Medial")</f>
        <v>Initial</v>
      </c>
      <c r="M982" s="44" t="str">
        <f t="shared" si="1966"/>
        <v>Initial</v>
      </c>
      <c r="N982" s="5" t="str">
        <f t="shared" si="5"/>
        <v>0</v>
      </c>
      <c r="O982" s="5" t="str">
        <f t="shared" si="6"/>
        <v>ˈma</v>
      </c>
      <c r="P982" s="5" t="str">
        <f t="shared" si="7"/>
        <v>0</v>
      </c>
      <c r="Q982" s="5" t="str">
        <f t="shared" si="8"/>
        <v>-</v>
      </c>
      <c r="R982" s="5"/>
      <c r="S982" s="3" t="s">
        <v>2897</v>
      </c>
      <c r="T982" s="3" t="s">
        <v>2898</v>
      </c>
      <c r="U982" s="3" t="s">
        <v>22</v>
      </c>
      <c r="V982" s="5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>
      <c r="A983" s="3" t="s">
        <v>14</v>
      </c>
      <c r="B983" s="3" t="s">
        <v>2893</v>
      </c>
      <c r="C983" s="3" t="s">
        <v>2894</v>
      </c>
      <c r="D983" s="3" t="s">
        <v>2895</v>
      </c>
      <c r="E983" s="3" t="s">
        <v>2896</v>
      </c>
      <c r="F983" s="3" t="s">
        <v>451</v>
      </c>
      <c r="G983" s="3" t="s">
        <v>36</v>
      </c>
      <c r="H983" s="43">
        <f t="shared" ref="H983:I983" si="1967">LEN(D983)-LEN(B983)+1</f>
        <v>3</v>
      </c>
      <c r="I983" s="43">
        <f t="shared" si="1967"/>
        <v>2</v>
      </c>
      <c r="J983" s="4">
        <v>2.0</v>
      </c>
      <c r="K983" s="4" t="s">
        <v>36</v>
      </c>
      <c r="L983" s="5" t="str">
        <f t="shared" ref="L983:M983" si="1968">IFS(J983="-", "-", J983=H983, "Final", J983=1, "Initial", J983&gt;1, "Medial")</f>
        <v>Medial</v>
      </c>
      <c r="M983" s="44" t="str">
        <f t="shared" si="1968"/>
        <v>-</v>
      </c>
      <c r="N983" s="5" t="str">
        <f t="shared" si="5"/>
        <v>u</v>
      </c>
      <c r="O983" s="5" t="str">
        <f t="shared" si="6"/>
        <v>su</v>
      </c>
      <c r="P983" s="5" t="str">
        <f t="shared" si="7"/>
        <v>ˈmaɾ</v>
      </c>
      <c r="Q983" s="5" t="str">
        <f t="shared" si="8"/>
        <v>su</v>
      </c>
      <c r="R983" s="5"/>
      <c r="S983" s="3" t="s">
        <v>2897</v>
      </c>
      <c r="T983" s="3" t="s">
        <v>2898</v>
      </c>
      <c r="U983" s="3" t="s">
        <v>22</v>
      </c>
      <c r="V983" s="5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>
      <c r="A984" s="3" t="s">
        <v>14</v>
      </c>
      <c r="B984" s="3" t="s">
        <v>2893</v>
      </c>
      <c r="C984" s="3" t="s">
        <v>2894</v>
      </c>
      <c r="D984" s="3" t="s">
        <v>2895</v>
      </c>
      <c r="E984" s="3" t="s">
        <v>2896</v>
      </c>
      <c r="F984" s="3" t="s">
        <v>362</v>
      </c>
      <c r="G984" s="3" t="s">
        <v>362</v>
      </c>
      <c r="H984" s="43">
        <f t="shared" ref="H984:I984" si="1969">LEN(D984)-LEN(B984)+1</f>
        <v>3</v>
      </c>
      <c r="I984" s="43">
        <f t="shared" si="1969"/>
        <v>2</v>
      </c>
      <c r="J984" s="4">
        <v>3.0</v>
      </c>
      <c r="K984" s="4">
        <v>2.0</v>
      </c>
      <c r="L984" s="5" t="str">
        <f t="shared" ref="L984:M984" si="1970">IFS(J984="-", "-", J984=H984, "Final", J984=1, "Initial", J984&gt;1, "Medial")</f>
        <v>Final</v>
      </c>
      <c r="M984" s="44" t="str">
        <f t="shared" si="1970"/>
        <v>Final</v>
      </c>
      <c r="N984" s="5" t="str">
        <f t="shared" si="5"/>
        <v>ˈma</v>
      </c>
      <c r="O984" s="5">
        <f t="shared" si="6"/>
        <v>3</v>
      </c>
      <c r="P984" s="5" t="str">
        <f t="shared" si="7"/>
        <v>-</v>
      </c>
      <c r="Q984" s="5">
        <f t="shared" si="8"/>
        <v>2</v>
      </c>
      <c r="R984" s="5"/>
      <c r="S984" s="3" t="s">
        <v>2897</v>
      </c>
      <c r="T984" s="3" t="s">
        <v>2898</v>
      </c>
      <c r="U984" s="3" t="s">
        <v>22</v>
      </c>
      <c r="V984" s="5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>
      <c r="A985" s="15" t="s">
        <v>14</v>
      </c>
      <c r="B985" s="15" t="s">
        <v>2899</v>
      </c>
      <c r="C985" s="15" t="s">
        <v>2900</v>
      </c>
      <c r="D985" s="15" t="s">
        <v>2901</v>
      </c>
      <c r="E985" s="15" t="s">
        <v>2902</v>
      </c>
      <c r="F985" s="15" t="s">
        <v>128</v>
      </c>
      <c r="G985" s="15" t="s">
        <v>36</v>
      </c>
      <c r="H985" s="43">
        <f t="shared" ref="H985:I985" si="1971">LEN(D985)-LEN(B985)+1</f>
        <v>3</v>
      </c>
      <c r="I985" s="43">
        <f t="shared" si="1971"/>
        <v>2</v>
      </c>
      <c r="J985" s="18">
        <v>1.0</v>
      </c>
      <c r="K985" s="18" t="s">
        <v>36</v>
      </c>
      <c r="L985" s="5" t="str">
        <f t="shared" ref="L985:M985" si="1972">IFS(J985="-", "-", J985=H985, "Final", J985=1, "Initial", J985&gt;1, "Medial")</f>
        <v>Initial</v>
      </c>
      <c r="M985" s="44" t="str">
        <f t="shared" si="1972"/>
        <v>-</v>
      </c>
      <c r="N985" s="5" t="str">
        <f t="shared" si="5"/>
        <v>0</v>
      </c>
      <c r="O985" s="5" t="str">
        <f t="shared" si="6"/>
        <v>ˈno</v>
      </c>
      <c r="P985" s="5" t="str">
        <f t="shared" si="7"/>
        <v>0</v>
      </c>
      <c r="Q985" s="5" t="str">
        <f t="shared" si="8"/>
        <v>ˈnoj</v>
      </c>
      <c r="R985" s="20"/>
      <c r="S985" s="15" t="s">
        <v>2903</v>
      </c>
      <c r="T985" s="15" t="s">
        <v>2904</v>
      </c>
      <c r="U985" s="15" t="s">
        <v>22</v>
      </c>
      <c r="V985" s="20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</row>
    <row r="986">
      <c r="A986" s="15" t="s">
        <v>14</v>
      </c>
      <c r="B986" s="15" t="s">
        <v>2899</v>
      </c>
      <c r="C986" s="15" t="s">
        <v>2900</v>
      </c>
      <c r="D986" s="15" t="s">
        <v>2901</v>
      </c>
      <c r="E986" s="15" t="s">
        <v>2902</v>
      </c>
      <c r="F986" s="15" t="s">
        <v>2123</v>
      </c>
      <c r="G986" s="15" t="s">
        <v>2905</v>
      </c>
      <c r="H986" s="43">
        <f t="shared" ref="H986:I986" si="1973">LEN(D986)-LEN(B986)+1</f>
        <v>3</v>
      </c>
      <c r="I986" s="43">
        <f t="shared" si="1973"/>
        <v>2</v>
      </c>
      <c r="J986" s="18">
        <v>2.0</v>
      </c>
      <c r="K986" s="18">
        <v>1.0</v>
      </c>
      <c r="L986" s="5" t="str">
        <f t="shared" ref="L986:M986" si="1974">IFS(J986="-", "-", J986=H986, "Final", J986=1, "Initial", J986&gt;1, "Medial")</f>
        <v>Medial</v>
      </c>
      <c r="M986" s="44" t="str">
        <f t="shared" si="1974"/>
        <v>Initial</v>
      </c>
      <c r="N986" s="5" t="str">
        <f t="shared" si="5"/>
        <v>u</v>
      </c>
      <c r="O986" s="5" t="str">
        <f t="shared" si="6"/>
        <v>t̠ʃi</v>
      </c>
      <c r="P986" s="5" t="str">
        <f t="shared" si="7"/>
        <v>-</v>
      </c>
      <c r="Q986" s="5" t="str">
        <f t="shared" si="8"/>
        <v>tɨ</v>
      </c>
      <c r="R986" s="20"/>
      <c r="S986" s="15" t="s">
        <v>2903</v>
      </c>
      <c r="T986" s="15" t="s">
        <v>2904</v>
      </c>
      <c r="U986" s="15" t="s">
        <v>22</v>
      </c>
      <c r="V986" s="20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</row>
    <row r="987">
      <c r="A987" s="15" t="s">
        <v>14</v>
      </c>
      <c r="B987" s="15" t="s">
        <v>2899</v>
      </c>
      <c r="C987" s="15" t="s">
        <v>2900</v>
      </c>
      <c r="D987" s="15" t="s">
        <v>2901</v>
      </c>
      <c r="E987" s="15" t="s">
        <v>2902</v>
      </c>
      <c r="F987" s="15" t="s">
        <v>55</v>
      </c>
      <c r="G987" s="15" t="s">
        <v>56</v>
      </c>
      <c r="H987" s="43">
        <f t="shared" ref="H987:I987" si="1975">LEN(D987)-LEN(B987)+1</f>
        <v>3</v>
      </c>
      <c r="I987" s="43">
        <f t="shared" si="1975"/>
        <v>2</v>
      </c>
      <c r="J987" s="18">
        <v>3.0</v>
      </c>
      <c r="K987" s="18">
        <v>2.0</v>
      </c>
      <c r="L987" s="5" t="str">
        <f t="shared" ref="L987:M987" si="1976">IFS(J987="-", "-", J987=H987, "Final", J987=1, "Initial", J987&gt;1, "Medial")</f>
        <v>Final</v>
      </c>
      <c r="M987" s="44" t="str">
        <f t="shared" si="1976"/>
        <v>Final</v>
      </c>
      <c r="N987" s="5" t="str">
        <f t="shared" si="5"/>
        <v>ˈno</v>
      </c>
      <c r="O987" s="5">
        <f t="shared" si="6"/>
        <v>3</v>
      </c>
      <c r="P987" s="5" t="str">
        <f t="shared" si="7"/>
        <v>ˈnoj</v>
      </c>
      <c r="Q987" s="5">
        <f t="shared" si="8"/>
        <v>2</v>
      </c>
      <c r="R987" s="20"/>
      <c r="S987" s="15" t="s">
        <v>2903</v>
      </c>
      <c r="T987" s="15" t="s">
        <v>2904</v>
      </c>
      <c r="U987" s="15" t="s">
        <v>22</v>
      </c>
      <c r="V987" s="20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</row>
    <row r="988">
      <c r="A988" s="3" t="s">
        <v>14</v>
      </c>
      <c r="B988" s="3" t="s">
        <v>2906</v>
      </c>
      <c r="C988" s="3" t="s">
        <v>2907</v>
      </c>
      <c r="D988" s="3" t="s">
        <v>2908</v>
      </c>
      <c r="E988" s="3" t="s">
        <v>2909</v>
      </c>
      <c r="F988" s="3" t="s">
        <v>2910</v>
      </c>
      <c r="G988" s="3" t="s">
        <v>312</v>
      </c>
      <c r="H988" s="43">
        <f t="shared" ref="H988:I988" si="1977">LEN(D988)-LEN(B988)+1</f>
        <v>3</v>
      </c>
      <c r="I988" s="43">
        <f t="shared" si="1977"/>
        <v>3</v>
      </c>
      <c r="J988" s="4">
        <v>1.0</v>
      </c>
      <c r="K988" s="4">
        <v>1.0</v>
      </c>
      <c r="L988" s="5" t="str">
        <f t="shared" ref="L988:M988" si="1978">IFS(J988="-", "-", J988=H988, "Final", J988=1, "Initial", J988&gt;1, "Medial")</f>
        <v>Initial</v>
      </c>
      <c r="M988" s="44" t="str">
        <f t="shared" si="1978"/>
        <v>Initial</v>
      </c>
      <c r="N988" s="5" t="str">
        <f t="shared" si="5"/>
        <v>0</v>
      </c>
      <c r="O988" s="5" t="str">
        <f t="shared" si="6"/>
        <v>ˈvɛ̃</v>
      </c>
      <c r="P988" s="5" t="str">
        <f t="shared" si="7"/>
        <v>0</v>
      </c>
      <c r="Q988" s="5" t="str">
        <f t="shared" si="8"/>
        <v>ˈvẽ</v>
      </c>
      <c r="R988" s="5"/>
      <c r="S988" s="3" t="s">
        <v>2911</v>
      </c>
      <c r="T988" s="3" t="s">
        <v>2912</v>
      </c>
      <c r="U988" s="3" t="s">
        <v>22</v>
      </c>
      <c r="V988" s="5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>
      <c r="A989" s="3" t="s">
        <v>14</v>
      </c>
      <c r="B989" s="3" t="s">
        <v>2906</v>
      </c>
      <c r="C989" s="3" t="s">
        <v>2907</v>
      </c>
      <c r="D989" s="3" t="s">
        <v>2908</v>
      </c>
      <c r="E989" s="3" t="s">
        <v>2909</v>
      </c>
      <c r="F989" s="3" t="s">
        <v>2216</v>
      </c>
      <c r="G989" s="3" t="s">
        <v>2913</v>
      </c>
      <c r="H989" s="43">
        <f t="shared" ref="H989:I989" si="1979">LEN(D989)-LEN(B989)+1</f>
        <v>3</v>
      </c>
      <c r="I989" s="43">
        <f t="shared" si="1979"/>
        <v>3</v>
      </c>
      <c r="J989" s="4">
        <v>2.0</v>
      </c>
      <c r="K989" s="4">
        <v>2.0</v>
      </c>
      <c r="L989" s="5" t="str">
        <f t="shared" ref="L989:M989" si="1980">IFS(J989="-", "-", J989=H989, "Final", J989=1, "Initial", J989&gt;1, "Medial")</f>
        <v>Medial</v>
      </c>
      <c r="M989" s="44" t="str">
        <f t="shared" si="1980"/>
        <v>Medial</v>
      </c>
      <c r="N989" s="5" t="str">
        <f t="shared" si="5"/>
        <v>nɔ</v>
      </c>
      <c r="O989" s="5" t="str">
        <f t="shared" si="6"/>
        <v>bu</v>
      </c>
      <c r="P989" s="5" t="str">
        <f t="shared" si="7"/>
        <v>nu</v>
      </c>
      <c r="Q989" s="5" t="str">
        <f t="shared" si="8"/>
        <v>bɾu</v>
      </c>
      <c r="R989" s="5"/>
      <c r="S989" s="3" t="s">
        <v>2911</v>
      </c>
      <c r="T989" s="3" t="s">
        <v>2912</v>
      </c>
      <c r="U989" s="3" t="s">
        <v>22</v>
      </c>
      <c r="V989" s="5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>
      <c r="A990" s="3" t="s">
        <v>14</v>
      </c>
      <c r="B990" s="3" t="s">
        <v>2906</v>
      </c>
      <c r="C990" s="3" t="s">
        <v>2907</v>
      </c>
      <c r="D990" s="3" t="s">
        <v>2908</v>
      </c>
      <c r="E990" s="3" t="s">
        <v>2909</v>
      </c>
      <c r="F990" s="3" t="s">
        <v>143</v>
      </c>
      <c r="G990" s="3" t="s">
        <v>1116</v>
      </c>
      <c r="H990" s="43">
        <f t="shared" ref="H990:I990" si="1981">LEN(D990)-LEN(B990)+1</f>
        <v>3</v>
      </c>
      <c r="I990" s="43">
        <f t="shared" si="1981"/>
        <v>3</v>
      </c>
      <c r="J990" s="4">
        <v>3.0</v>
      </c>
      <c r="K990" s="4">
        <v>3.0</v>
      </c>
      <c r="L990" s="5" t="str">
        <f t="shared" ref="L990:M990" si="1982">IFS(J990="-", "-", J990=H990, "Final", J990=1, "Initial", J990&gt;1, "Medial")</f>
        <v>Final</v>
      </c>
      <c r="M990" s="44" t="str">
        <f t="shared" si="1982"/>
        <v>Final</v>
      </c>
      <c r="N990" s="5" t="str">
        <f t="shared" si="5"/>
        <v>ˈvɛ̃</v>
      </c>
      <c r="O990" s="5">
        <f t="shared" si="6"/>
        <v>3</v>
      </c>
      <c r="P990" s="5" t="str">
        <f t="shared" si="7"/>
        <v>ˈvẽ</v>
      </c>
      <c r="Q990" s="5">
        <f t="shared" si="8"/>
        <v>3</v>
      </c>
      <c r="R990" s="5"/>
      <c r="S990" s="3" t="s">
        <v>2911</v>
      </c>
      <c r="T990" s="3" t="s">
        <v>2912</v>
      </c>
      <c r="U990" s="3" t="s">
        <v>22</v>
      </c>
      <c r="V990" s="5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>
      <c r="A991" s="3" t="s">
        <v>14</v>
      </c>
      <c r="B991" s="3" t="s">
        <v>2914</v>
      </c>
      <c r="C991" s="3" t="s">
        <v>2915</v>
      </c>
      <c r="D991" s="3" t="s">
        <v>2916</v>
      </c>
      <c r="E991" s="3" t="s">
        <v>2917</v>
      </c>
      <c r="F991" s="3" t="s">
        <v>29</v>
      </c>
      <c r="G991" s="3" t="s">
        <v>29</v>
      </c>
      <c r="H991" s="43">
        <f t="shared" ref="H991:I991" si="1983">LEN(D991)-LEN(B991)+1</f>
        <v>3</v>
      </c>
      <c r="I991" s="43">
        <f t="shared" si="1983"/>
        <v>3</v>
      </c>
      <c r="J991" s="4">
        <v>1.0</v>
      </c>
      <c r="K991" s="4">
        <v>1.0</v>
      </c>
      <c r="L991" s="5" t="str">
        <f t="shared" ref="L991:M991" si="1984">IFS(J991="-", "-", J991=H991, "Final", J991=1, "Initial", J991&gt;1, "Medial")</f>
        <v>Initial</v>
      </c>
      <c r="M991" s="44" t="str">
        <f t="shared" si="1984"/>
        <v>Initial</v>
      </c>
      <c r="N991" s="5" t="str">
        <f t="shared" si="5"/>
        <v>0</v>
      </c>
      <c r="O991" s="5" t="str">
        <f t="shared" si="6"/>
        <v>ˈtu</v>
      </c>
      <c r="P991" s="5" t="str">
        <f t="shared" si="7"/>
        <v>0</v>
      </c>
      <c r="Q991" s="5" t="str">
        <f t="shared" si="8"/>
        <v>ˈtu</v>
      </c>
      <c r="R991" s="5"/>
      <c r="S991" s="3" t="s">
        <v>2918</v>
      </c>
      <c r="T991" s="3" t="s">
        <v>2919</v>
      </c>
      <c r="U991" s="3" t="s">
        <v>22</v>
      </c>
      <c r="V991" s="5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>
      <c r="A992" s="3" t="s">
        <v>14</v>
      </c>
      <c r="B992" s="3" t="s">
        <v>2914</v>
      </c>
      <c r="C992" s="3" t="s">
        <v>2915</v>
      </c>
      <c r="D992" s="3" t="s">
        <v>2916</v>
      </c>
      <c r="E992" s="3" t="s">
        <v>2917</v>
      </c>
      <c r="F992" s="3" t="s">
        <v>2424</v>
      </c>
      <c r="G992" s="3" t="s">
        <v>2424</v>
      </c>
      <c r="H992" s="43">
        <f t="shared" ref="H992:I992" si="1985">LEN(D992)-LEN(B992)+1</f>
        <v>3</v>
      </c>
      <c r="I992" s="43">
        <f t="shared" si="1985"/>
        <v>3</v>
      </c>
      <c r="J992" s="4">
        <v>2.0</v>
      </c>
      <c r="K992" s="4">
        <v>2.0</v>
      </c>
      <c r="L992" s="5" t="str">
        <f t="shared" ref="L992:M992" si="1986">IFS(J992="-", "-", J992=H992, "Final", J992=1, "Initial", J992&gt;1, "Medial")</f>
        <v>Medial</v>
      </c>
      <c r="M992" s="44" t="str">
        <f t="shared" si="1986"/>
        <v>Medial</v>
      </c>
      <c r="N992" s="5" t="str">
        <f t="shared" si="5"/>
        <v>o</v>
      </c>
      <c r="O992" s="5" t="str">
        <f t="shared" si="6"/>
        <v>bu</v>
      </c>
      <c r="P992" s="5" t="str">
        <f t="shared" si="7"/>
        <v>o</v>
      </c>
      <c r="Q992" s="5" t="str">
        <f t="shared" si="8"/>
        <v>bɾu</v>
      </c>
      <c r="R992" s="5"/>
      <c r="S992" s="3" t="s">
        <v>2918</v>
      </c>
      <c r="T992" s="3" t="s">
        <v>2919</v>
      </c>
      <c r="U992" s="3" t="s">
        <v>22</v>
      </c>
      <c r="V992" s="5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>
      <c r="A993" s="3" t="s">
        <v>14</v>
      </c>
      <c r="B993" s="3" t="s">
        <v>2914</v>
      </c>
      <c r="C993" s="3" t="s">
        <v>2915</v>
      </c>
      <c r="D993" s="3" t="s">
        <v>2916</v>
      </c>
      <c r="E993" s="3" t="s">
        <v>2917</v>
      </c>
      <c r="F993" s="3" t="s">
        <v>143</v>
      </c>
      <c r="G993" s="3" t="s">
        <v>1116</v>
      </c>
      <c r="H993" s="43">
        <f t="shared" ref="H993:I993" si="1987">LEN(D993)-LEN(B993)+1</f>
        <v>3</v>
      </c>
      <c r="I993" s="43">
        <f t="shared" si="1987"/>
        <v>3</v>
      </c>
      <c r="J993" s="4">
        <v>3.0</v>
      </c>
      <c r="K993" s="4">
        <v>3.0</v>
      </c>
      <c r="L993" s="5" t="str">
        <f t="shared" ref="L993:M993" si="1988">IFS(J993="-", "-", J993=H993, "Final", J993=1, "Initial", J993&gt;1, "Medial")</f>
        <v>Final</v>
      </c>
      <c r="M993" s="44" t="str">
        <f t="shared" si="1988"/>
        <v>Final</v>
      </c>
      <c r="N993" s="5" t="str">
        <f t="shared" si="5"/>
        <v>ˈtu</v>
      </c>
      <c r="O993" s="5">
        <f t="shared" si="6"/>
        <v>3</v>
      </c>
      <c r="P993" s="5" t="str">
        <f t="shared" si="7"/>
        <v>ˈtu</v>
      </c>
      <c r="Q993" s="5">
        <f t="shared" si="8"/>
        <v>3</v>
      </c>
      <c r="R993" s="5"/>
      <c r="S993" s="3" t="s">
        <v>2918</v>
      </c>
      <c r="T993" s="3" t="s">
        <v>2919</v>
      </c>
      <c r="U993" s="3" t="s">
        <v>22</v>
      </c>
      <c r="V993" s="5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>
      <c r="A994" s="3" t="s">
        <v>14</v>
      </c>
      <c r="B994" s="3" t="s">
        <v>2920</v>
      </c>
      <c r="C994" s="3" t="s">
        <v>2921</v>
      </c>
      <c r="D994" s="3" t="s">
        <v>2922</v>
      </c>
      <c r="E994" s="3" t="s">
        <v>2923</v>
      </c>
      <c r="F994" s="3" t="s">
        <v>219</v>
      </c>
      <c r="G994" s="3" t="s">
        <v>219</v>
      </c>
      <c r="H994" s="43">
        <f t="shared" ref="H994:I994" si="1989">LEN(D994)-LEN(B994)+1</f>
        <v>2</v>
      </c>
      <c r="I994" s="43">
        <f t="shared" si="1989"/>
        <v>2</v>
      </c>
      <c r="J994" s="4">
        <v>1.0</v>
      </c>
      <c r="K994" s="4">
        <v>1.0</v>
      </c>
      <c r="L994" s="5" t="str">
        <f t="shared" ref="L994:M994" si="1990">IFS(J994="-", "-", J994=H994, "Final", J994=1, "Initial", J994&gt;1, "Medial")</f>
        <v>Initial</v>
      </c>
      <c r="M994" s="44" t="str">
        <f t="shared" si="1990"/>
        <v>Initial</v>
      </c>
      <c r="N994" s="5" t="str">
        <f t="shared" si="5"/>
        <v>0</v>
      </c>
      <c r="O994" s="5" t="str">
        <f t="shared" si="6"/>
        <v>ze</v>
      </c>
      <c r="P994" s="5" t="str">
        <f t="shared" si="7"/>
        <v>0</v>
      </c>
      <c r="Q994" s="5" t="str">
        <f t="shared" si="8"/>
        <v>ʒɨ</v>
      </c>
      <c r="R994" s="5"/>
      <c r="S994" s="3" t="s">
        <v>2924</v>
      </c>
      <c r="T994" s="3" t="s">
        <v>2925</v>
      </c>
      <c r="U994" s="3" t="s">
        <v>22</v>
      </c>
      <c r="V994" s="5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>
      <c r="A995" s="3" t="s">
        <v>14</v>
      </c>
      <c r="B995" s="3" t="s">
        <v>2920</v>
      </c>
      <c r="C995" s="3" t="s">
        <v>2921</v>
      </c>
      <c r="D995" s="3" t="s">
        <v>2922</v>
      </c>
      <c r="E995" s="3" t="s">
        <v>2923</v>
      </c>
      <c r="F995" s="3" t="s">
        <v>2926</v>
      </c>
      <c r="G995" s="3" t="s">
        <v>2927</v>
      </c>
      <c r="H995" s="43">
        <f t="shared" ref="H995:I995" si="1991">LEN(D995)-LEN(B995)+1</f>
        <v>2</v>
      </c>
      <c r="I995" s="43">
        <f t="shared" si="1991"/>
        <v>2</v>
      </c>
      <c r="J995" s="4">
        <v>2.0</v>
      </c>
      <c r="K995" s="4">
        <v>2.0</v>
      </c>
      <c r="L995" s="5" t="str">
        <f t="shared" ref="L995:M995" si="1992">IFS(J995="-", "-", J995=H995, "Final", J995=1, "Initial", J995&gt;1, "Medial")</f>
        <v>Final</v>
      </c>
      <c r="M995" s="44" t="str">
        <f t="shared" si="1992"/>
        <v>Final</v>
      </c>
      <c r="N995" s="5" t="str">
        <f t="shared" si="5"/>
        <v>ˈo</v>
      </c>
      <c r="O995" s="5">
        <f t="shared" si="6"/>
        <v>2</v>
      </c>
      <c r="P995" s="5" t="str">
        <f t="shared" si="7"/>
        <v>ˈo</v>
      </c>
      <c r="Q995" s="5">
        <f t="shared" si="8"/>
        <v>2</v>
      </c>
      <c r="R995" s="5"/>
      <c r="S995" s="3" t="s">
        <v>2924</v>
      </c>
      <c r="T995" s="3" t="s">
        <v>2925</v>
      </c>
      <c r="U995" s="3" t="s">
        <v>22</v>
      </c>
      <c r="V995" s="5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>
      <c r="A996" s="3" t="s">
        <v>14</v>
      </c>
      <c r="B996" s="3" t="s">
        <v>2928</v>
      </c>
      <c r="C996" s="3" t="s">
        <v>2929</v>
      </c>
      <c r="D996" s="3" t="s">
        <v>2930</v>
      </c>
      <c r="E996" s="3" t="s">
        <v>2931</v>
      </c>
      <c r="F996" s="3" t="s">
        <v>1032</v>
      </c>
      <c r="G996" s="3" t="s">
        <v>1032</v>
      </c>
      <c r="H996" s="43">
        <f t="shared" ref="H996:I996" si="1993">LEN(D996)-LEN(B996)+1</f>
        <v>3</v>
      </c>
      <c r="I996" s="43">
        <f t="shared" si="1993"/>
        <v>3</v>
      </c>
      <c r="J996" s="4">
        <v>1.0</v>
      </c>
      <c r="K996" s="4">
        <v>1.0</v>
      </c>
      <c r="L996" s="5" t="str">
        <f t="shared" ref="L996:M996" si="1994">IFS(J996="-", "-", J996=H996, "Final", J996=1, "Initial", J996&gt;1, "Medial")</f>
        <v>Initial</v>
      </c>
      <c r="M996" s="44" t="str">
        <f t="shared" si="1994"/>
        <v>Initial</v>
      </c>
      <c r="N996" s="5" t="str">
        <f t="shared" si="5"/>
        <v>0</v>
      </c>
      <c r="O996" s="5" t="str">
        <f t="shared" si="6"/>
        <v>bu</v>
      </c>
      <c r="P996" s="5" t="str">
        <f t="shared" si="7"/>
        <v>0</v>
      </c>
      <c r="Q996" s="5" t="str">
        <f t="shared" si="8"/>
        <v>bɐ</v>
      </c>
      <c r="R996" s="5"/>
      <c r="S996" s="3" t="s">
        <v>2932</v>
      </c>
      <c r="T996" s="3" t="s">
        <v>2933</v>
      </c>
      <c r="U996" s="3" t="s">
        <v>22</v>
      </c>
      <c r="V996" s="5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>
      <c r="A997" s="3" t="s">
        <v>14</v>
      </c>
      <c r="B997" s="3" t="s">
        <v>2928</v>
      </c>
      <c r="C997" s="3" t="s">
        <v>2929</v>
      </c>
      <c r="D997" s="3" t="s">
        <v>2930</v>
      </c>
      <c r="E997" s="3" t="s">
        <v>2931</v>
      </c>
      <c r="F997" s="3" t="s">
        <v>143</v>
      </c>
      <c r="G997" s="3" t="s">
        <v>62</v>
      </c>
      <c r="H997" s="43">
        <f t="shared" ref="H997:I997" si="1995">LEN(D997)-LEN(B997)+1</f>
        <v>3</v>
      </c>
      <c r="I997" s="43">
        <f t="shared" si="1995"/>
        <v>3</v>
      </c>
      <c r="J997" s="4">
        <v>2.0</v>
      </c>
      <c r="K997" s="4">
        <v>2.0</v>
      </c>
      <c r="L997" s="5" t="str">
        <f t="shared" ref="L997:M997" si="1996">IFS(J997="-", "-", J997=H997, "Final", J997=1, "Initial", J997&gt;1, "Medial")</f>
        <v>Medial</v>
      </c>
      <c r="M997" s="44" t="str">
        <f t="shared" si="1996"/>
        <v>Medial</v>
      </c>
      <c r="N997" s="5" t="str">
        <f t="shared" si="5"/>
        <v>ˈsa</v>
      </c>
      <c r="O997" s="5" t="str">
        <f t="shared" si="6"/>
        <v>du</v>
      </c>
      <c r="P997" s="5" t="str">
        <f t="shared" si="7"/>
        <v>ˈsa</v>
      </c>
      <c r="Q997" s="5" t="str">
        <f t="shared" si="8"/>
        <v>du</v>
      </c>
      <c r="R997" s="5"/>
      <c r="S997" s="3" t="s">
        <v>2932</v>
      </c>
      <c r="T997" s="3" t="s">
        <v>2933</v>
      </c>
      <c r="U997" s="3" t="s">
        <v>22</v>
      </c>
      <c r="V997" s="5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>
      <c r="A998" s="3" t="s">
        <v>14</v>
      </c>
      <c r="B998" s="3" t="s">
        <v>2928</v>
      </c>
      <c r="C998" s="3" t="s">
        <v>2929</v>
      </c>
      <c r="D998" s="3" t="s">
        <v>2930</v>
      </c>
      <c r="E998" s="3" t="s">
        <v>2931</v>
      </c>
      <c r="F998" s="3" t="s">
        <v>387</v>
      </c>
      <c r="G998" s="3" t="s">
        <v>387</v>
      </c>
      <c r="H998" s="43">
        <f t="shared" ref="H998:I998" si="1997">LEN(D998)-LEN(B998)+1</f>
        <v>3</v>
      </c>
      <c r="I998" s="43">
        <f t="shared" si="1997"/>
        <v>3</v>
      </c>
      <c r="J998" s="4">
        <v>3.0</v>
      </c>
      <c r="K998" s="4">
        <v>3.0</v>
      </c>
      <c r="L998" s="5" t="str">
        <f t="shared" ref="L998:M998" si="1998">IFS(J998="-", "-", J998=H998, "Final", J998=1, "Initial", J998&gt;1, "Medial")</f>
        <v>Final</v>
      </c>
      <c r="M998" s="44" t="str">
        <f t="shared" si="1998"/>
        <v>Final</v>
      </c>
      <c r="N998" s="5" t="str">
        <f t="shared" si="5"/>
        <v>bu</v>
      </c>
      <c r="O998" s="5">
        <f t="shared" si="6"/>
        <v>3</v>
      </c>
      <c r="P998" s="5" t="str">
        <f t="shared" si="7"/>
        <v>bɐ</v>
      </c>
      <c r="Q998" s="5">
        <f t="shared" si="8"/>
        <v>3</v>
      </c>
      <c r="R998" s="5"/>
      <c r="S998" s="3" t="s">
        <v>2932</v>
      </c>
      <c r="T998" s="3" t="s">
        <v>2933</v>
      </c>
      <c r="U998" s="3" t="s">
        <v>22</v>
      </c>
      <c r="V998" s="5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>
      <c r="A999" s="3" t="s">
        <v>14</v>
      </c>
      <c r="B999" s="3" t="s">
        <v>2934</v>
      </c>
      <c r="C999" s="3" t="s">
        <v>2935</v>
      </c>
      <c r="D999" s="3" t="s">
        <v>2936</v>
      </c>
      <c r="E999" s="3" t="s">
        <v>2937</v>
      </c>
      <c r="F999" s="3" t="s">
        <v>614</v>
      </c>
      <c r="G999" s="3" t="s">
        <v>615</v>
      </c>
      <c r="H999" s="43">
        <f t="shared" ref="H999:I999" si="1999">LEN(D999)-LEN(B999)+1</f>
        <v>2</v>
      </c>
      <c r="I999" s="43">
        <f t="shared" si="1999"/>
        <v>2</v>
      </c>
      <c r="J999" s="4">
        <v>1.0</v>
      </c>
      <c r="K999" s="4">
        <v>1.0</v>
      </c>
      <c r="L999" s="5" t="str">
        <f t="shared" ref="L999:M999" si="2000">IFS(J999="-", "-", J999=H999, "Final", J999=1, "Initial", J999&gt;1, "Medial")</f>
        <v>Initial</v>
      </c>
      <c r="M999" s="44" t="str">
        <f t="shared" si="2000"/>
        <v>Initial</v>
      </c>
      <c r="N999" s="5" t="str">
        <f t="shared" si="5"/>
        <v>0</v>
      </c>
      <c r="O999" s="5" t="str">
        <f t="shared" si="6"/>
        <v>du</v>
      </c>
      <c r="P999" s="5" t="str">
        <f t="shared" si="7"/>
        <v>0</v>
      </c>
      <c r="Q999" s="5" t="str">
        <f t="shared" si="8"/>
        <v>du</v>
      </c>
      <c r="R999" s="5"/>
      <c r="S999" s="3" t="s">
        <v>2938</v>
      </c>
      <c r="T999" s="3" t="s">
        <v>2939</v>
      </c>
      <c r="U999" s="3" t="s">
        <v>22</v>
      </c>
      <c r="V999" s="5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>
      <c r="A1000" s="3" t="s">
        <v>14</v>
      </c>
      <c r="B1000" s="3" t="s">
        <v>2934</v>
      </c>
      <c r="C1000" s="3" t="s">
        <v>2935</v>
      </c>
      <c r="D1000" s="3" t="s">
        <v>2936</v>
      </c>
      <c r="E1000" s="3" t="s">
        <v>2937</v>
      </c>
      <c r="F1000" s="3" t="s">
        <v>387</v>
      </c>
      <c r="G1000" s="3" t="s">
        <v>387</v>
      </c>
      <c r="H1000" s="43">
        <f t="shared" ref="H1000:I1000" si="2001">LEN(D1000)-LEN(B1000)+1</f>
        <v>2</v>
      </c>
      <c r="I1000" s="43">
        <f t="shared" si="2001"/>
        <v>2</v>
      </c>
      <c r="J1000" s="4">
        <v>2.0</v>
      </c>
      <c r="K1000" s="4">
        <v>2.0</v>
      </c>
      <c r="L1000" s="5" t="str">
        <f t="shared" ref="L1000:M1000" si="2002">IFS(J1000="-", "-", J1000=H1000, "Final", J1000=1, "Initial", J1000&gt;1, "Medial")</f>
        <v>Final</v>
      </c>
      <c r="M1000" s="44" t="str">
        <f t="shared" si="2002"/>
        <v>Final</v>
      </c>
      <c r="N1000" s="5" t="str">
        <f t="shared" si="5"/>
        <v>ˈsɛ</v>
      </c>
      <c r="O1000" s="5">
        <f t="shared" si="6"/>
        <v>2</v>
      </c>
      <c r="P1000" s="5" t="str">
        <f t="shared" si="7"/>
        <v>ˈse</v>
      </c>
      <c r="Q1000" s="5">
        <f t="shared" si="8"/>
        <v>2</v>
      </c>
      <c r="R1000" s="5"/>
      <c r="S1000" s="3" t="s">
        <v>2938</v>
      </c>
      <c r="T1000" s="3" t="s">
        <v>2939</v>
      </c>
      <c r="U1000" s="3" t="s">
        <v>22</v>
      </c>
      <c r="V1000" s="5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>
      <c r="A1001" s="3" t="s">
        <v>14</v>
      </c>
      <c r="B1001" s="3" t="s">
        <v>2940</v>
      </c>
      <c r="C1001" s="3" t="s">
        <v>2941</v>
      </c>
      <c r="D1001" s="3" t="s">
        <v>2942</v>
      </c>
      <c r="E1001" s="3" t="s">
        <v>2943</v>
      </c>
      <c r="F1001" s="3" t="s">
        <v>2944</v>
      </c>
      <c r="G1001" s="3" t="s">
        <v>987</v>
      </c>
      <c r="H1001" s="43">
        <f t="shared" ref="H1001:I1001" si="2003">LEN(D1001)-LEN(B1001)+1</f>
        <v>3</v>
      </c>
      <c r="I1001" s="43">
        <f t="shared" si="2003"/>
        <v>5</v>
      </c>
      <c r="J1001" s="4">
        <v>1.0</v>
      </c>
      <c r="K1001" s="4">
        <v>1.0</v>
      </c>
      <c r="L1001" s="5" t="str">
        <f t="shared" ref="L1001:M1001" si="2004">IFS(J1001="-", "-", J1001=H1001, "Final", J1001=1, "Initial", J1001&gt;1, "Medial")</f>
        <v>Initial</v>
      </c>
      <c r="M1001" s="44" t="str">
        <f t="shared" si="2004"/>
        <v>Initial</v>
      </c>
      <c r="N1001" s="5" t="str">
        <f t="shared" si="5"/>
        <v>0</v>
      </c>
      <c r="O1001" s="5" t="str">
        <f t="shared" si="6"/>
        <v>dɐ</v>
      </c>
      <c r="P1001" s="5" t="str">
        <f t="shared" si="7"/>
        <v>0</v>
      </c>
      <c r="Q1001" s="5" t="str">
        <f t="shared" si="8"/>
        <v>gũ</v>
      </c>
      <c r="R1001" s="3" t="s">
        <v>80</v>
      </c>
      <c r="S1001" s="3" t="s">
        <v>2945</v>
      </c>
      <c r="T1001" s="3" t="s">
        <v>2946</v>
      </c>
      <c r="U1001" s="3" t="s">
        <v>22</v>
      </c>
      <c r="V1001" s="5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>
      <c r="A1002" s="3" t="s">
        <v>14</v>
      </c>
      <c r="B1002" s="3" t="s">
        <v>2940</v>
      </c>
      <c r="C1002" s="3" t="s">
        <v>2941</v>
      </c>
      <c r="D1002" s="3" t="s">
        <v>2942</v>
      </c>
      <c r="E1002" s="3" t="s">
        <v>2943</v>
      </c>
      <c r="F1002" s="3" t="s">
        <v>116</v>
      </c>
      <c r="G1002" s="3" t="s">
        <v>2947</v>
      </c>
      <c r="H1002" s="43">
        <f t="shared" ref="H1002:I1002" si="2005">LEN(D1002)-LEN(B1002)+1</f>
        <v>3</v>
      </c>
      <c r="I1002" s="43">
        <f t="shared" si="2005"/>
        <v>5</v>
      </c>
      <c r="J1002" s="4">
        <v>2.0</v>
      </c>
      <c r="K1002" s="4">
        <v>2.0</v>
      </c>
      <c r="L1002" s="5" t="str">
        <f t="shared" ref="L1002:M1002" si="2006">IFS(J1002="-", "-", J1002=H1002, "Final", J1002=1, "Initial", J1002&gt;1, "Medial")</f>
        <v>Medial</v>
      </c>
      <c r="M1002" s="44" t="str">
        <f t="shared" si="2006"/>
        <v>Medial</v>
      </c>
      <c r="N1002" s="5" t="str">
        <f t="shared" si="5"/>
        <v>sũ</v>
      </c>
      <c r="O1002" s="5" t="str">
        <f t="shared" si="6"/>
        <v>-</v>
      </c>
      <c r="P1002" s="5" t="str">
        <f t="shared" si="7"/>
        <v>sɨ</v>
      </c>
      <c r="Q1002" s="5" t="str">
        <f t="shared" si="8"/>
        <v>dɐ</v>
      </c>
      <c r="R1002" s="5"/>
      <c r="S1002" s="3" t="s">
        <v>2945</v>
      </c>
      <c r="T1002" s="3" t="s">
        <v>2946</v>
      </c>
      <c r="U1002" s="3" t="s">
        <v>22</v>
      </c>
      <c r="V1002" s="5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>
      <c r="A1003" s="3" t="s">
        <v>14</v>
      </c>
      <c r="B1003" s="3" t="s">
        <v>2940</v>
      </c>
      <c r="C1003" s="3" t="s">
        <v>2941</v>
      </c>
      <c r="D1003" s="3" t="s">
        <v>2942</v>
      </c>
      <c r="E1003" s="3" t="s">
        <v>2943</v>
      </c>
      <c r="F1003" s="3" t="s">
        <v>36</v>
      </c>
      <c r="G1003" s="3" t="s">
        <v>116</v>
      </c>
      <c r="H1003" s="43">
        <f t="shared" ref="H1003:I1003" si="2007">LEN(D1003)-LEN(B1003)+1</f>
        <v>3</v>
      </c>
      <c r="I1003" s="43">
        <f t="shared" si="2007"/>
        <v>5</v>
      </c>
      <c r="J1003" s="4" t="s">
        <v>36</v>
      </c>
      <c r="K1003" s="4">
        <v>3.0</v>
      </c>
      <c r="L1003" s="5" t="str">
        <f t="shared" ref="L1003:M1003" si="2008">IFS(J1003="-", "-", J1003=H1003, "Final", J1003=1, "Initial", J1003&gt;1, "Medial")</f>
        <v>-</v>
      </c>
      <c r="M1003" s="44" t="str">
        <f t="shared" si="2008"/>
        <v>Medial</v>
      </c>
      <c r="N1003" s="5" t="str">
        <f t="shared" si="5"/>
        <v>dɐ</v>
      </c>
      <c r="O1003" s="5" t="str">
        <f t="shared" si="6"/>
        <v>ˈfjɐ</v>
      </c>
      <c r="P1003" s="5" t="str">
        <f t="shared" si="7"/>
        <v>gũ</v>
      </c>
      <c r="Q1003" s="5" t="str">
        <f t="shared" si="8"/>
        <v>ˈfej</v>
      </c>
      <c r="R1003" s="3"/>
      <c r="S1003" s="3" t="s">
        <v>2945</v>
      </c>
      <c r="T1003" s="3" t="s">
        <v>2946</v>
      </c>
      <c r="U1003" s="3" t="s">
        <v>22</v>
      </c>
      <c r="V1003" s="5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>
      <c r="A1004" s="3" t="s">
        <v>14</v>
      </c>
      <c r="B1004" s="3" t="s">
        <v>2940</v>
      </c>
      <c r="C1004" s="3" t="s">
        <v>2941</v>
      </c>
      <c r="D1004" s="3" t="s">
        <v>2942</v>
      </c>
      <c r="E1004" s="3" t="s">
        <v>2943</v>
      </c>
      <c r="F1004" s="3" t="s">
        <v>2948</v>
      </c>
      <c r="G1004" s="3" t="s">
        <v>1923</v>
      </c>
      <c r="H1004" s="43">
        <f t="shared" ref="H1004:I1004" si="2009">LEN(D1004)-LEN(B1004)+1</f>
        <v>3</v>
      </c>
      <c r="I1004" s="43">
        <f t="shared" si="2009"/>
        <v>5</v>
      </c>
      <c r="J1004" s="4">
        <v>3.0</v>
      </c>
      <c r="K1004" s="4">
        <v>4.0</v>
      </c>
      <c r="L1004" s="5" t="str">
        <f t="shared" ref="L1004:M1004" si="2010">IFS(J1004="-", "-", J1004=H1004, "Final", J1004=1, "Initial", J1004&gt;1, "Medial")</f>
        <v>Final</v>
      </c>
      <c r="M1004" s="44" t="str">
        <f t="shared" si="2010"/>
        <v>Medial</v>
      </c>
      <c r="N1004" s="5" t="str">
        <f t="shared" si="5"/>
        <v>-</v>
      </c>
      <c r="O1004" s="5" t="str">
        <f t="shared" si="6"/>
        <v>-</v>
      </c>
      <c r="P1004" s="5" t="str">
        <f t="shared" si="7"/>
        <v>dɐ</v>
      </c>
      <c r="Q1004" s="5" t="str">
        <f t="shared" si="8"/>
        <v>ɾɐ</v>
      </c>
      <c r="R1004" s="3"/>
      <c r="S1004" s="3" t="s">
        <v>2945</v>
      </c>
      <c r="T1004" s="3" t="s">
        <v>2946</v>
      </c>
      <c r="U1004" s="3" t="s">
        <v>22</v>
      </c>
      <c r="V1004" s="5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>
      <c r="A1005" s="3" t="s">
        <v>14</v>
      </c>
      <c r="B1005" s="3" t="s">
        <v>2940</v>
      </c>
      <c r="C1005" s="3" t="s">
        <v>2941</v>
      </c>
      <c r="D1005" s="3" t="s">
        <v>2942</v>
      </c>
      <c r="E1005" s="3" t="s">
        <v>2943</v>
      </c>
      <c r="F1005" s="17" t="s">
        <v>36</v>
      </c>
      <c r="G1005" s="3" t="s">
        <v>103</v>
      </c>
      <c r="H1005" s="43">
        <f t="shared" ref="H1005:I1005" si="2011">LEN(D1005)-LEN(B1005)+1</f>
        <v>3</v>
      </c>
      <c r="I1005" s="43">
        <f t="shared" si="2011"/>
        <v>5</v>
      </c>
      <c r="J1005" s="4" t="s">
        <v>36</v>
      </c>
      <c r="K1005" s="4">
        <v>5.0</v>
      </c>
      <c r="L1005" s="5" t="str">
        <f t="shared" ref="L1005:M1005" si="2012">IFS(J1005="-", "-", J1005=H1005, "Final", J1005=1, "Initial", J1005&gt;1, "Medial")</f>
        <v>-</v>
      </c>
      <c r="M1005" s="44" t="str">
        <f t="shared" si="2012"/>
        <v>Final</v>
      </c>
      <c r="N1005" s="5" t="str">
        <f t="shared" si="5"/>
        <v>ˈfjɐ</v>
      </c>
      <c r="O1005" s="5" t="str">
        <f t="shared" si="6"/>
        <v>-</v>
      </c>
      <c r="P1005" s="5" t="str">
        <f t="shared" si="7"/>
        <v>ˈfej</v>
      </c>
      <c r="Q1005" s="5">
        <f t="shared" si="8"/>
        <v>5</v>
      </c>
      <c r="R1005" s="5"/>
      <c r="S1005" s="3" t="s">
        <v>2945</v>
      </c>
      <c r="T1005" s="3" t="s">
        <v>2946</v>
      </c>
      <c r="U1005" s="3" t="s">
        <v>22</v>
      </c>
      <c r="V1005" s="5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>
      <c r="A1006" s="3" t="s">
        <v>14</v>
      </c>
      <c r="B1006" s="3" t="s">
        <v>2949</v>
      </c>
      <c r="C1006" s="3" t="s">
        <v>2950</v>
      </c>
      <c r="D1006" s="3" t="s">
        <v>2951</v>
      </c>
      <c r="E1006" s="3" t="s">
        <v>2952</v>
      </c>
      <c r="F1006" s="3" t="s">
        <v>2953</v>
      </c>
      <c r="G1006" s="3" t="s">
        <v>2954</v>
      </c>
      <c r="H1006" s="43">
        <f t="shared" ref="H1006:I1006" si="2013">LEN(D1006)-LEN(B1006)+1</f>
        <v>3</v>
      </c>
      <c r="I1006" s="43">
        <f t="shared" si="2013"/>
        <v>4</v>
      </c>
      <c r="J1006" s="4">
        <v>1.0</v>
      </c>
      <c r="K1006" s="4">
        <v>1.0</v>
      </c>
      <c r="L1006" s="5" t="str">
        <f t="shared" ref="L1006:M1006" si="2014">IFS(J1006="-", "-", J1006=H1006, "Final", J1006=1, "Initial", J1006&gt;1, "Medial")</f>
        <v>Initial</v>
      </c>
      <c r="M1006" s="44" t="str">
        <f t="shared" si="2014"/>
        <v>Initial</v>
      </c>
      <c r="N1006" s="5" t="str">
        <f t="shared" si="5"/>
        <v>0</v>
      </c>
      <c r="O1006" s="5" t="str">
        <f t="shared" si="6"/>
        <v>tɐ</v>
      </c>
      <c r="P1006" s="5" t="str">
        <f t="shared" si="7"/>
        <v>0</v>
      </c>
      <c r="Q1006" s="5" t="str">
        <f t="shared" si="8"/>
        <v>tɐ</v>
      </c>
      <c r="R1006" s="3" t="s">
        <v>80</v>
      </c>
      <c r="S1006" s="3" t="s">
        <v>2955</v>
      </c>
      <c r="T1006" s="3" t="s">
        <v>2956</v>
      </c>
      <c r="U1006" s="3" t="s">
        <v>22</v>
      </c>
      <c r="V1006" s="5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>
      <c r="A1007" s="3" t="s">
        <v>14</v>
      </c>
      <c r="B1007" s="3" t="s">
        <v>2949</v>
      </c>
      <c r="C1007" s="3" t="s">
        <v>2950</v>
      </c>
      <c r="D1007" s="3" t="s">
        <v>2951</v>
      </c>
      <c r="E1007" s="3" t="s">
        <v>2952</v>
      </c>
      <c r="F1007" s="3" t="s">
        <v>238</v>
      </c>
      <c r="G1007" s="3" t="s">
        <v>238</v>
      </c>
      <c r="H1007" s="43">
        <f t="shared" ref="H1007:I1007" si="2015">LEN(D1007)-LEN(B1007)+1</f>
        <v>3</v>
      </c>
      <c r="I1007" s="43">
        <f t="shared" si="2015"/>
        <v>4</v>
      </c>
      <c r="J1007" s="4">
        <v>2.0</v>
      </c>
      <c r="K1007" s="4">
        <v>2.0</v>
      </c>
      <c r="L1007" s="5" t="str">
        <f t="shared" ref="L1007:M1007" si="2016">IFS(J1007="-", "-", J1007=H1007, "Final", J1007=1, "Initial", J1007&gt;1, "Medial")</f>
        <v>Medial</v>
      </c>
      <c r="M1007" s="44" t="str">
        <f t="shared" si="2016"/>
        <v>Medial</v>
      </c>
      <c r="N1007" s="5" t="str">
        <f t="shared" si="5"/>
        <v>ˈseʃ</v>
      </c>
      <c r="O1007" s="5" t="str">
        <f t="shared" si="6"/>
        <v>ˈfja</v>
      </c>
      <c r="P1007" s="5" t="str">
        <f t="shared" si="7"/>
        <v>ˈsɐʃ</v>
      </c>
      <c r="Q1007" s="5" t="str">
        <f t="shared" si="8"/>
        <v>ˈfɐj</v>
      </c>
      <c r="R1007" s="5"/>
      <c r="S1007" s="3" t="s">
        <v>2955</v>
      </c>
      <c r="T1007" s="3" t="s">
        <v>2956</v>
      </c>
      <c r="U1007" s="3" t="s">
        <v>22</v>
      </c>
      <c r="V1007" s="5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>
      <c r="A1008" s="3" t="s">
        <v>14</v>
      </c>
      <c r="B1008" s="3" t="s">
        <v>2949</v>
      </c>
      <c r="C1008" s="3" t="s">
        <v>2950</v>
      </c>
      <c r="D1008" s="3" t="s">
        <v>2951</v>
      </c>
      <c r="E1008" s="3" t="s">
        <v>2952</v>
      </c>
      <c r="F1008" s="3" t="s">
        <v>1920</v>
      </c>
      <c r="G1008" s="3" t="s">
        <v>2877</v>
      </c>
      <c r="H1008" s="43">
        <f t="shared" ref="H1008:I1008" si="2017">LEN(D1008)-LEN(B1008)+1</f>
        <v>3</v>
      </c>
      <c r="I1008" s="43">
        <f t="shared" si="2017"/>
        <v>4</v>
      </c>
      <c r="J1008" s="4">
        <v>3.0</v>
      </c>
      <c r="K1008" s="4">
        <v>3.0</v>
      </c>
      <c r="L1008" s="5" t="str">
        <f t="shared" ref="L1008:M1008" si="2018">IFS(J1008="-", "-", J1008=H1008, "Final", J1008=1, "Initial", J1008&gt;1, "Medial")</f>
        <v>Final</v>
      </c>
      <c r="M1008" s="44" t="str">
        <f t="shared" si="2018"/>
        <v>Medial</v>
      </c>
      <c r="N1008" s="5" t="str">
        <f t="shared" si="5"/>
        <v>tɐ</v>
      </c>
      <c r="O1008" s="5" t="str">
        <f t="shared" si="6"/>
        <v>-</v>
      </c>
      <c r="P1008" s="5" t="str">
        <f t="shared" si="7"/>
        <v>tɐ</v>
      </c>
      <c r="Q1008" s="5" t="str">
        <f t="shared" si="8"/>
        <v>ɾɐ</v>
      </c>
      <c r="R1008" s="3"/>
      <c r="S1008" s="3" t="s">
        <v>2955</v>
      </c>
      <c r="T1008" s="3" t="s">
        <v>2956</v>
      </c>
      <c r="U1008" s="3" t="s">
        <v>22</v>
      </c>
      <c r="V1008" s="5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>
      <c r="A1009" s="3" t="s">
        <v>14</v>
      </c>
      <c r="B1009" s="3" t="s">
        <v>2949</v>
      </c>
      <c r="C1009" s="3" t="s">
        <v>2950</v>
      </c>
      <c r="D1009" s="3" t="s">
        <v>2951</v>
      </c>
      <c r="E1009" s="3" t="s">
        <v>2952</v>
      </c>
      <c r="F1009" s="17" t="s">
        <v>36</v>
      </c>
      <c r="G1009" s="3" t="s">
        <v>103</v>
      </c>
      <c r="H1009" s="43">
        <f t="shared" ref="H1009:I1009" si="2019">LEN(D1009)-LEN(B1009)+1</f>
        <v>3</v>
      </c>
      <c r="I1009" s="43">
        <f t="shared" si="2019"/>
        <v>4</v>
      </c>
      <c r="J1009" s="4" t="s">
        <v>36</v>
      </c>
      <c r="K1009" s="4">
        <v>4.0</v>
      </c>
      <c r="L1009" s="5" t="str">
        <f t="shared" ref="L1009:M1009" si="2020">IFS(J1009="-", "-", J1009=H1009, "Final", J1009=1, "Initial", J1009&gt;1, "Medial")</f>
        <v>-</v>
      </c>
      <c r="M1009" s="44" t="str">
        <f t="shared" si="2020"/>
        <v>Final</v>
      </c>
      <c r="N1009" s="5" t="str">
        <f t="shared" si="5"/>
        <v>ˈfja</v>
      </c>
      <c r="O1009" s="5" t="str">
        <f t="shared" si="6"/>
        <v>-</v>
      </c>
      <c r="P1009" s="5" t="str">
        <f t="shared" si="7"/>
        <v>ˈfɐj</v>
      </c>
      <c r="Q1009" s="5">
        <f t="shared" si="8"/>
        <v>4</v>
      </c>
      <c r="R1009" s="5"/>
      <c r="S1009" s="3" t="s">
        <v>2955</v>
      </c>
      <c r="T1009" s="3" t="s">
        <v>2956</v>
      </c>
      <c r="U1009" s="3" t="s">
        <v>22</v>
      </c>
      <c r="V1009" s="5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>
      <c r="A1010" s="3" t="s">
        <v>14</v>
      </c>
      <c r="B1010" s="3" t="s">
        <v>2957</v>
      </c>
      <c r="C1010" s="3" t="s">
        <v>2958</v>
      </c>
      <c r="D1010" s="3" t="s">
        <v>2959</v>
      </c>
      <c r="E1010" s="3" t="s">
        <v>2960</v>
      </c>
      <c r="F1010" s="3" t="s">
        <v>401</v>
      </c>
      <c r="G1010" s="3" t="s">
        <v>987</v>
      </c>
      <c r="H1010" s="43">
        <f t="shared" ref="H1010:I1010" si="2021">LEN(D1010)-LEN(B1010)+1</f>
        <v>3</v>
      </c>
      <c r="I1010" s="43">
        <f t="shared" si="2021"/>
        <v>3</v>
      </c>
      <c r="J1010" s="4">
        <v>1.0</v>
      </c>
      <c r="K1010" s="4">
        <v>1.0</v>
      </c>
      <c r="L1010" s="5" t="str">
        <f t="shared" ref="L1010:M1010" si="2022">IFS(J1010="-", "-", J1010=H1010, "Final", J1010=1, "Initial", J1010&gt;1, "Medial")</f>
        <v>Initial</v>
      </c>
      <c r="M1010" s="44" t="str">
        <f t="shared" si="2022"/>
        <v>Initial</v>
      </c>
      <c r="N1010" s="5" t="str">
        <f t="shared" si="5"/>
        <v>0</v>
      </c>
      <c r="O1010" s="5" t="str">
        <f t="shared" si="6"/>
        <v>ˈtɛ̃</v>
      </c>
      <c r="P1010" s="5" t="str">
        <f t="shared" si="7"/>
        <v>0</v>
      </c>
      <c r="Q1010" s="5" t="str">
        <f t="shared" si="8"/>
        <v>ˈtẽ</v>
      </c>
      <c r="R1010" s="5"/>
      <c r="S1010" s="3" t="s">
        <v>2961</v>
      </c>
      <c r="T1010" s="3" t="s">
        <v>2962</v>
      </c>
      <c r="U1010" s="3" t="s">
        <v>22</v>
      </c>
      <c r="V1010" s="5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>
      <c r="A1011" s="3" t="s">
        <v>14</v>
      </c>
      <c r="B1011" s="3" t="s">
        <v>2957</v>
      </c>
      <c r="C1011" s="3" t="s">
        <v>2958</v>
      </c>
      <c r="D1011" s="3" t="s">
        <v>2959</v>
      </c>
      <c r="E1011" s="3" t="s">
        <v>2960</v>
      </c>
      <c r="F1011" s="3" t="s">
        <v>2963</v>
      </c>
      <c r="G1011" s="3" t="s">
        <v>2964</v>
      </c>
      <c r="H1011" s="43">
        <f t="shared" ref="H1011:I1011" si="2023">LEN(D1011)-LEN(B1011)+1</f>
        <v>3</v>
      </c>
      <c r="I1011" s="43">
        <f t="shared" si="2023"/>
        <v>3</v>
      </c>
      <c r="J1011" s="4">
        <v>2.0</v>
      </c>
      <c r="K1011" s="4">
        <v>2.0</v>
      </c>
      <c r="L1011" s="5" t="str">
        <f t="shared" ref="L1011:M1011" si="2024">IFS(J1011="-", "-", J1011=H1011, "Final", J1011=1, "Initial", J1011&gt;1, "Medial")</f>
        <v>Medial</v>
      </c>
      <c r="M1011" s="44" t="str">
        <f t="shared" si="2024"/>
        <v>Medial</v>
      </c>
      <c r="N1011" s="5" t="str">
        <f t="shared" si="5"/>
        <v>sɛ</v>
      </c>
      <c r="O1011" s="5" t="str">
        <f t="shared" si="6"/>
        <v>bu</v>
      </c>
      <c r="P1011" s="5" t="str">
        <f t="shared" si="7"/>
        <v>sɨ</v>
      </c>
      <c r="Q1011" s="5" t="str">
        <f t="shared" si="8"/>
        <v>bɾu</v>
      </c>
      <c r="R1011" s="5"/>
      <c r="S1011" s="3" t="s">
        <v>2965</v>
      </c>
      <c r="T1011" s="3" t="s">
        <v>2962</v>
      </c>
      <c r="U1011" s="3" t="s">
        <v>22</v>
      </c>
      <c r="V1011" s="5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</row>
    <row r="1012">
      <c r="A1012" s="3" t="s">
        <v>14</v>
      </c>
      <c r="B1012" s="3" t="s">
        <v>2957</v>
      </c>
      <c r="C1012" s="3" t="s">
        <v>2958</v>
      </c>
      <c r="D1012" s="3" t="s">
        <v>2959</v>
      </c>
      <c r="E1012" s="3" t="s">
        <v>2960</v>
      </c>
      <c r="F1012" s="3" t="s">
        <v>143</v>
      </c>
      <c r="G1012" s="3" t="s">
        <v>1116</v>
      </c>
      <c r="H1012" s="43">
        <f t="shared" ref="H1012:I1012" si="2025">LEN(D1012)-LEN(B1012)+1</f>
        <v>3</v>
      </c>
      <c r="I1012" s="43">
        <f t="shared" si="2025"/>
        <v>3</v>
      </c>
      <c r="J1012" s="4">
        <v>3.0</v>
      </c>
      <c r="K1012" s="4">
        <v>3.0</v>
      </c>
      <c r="L1012" s="5" t="str">
        <f t="shared" ref="L1012:M1012" si="2026">IFS(J1012="-", "-", J1012=H1012, "Final", J1012=1, "Initial", J1012&gt;1, "Medial")</f>
        <v>Final</v>
      </c>
      <c r="M1012" s="44" t="str">
        <f t="shared" si="2026"/>
        <v>Final</v>
      </c>
      <c r="N1012" s="5" t="str">
        <f t="shared" si="5"/>
        <v>ˈtɛ̃</v>
      </c>
      <c r="O1012" s="5">
        <f t="shared" si="6"/>
        <v>3</v>
      </c>
      <c r="P1012" s="5" t="str">
        <f t="shared" si="7"/>
        <v>ˈtẽ</v>
      </c>
      <c r="Q1012" s="5">
        <f t="shared" si="8"/>
        <v>3</v>
      </c>
      <c r="R1012" s="5"/>
      <c r="S1012" s="3" t="s">
        <v>2965</v>
      </c>
      <c r="T1012" s="3" t="s">
        <v>2962</v>
      </c>
      <c r="U1012" s="3" t="s">
        <v>22</v>
      </c>
      <c r="V1012" s="5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>
      <c r="A1013" s="3" t="s">
        <v>14</v>
      </c>
      <c r="B1013" s="3" t="s">
        <v>2966</v>
      </c>
      <c r="C1013" s="3" t="s">
        <v>2967</v>
      </c>
      <c r="D1013" s="3" t="s">
        <v>2968</v>
      </c>
      <c r="E1013" s="3" t="s">
        <v>2969</v>
      </c>
      <c r="F1013" s="3" t="s">
        <v>1075</v>
      </c>
      <c r="G1013" s="3" t="s">
        <v>1076</v>
      </c>
      <c r="H1013" s="43">
        <f t="shared" ref="H1013:I1013" si="2027">LEN(D1013)-LEN(B1013)+1</f>
        <v>2</v>
      </c>
      <c r="I1013" s="43">
        <f t="shared" si="2027"/>
        <v>2</v>
      </c>
      <c r="J1013" s="4">
        <v>1.0</v>
      </c>
      <c r="K1013" s="4">
        <v>1.0</v>
      </c>
      <c r="L1013" s="5" t="str">
        <f t="shared" ref="L1013:M1013" si="2028">IFS(J1013="-", "-", J1013=H1013, "Final", J1013=1, "Initial", J1013&gt;1, "Medial")</f>
        <v>Initial</v>
      </c>
      <c r="M1013" s="44" t="str">
        <f t="shared" si="2028"/>
        <v>Initial</v>
      </c>
      <c r="N1013" s="5" t="str">
        <f t="shared" si="5"/>
        <v>0</v>
      </c>
      <c r="O1013" s="5" t="str">
        <f t="shared" si="6"/>
        <v>di</v>
      </c>
      <c r="P1013" s="5" t="str">
        <f t="shared" si="7"/>
        <v>0</v>
      </c>
      <c r="Q1013" s="5" t="str">
        <f t="shared" si="8"/>
        <v>dɨ</v>
      </c>
      <c r="R1013" s="5"/>
      <c r="S1013" s="3" t="s">
        <v>2970</v>
      </c>
      <c r="T1013" s="3" t="s">
        <v>2971</v>
      </c>
      <c r="U1013" s="3" t="s">
        <v>22</v>
      </c>
      <c r="V1013" s="5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</row>
    <row r="1014">
      <c r="A1014" s="3" t="s">
        <v>14</v>
      </c>
      <c r="B1014" s="3" t="s">
        <v>2966</v>
      </c>
      <c r="C1014" s="3" t="s">
        <v>2967</v>
      </c>
      <c r="D1014" s="3" t="s">
        <v>2968</v>
      </c>
      <c r="E1014" s="3" t="s">
        <v>2969</v>
      </c>
      <c r="F1014" s="3" t="s">
        <v>172</v>
      </c>
      <c r="G1014" s="3" t="s">
        <v>334</v>
      </c>
      <c r="H1014" s="43">
        <f t="shared" ref="H1014:I1014" si="2029">LEN(D1014)-LEN(B1014)+1</f>
        <v>2</v>
      </c>
      <c r="I1014" s="43">
        <f t="shared" si="2029"/>
        <v>2</v>
      </c>
      <c r="J1014" s="4">
        <v>2.0</v>
      </c>
      <c r="K1014" s="4">
        <v>2.0</v>
      </c>
      <c r="L1014" s="5" t="str">
        <f t="shared" ref="L1014:M1014" si="2030">IFS(J1014="-", "-", J1014=H1014, "Final", J1014=1, "Initial", J1014&gt;1, "Medial")</f>
        <v>Final</v>
      </c>
      <c r="M1014" s="44" t="str">
        <f t="shared" si="2030"/>
        <v>Final</v>
      </c>
      <c r="N1014" s="5" t="str">
        <f t="shared" si="5"/>
        <v>ˈta</v>
      </c>
      <c r="O1014" s="5">
        <f t="shared" si="6"/>
        <v>2</v>
      </c>
      <c r="P1014" s="5" t="str">
        <f t="shared" si="7"/>
        <v>ˈtaɾ</v>
      </c>
      <c r="Q1014" s="5">
        <f t="shared" si="8"/>
        <v>2</v>
      </c>
      <c r="R1014" s="5"/>
      <c r="S1014" s="3" t="s">
        <v>2970</v>
      </c>
      <c r="T1014" s="3" t="s">
        <v>2971</v>
      </c>
      <c r="U1014" s="3" t="s">
        <v>22</v>
      </c>
      <c r="V1014" s="5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>
      <c r="A1015" s="3" t="s">
        <v>14</v>
      </c>
      <c r="B1015" s="3" t="s">
        <v>2972</v>
      </c>
      <c r="C1015" s="3" t="s">
        <v>2973</v>
      </c>
      <c r="D1015" s="3" t="s">
        <v>2974</v>
      </c>
      <c r="E1015" s="3" t="s">
        <v>2975</v>
      </c>
      <c r="F1015" s="3" t="s">
        <v>2023</v>
      </c>
      <c r="G1015" s="3" t="s">
        <v>1041</v>
      </c>
      <c r="H1015" s="43">
        <f t="shared" ref="H1015:I1015" si="2031">LEN(D1015)-LEN(B1015)+1</f>
        <v>3</v>
      </c>
      <c r="I1015" s="43">
        <f t="shared" si="2031"/>
        <v>3</v>
      </c>
      <c r="J1015" s="4">
        <v>1.0</v>
      </c>
      <c r="K1015" s="4">
        <v>1.0</v>
      </c>
      <c r="L1015" s="5" t="str">
        <f t="shared" ref="L1015:M1015" si="2032">IFS(J1015="-", "-", J1015=H1015, "Final", J1015=1, "Initial", J1015&gt;1, "Medial")</f>
        <v>Initial</v>
      </c>
      <c r="M1015" s="44" t="str">
        <f t="shared" si="2032"/>
        <v>Initial</v>
      </c>
      <c r="N1015" s="5" t="str">
        <f t="shared" si="5"/>
        <v>0</v>
      </c>
      <c r="O1015" s="5" t="str">
        <f t="shared" si="6"/>
        <v>sɐ</v>
      </c>
      <c r="P1015" s="5" t="str">
        <f t="shared" si="7"/>
        <v>0</v>
      </c>
      <c r="Q1015" s="5" t="str">
        <f t="shared" si="8"/>
        <v>sɐ</v>
      </c>
      <c r="R1015" s="3"/>
      <c r="S1015" s="3" t="s">
        <v>2976</v>
      </c>
      <c r="T1015" s="3" t="s">
        <v>2977</v>
      </c>
      <c r="U1015" s="3" t="s">
        <v>22</v>
      </c>
      <c r="V1015" s="5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</row>
    <row r="1016">
      <c r="A1016" s="3" t="s">
        <v>14</v>
      </c>
      <c r="B1016" s="3" t="s">
        <v>2972</v>
      </c>
      <c r="C1016" s="3" t="s">
        <v>2973</v>
      </c>
      <c r="D1016" s="3" t="s">
        <v>2974</v>
      </c>
      <c r="E1016" s="3" t="s">
        <v>2975</v>
      </c>
      <c r="F1016" s="3" t="s">
        <v>402</v>
      </c>
      <c r="G1016" s="3" t="s">
        <v>402</v>
      </c>
      <c r="H1016" s="43">
        <f t="shared" ref="H1016:I1016" si="2033">LEN(D1016)-LEN(B1016)+1</f>
        <v>3</v>
      </c>
      <c r="I1016" s="43">
        <f t="shared" si="2033"/>
        <v>3</v>
      </c>
      <c r="J1016" s="4">
        <v>2.0</v>
      </c>
      <c r="K1016" s="4">
        <v>2.0</v>
      </c>
      <c r="L1016" s="5" t="str">
        <f t="shared" ref="L1016:M1016" si="2034">IFS(J1016="-", "-", J1016=H1016, "Final", J1016=1, "Initial", J1016&gt;1, "Medial")</f>
        <v>Medial</v>
      </c>
      <c r="M1016" s="44" t="str">
        <f t="shared" si="2034"/>
        <v>Medial</v>
      </c>
      <c r="N1016" s="5" t="str">
        <f t="shared" si="5"/>
        <v>ˈtɛ</v>
      </c>
      <c r="O1016" s="5" t="str">
        <f t="shared" si="6"/>
        <v>ˈfja</v>
      </c>
      <c r="P1016" s="5" t="str">
        <f t="shared" si="7"/>
        <v>ˈteɾ</v>
      </c>
      <c r="Q1016" s="5" t="str">
        <f t="shared" si="8"/>
        <v>ˈfɐj</v>
      </c>
      <c r="R1016" s="5"/>
      <c r="S1016" s="3" t="s">
        <v>2976</v>
      </c>
      <c r="T1016" s="3" t="s">
        <v>2977</v>
      </c>
      <c r="U1016" s="3" t="s">
        <v>22</v>
      </c>
      <c r="V1016" s="5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</row>
    <row r="1017">
      <c r="A1017" s="3" t="s">
        <v>14</v>
      </c>
      <c r="B1017" s="3" t="s">
        <v>2972</v>
      </c>
      <c r="C1017" s="3" t="s">
        <v>2973</v>
      </c>
      <c r="D1017" s="3" t="s">
        <v>2974</v>
      </c>
      <c r="E1017" s="3" t="s">
        <v>2975</v>
      </c>
      <c r="F1017" s="3" t="s">
        <v>1920</v>
      </c>
      <c r="G1017" s="3" t="s">
        <v>2877</v>
      </c>
      <c r="H1017" s="43">
        <f t="shared" ref="H1017:I1017" si="2035">LEN(D1017)-LEN(B1017)+1</f>
        <v>3</v>
      </c>
      <c r="I1017" s="43">
        <f t="shared" si="2035"/>
        <v>3</v>
      </c>
      <c r="J1017" s="4">
        <v>3.0</v>
      </c>
      <c r="K1017" s="4">
        <v>3.0</v>
      </c>
      <c r="L1017" s="5" t="str">
        <f t="shared" ref="L1017:M1017" si="2036">IFS(J1017="-", "-", J1017=H1017, "Final", J1017=1, "Initial", J1017&gt;1, "Medial")</f>
        <v>Final</v>
      </c>
      <c r="M1017" s="44" t="str">
        <f t="shared" si="2036"/>
        <v>Final</v>
      </c>
      <c r="N1017" s="5" t="str">
        <f t="shared" si="5"/>
        <v>sɐ</v>
      </c>
      <c r="O1017" s="5" t="str">
        <f t="shared" si="6"/>
        <v>-</v>
      </c>
      <c r="P1017" s="5" t="str">
        <f t="shared" si="7"/>
        <v>sɐ</v>
      </c>
      <c r="Q1017" s="5" t="str">
        <f t="shared" si="8"/>
        <v>ɾɐ</v>
      </c>
      <c r="R1017" s="3"/>
      <c r="S1017" s="3" t="s">
        <v>2976</v>
      </c>
      <c r="T1017" s="3" t="s">
        <v>2977</v>
      </c>
      <c r="U1017" s="3" t="s">
        <v>22</v>
      </c>
      <c r="V1017" s="5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>
      <c r="A1018" s="3" t="s">
        <v>14</v>
      </c>
      <c r="B1018" s="3" t="s">
        <v>2972</v>
      </c>
      <c r="C1018" s="3" t="s">
        <v>2973</v>
      </c>
      <c r="D1018" s="3" t="s">
        <v>2974</v>
      </c>
      <c r="E1018" s="3" t="s">
        <v>2975</v>
      </c>
      <c r="F1018" s="17" t="s">
        <v>36</v>
      </c>
      <c r="G1018" s="3" t="s">
        <v>103</v>
      </c>
      <c r="H1018" s="43">
        <f t="shared" ref="H1018:I1018" si="2037">LEN(D1018)-LEN(B1018)+1</f>
        <v>3</v>
      </c>
      <c r="I1018" s="43">
        <f t="shared" si="2037"/>
        <v>3</v>
      </c>
      <c r="J1018" s="4" t="s">
        <v>36</v>
      </c>
      <c r="K1018" s="4">
        <v>4.0</v>
      </c>
      <c r="L1018" s="5" t="str">
        <f t="shared" ref="L1018:M1018" si="2038">IFS(J1018="-", "-", J1018=H1018, "Final", J1018=1, "Initial", J1018&gt;1, "Medial")</f>
        <v>-</v>
      </c>
      <c r="M1018" s="44" t="str">
        <f t="shared" si="2038"/>
        <v>Medial</v>
      </c>
      <c r="N1018" s="5" t="str">
        <f t="shared" si="5"/>
        <v>ˈfja</v>
      </c>
      <c r="O1018" s="5" t="str">
        <f t="shared" si="6"/>
        <v>-</v>
      </c>
      <c r="P1018" s="5" t="str">
        <f t="shared" si="7"/>
        <v>ˈfɐj</v>
      </c>
      <c r="Q1018" s="5">
        <f t="shared" si="8"/>
        <v>4</v>
      </c>
      <c r="R1018" s="5"/>
      <c r="S1018" s="3" t="s">
        <v>2976</v>
      </c>
      <c r="T1018" s="3" t="s">
        <v>2977</v>
      </c>
      <c r="U1018" s="3" t="s">
        <v>22</v>
      </c>
      <c r="V1018" s="5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</row>
    <row r="1019">
      <c r="A1019" s="3" t="s">
        <v>14</v>
      </c>
      <c r="B1019" s="3" t="s">
        <v>2978</v>
      </c>
      <c r="C1019" s="3" t="s">
        <v>2979</v>
      </c>
      <c r="D1019" s="3" t="s">
        <v>2980</v>
      </c>
      <c r="E1019" s="3" t="s">
        <v>2981</v>
      </c>
      <c r="F1019" s="3" t="s">
        <v>2982</v>
      </c>
      <c r="G1019" s="3" t="s">
        <v>758</v>
      </c>
      <c r="H1019" s="43">
        <f t="shared" ref="H1019:I1019" si="2039">LEN(D1019)-LEN(B1019)+1</f>
        <v>2</v>
      </c>
      <c r="I1019" s="43">
        <f t="shared" si="2039"/>
        <v>3</v>
      </c>
      <c r="J1019" s="4">
        <v>1.0</v>
      </c>
      <c r="K1019" s="4">
        <v>1.0</v>
      </c>
      <c r="L1019" s="5" t="str">
        <f t="shared" ref="L1019:M1019" si="2040">IFS(J1019="-", "-", J1019=H1019, "Final", J1019=1, "Initial", J1019&gt;1, "Medial")</f>
        <v>Initial</v>
      </c>
      <c r="M1019" s="44" t="str">
        <f t="shared" si="2040"/>
        <v>Initial</v>
      </c>
      <c r="N1019" s="5" t="str">
        <f t="shared" si="5"/>
        <v>0</v>
      </c>
      <c r="O1019" s="5" t="str">
        <f t="shared" si="6"/>
        <v>ˈnew</v>
      </c>
      <c r="P1019" s="5" t="str">
        <f t="shared" si="7"/>
        <v>0</v>
      </c>
      <c r="Q1019" s="5" t="str">
        <f t="shared" si="8"/>
        <v>ˈnej</v>
      </c>
      <c r="S1019" s="3" t="s">
        <v>2983</v>
      </c>
      <c r="T1019" s="3" t="s">
        <v>2984</v>
      </c>
      <c r="U1019" s="3" t="s">
        <v>22</v>
      </c>
      <c r="V1019" s="5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</row>
    <row r="1020">
      <c r="A1020" s="3" t="s">
        <v>14</v>
      </c>
      <c r="B1020" s="3" t="s">
        <v>2978</v>
      </c>
      <c r="C1020" s="3" t="s">
        <v>2979</v>
      </c>
      <c r="D1020" s="3" t="s">
        <v>2980</v>
      </c>
      <c r="E1020" s="3" t="s">
        <v>2981</v>
      </c>
      <c r="F1020" s="3" t="s">
        <v>2985</v>
      </c>
      <c r="G1020" s="3" t="s">
        <v>2986</v>
      </c>
      <c r="H1020" s="43">
        <f t="shared" ref="H1020:I1020" si="2041">LEN(D1020)-LEN(B1020)+1</f>
        <v>2</v>
      </c>
      <c r="I1020" s="43">
        <f t="shared" si="2041"/>
        <v>3</v>
      </c>
      <c r="J1020" s="4">
        <v>2.0</v>
      </c>
      <c r="K1020" s="4">
        <v>2.0</v>
      </c>
      <c r="L1020" s="5" t="str">
        <f t="shared" ref="L1020:M1020" si="2042">IFS(J1020="-", "-", J1020=H1020, "Final", J1020=1, "Initial", J1020&gt;1, "Medial")</f>
        <v>Final</v>
      </c>
      <c r="M1020" s="44" t="str">
        <f t="shared" si="2042"/>
        <v>Medial</v>
      </c>
      <c r="N1020" s="5" t="str">
        <f t="shared" si="5"/>
        <v>ʒa</v>
      </c>
      <c r="O1020" s="5" t="str">
        <f t="shared" si="6"/>
        <v>-</v>
      </c>
      <c r="P1020" s="5" t="str">
        <f t="shared" si="7"/>
        <v>ʒɐ</v>
      </c>
      <c r="Q1020" s="5" t="str">
        <f t="shared" si="8"/>
        <v>ɾu</v>
      </c>
      <c r="R1020" s="3"/>
      <c r="S1020" s="3" t="s">
        <v>2983</v>
      </c>
      <c r="T1020" s="3" t="s">
        <v>2984</v>
      </c>
      <c r="U1020" s="3" t="s">
        <v>22</v>
      </c>
      <c r="V1020" s="5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</row>
    <row r="1021">
      <c r="A1021" s="3" t="s">
        <v>14</v>
      </c>
      <c r="B1021" s="3" t="s">
        <v>2978</v>
      </c>
      <c r="C1021" s="3" t="s">
        <v>2979</v>
      </c>
      <c r="D1021" s="3" t="s">
        <v>2980</v>
      </c>
      <c r="E1021" s="3" t="s">
        <v>2981</v>
      </c>
      <c r="F1021" s="17" t="s">
        <v>36</v>
      </c>
      <c r="G1021" s="3" t="s">
        <v>1983</v>
      </c>
      <c r="H1021" s="43">
        <f t="shared" ref="H1021:I1021" si="2043">LEN(D1021)-LEN(B1021)+1</f>
        <v>2</v>
      </c>
      <c r="I1021" s="43">
        <f t="shared" si="2043"/>
        <v>3</v>
      </c>
      <c r="J1021" s="4" t="s">
        <v>36</v>
      </c>
      <c r="K1021" s="4">
        <v>3.0</v>
      </c>
      <c r="L1021" s="5" t="str">
        <f t="shared" ref="L1021:M1021" si="2044">IFS(J1021="-", "-", J1021=H1021, "Final", J1021=1, "Initial", J1021&gt;1, "Medial")</f>
        <v>-</v>
      </c>
      <c r="M1021" s="44" t="str">
        <f t="shared" si="2044"/>
        <v>Final</v>
      </c>
      <c r="N1021" s="5" t="str">
        <f t="shared" si="5"/>
        <v>ˈnew</v>
      </c>
      <c r="O1021" s="5" t="str">
        <f t="shared" si="6"/>
        <v>-</v>
      </c>
      <c r="P1021" s="5" t="str">
        <f t="shared" si="7"/>
        <v>ˈnej</v>
      </c>
      <c r="Q1021" s="5">
        <f t="shared" si="8"/>
        <v>3</v>
      </c>
      <c r="R1021" s="5"/>
      <c r="S1021" s="3" t="s">
        <v>2983</v>
      </c>
      <c r="T1021" s="3" t="s">
        <v>2984</v>
      </c>
      <c r="U1021" s="3" t="s">
        <v>22</v>
      </c>
      <c r="V1021" s="5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</row>
    <row r="1022">
      <c r="A1022" s="3" t="s">
        <v>14</v>
      </c>
      <c r="B1022" s="3" t="s">
        <v>2987</v>
      </c>
      <c r="C1022" s="3" t="s">
        <v>2988</v>
      </c>
      <c r="D1022" s="3" t="s">
        <v>2989</v>
      </c>
      <c r="E1022" s="3" t="s">
        <v>2990</v>
      </c>
      <c r="F1022" s="3" t="s">
        <v>2991</v>
      </c>
      <c r="G1022" s="3" t="s">
        <v>2991</v>
      </c>
      <c r="H1022" s="43">
        <f t="shared" ref="H1022:I1022" si="2045">LEN(D1022)-LEN(B1022)+1</f>
        <v>2</v>
      </c>
      <c r="I1022" s="43">
        <f t="shared" si="2045"/>
        <v>2</v>
      </c>
      <c r="J1022" s="4">
        <v>1.0</v>
      </c>
      <c r="K1022" s="4">
        <v>1.0</v>
      </c>
      <c r="L1022" s="5" t="str">
        <f t="shared" ref="L1022:M1022" si="2046">IFS(J1022="-", "-", J1022=H1022, "Final", J1022=1, "Initial", J1022&gt;1, "Medial")</f>
        <v>Initial</v>
      </c>
      <c r="M1022" s="44" t="str">
        <f t="shared" si="2046"/>
        <v>Initial</v>
      </c>
      <c r="N1022" s="5" t="str">
        <f t="shared" si="5"/>
        <v>0</v>
      </c>
      <c r="O1022" s="5" t="str">
        <f t="shared" si="6"/>
        <v>lu</v>
      </c>
      <c r="P1022" s="5" t="str">
        <f t="shared" si="7"/>
        <v>0</v>
      </c>
      <c r="Q1022" s="5" t="str">
        <f t="shared" si="8"/>
        <v>ʎu</v>
      </c>
      <c r="R1022" s="5"/>
      <c r="S1022" s="3" t="s">
        <v>2992</v>
      </c>
      <c r="T1022" s="3" t="s">
        <v>2993</v>
      </c>
      <c r="U1022" s="3" t="s">
        <v>22</v>
      </c>
      <c r="V1022" s="5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>
      <c r="A1023" s="3" t="s">
        <v>14</v>
      </c>
      <c r="B1023" s="3" t="s">
        <v>2987</v>
      </c>
      <c r="C1023" s="3" t="s">
        <v>2988</v>
      </c>
      <c r="D1023" s="3" t="s">
        <v>2989</v>
      </c>
      <c r="E1023" s="3" t="s">
        <v>2990</v>
      </c>
      <c r="F1023" s="3" t="s">
        <v>245</v>
      </c>
      <c r="G1023" s="3" t="s">
        <v>24</v>
      </c>
      <c r="H1023" s="43">
        <f t="shared" ref="H1023:I1023" si="2047">LEN(D1023)-LEN(B1023)+1</f>
        <v>2</v>
      </c>
      <c r="I1023" s="43">
        <f t="shared" si="2047"/>
        <v>2</v>
      </c>
      <c r="J1023" s="4">
        <v>2.0</v>
      </c>
      <c r="K1023" s="4">
        <v>2.0</v>
      </c>
      <c r="L1023" s="5" t="str">
        <f t="shared" ref="L1023:M1023" si="2048">IFS(J1023="-", "-", J1023=H1023, "Final", J1023=1, "Initial", J1023&gt;1, "Medial")</f>
        <v>Final</v>
      </c>
      <c r="M1023" s="44" t="str">
        <f t="shared" si="2048"/>
        <v>Final</v>
      </c>
      <c r="N1023" s="5" t="str">
        <f t="shared" si="5"/>
        <v>ˈʒu</v>
      </c>
      <c r="O1023" s="5">
        <f t="shared" si="6"/>
        <v>2</v>
      </c>
      <c r="P1023" s="5" t="str">
        <f t="shared" si="7"/>
        <v>ˈʒu</v>
      </c>
      <c r="Q1023" s="5">
        <f t="shared" si="8"/>
        <v>2</v>
      </c>
      <c r="R1023" s="5"/>
      <c r="S1023" s="3" t="s">
        <v>2992</v>
      </c>
      <c r="T1023" s="3" t="s">
        <v>2993</v>
      </c>
      <c r="U1023" s="3" t="s">
        <v>22</v>
      </c>
      <c r="V1023" s="5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</row>
    <row r="1024">
      <c r="A1024" s="3" t="s">
        <v>14</v>
      </c>
      <c r="B1024" s="3" t="s">
        <v>2994</v>
      </c>
      <c r="C1024" s="3" t="s">
        <v>2995</v>
      </c>
      <c r="D1024" s="3" t="s">
        <v>2996</v>
      </c>
      <c r="E1024" s="3" t="s">
        <v>2997</v>
      </c>
      <c r="F1024" s="3" t="s">
        <v>2998</v>
      </c>
      <c r="G1024" s="3" t="s">
        <v>2991</v>
      </c>
      <c r="H1024" s="43">
        <f t="shared" ref="H1024:I1024" si="2049">LEN(D1024)-LEN(B1024)+1</f>
        <v>2</v>
      </c>
      <c r="I1024" s="43">
        <f t="shared" si="2049"/>
        <v>2</v>
      </c>
      <c r="J1024" s="4">
        <v>1.0</v>
      </c>
      <c r="K1024" s="4">
        <v>1.0</v>
      </c>
      <c r="L1024" s="5" t="str">
        <f t="shared" ref="L1024:M1024" si="2050">IFS(J1024="-", "-", J1024=H1024, "Final", J1024=1, "Initial", J1024&gt;1, "Medial")</f>
        <v>Initial</v>
      </c>
      <c r="M1024" s="44" t="str">
        <f t="shared" si="2050"/>
        <v>Initial</v>
      </c>
      <c r="N1024" s="5" t="str">
        <f t="shared" si="5"/>
        <v>0</v>
      </c>
      <c r="O1024" s="5" t="str">
        <f t="shared" si="6"/>
        <v>ɲu</v>
      </c>
      <c r="P1024" s="5" t="str">
        <f t="shared" si="7"/>
        <v>0</v>
      </c>
      <c r="Q1024" s="5" t="str">
        <f t="shared" si="8"/>
        <v>ɲu</v>
      </c>
      <c r="R1024" s="5"/>
      <c r="S1024" s="3" t="s">
        <v>2815</v>
      </c>
      <c r="T1024" s="3" t="s">
        <v>2999</v>
      </c>
      <c r="U1024" s="3" t="s">
        <v>22</v>
      </c>
      <c r="V1024" s="5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</row>
    <row r="1025">
      <c r="A1025" s="3" t="s">
        <v>14</v>
      </c>
      <c r="B1025" s="3" t="s">
        <v>2994</v>
      </c>
      <c r="C1025" s="3" t="s">
        <v>2995</v>
      </c>
      <c r="D1025" s="3" t="s">
        <v>2996</v>
      </c>
      <c r="E1025" s="3" t="s">
        <v>2997</v>
      </c>
      <c r="F1025" s="3" t="s">
        <v>1899</v>
      </c>
      <c r="G1025" s="3" t="s">
        <v>1899</v>
      </c>
      <c r="H1025" s="43">
        <f t="shared" ref="H1025:I1025" si="2051">LEN(D1025)-LEN(B1025)+1</f>
        <v>2</v>
      </c>
      <c r="I1025" s="43">
        <f t="shared" si="2051"/>
        <v>2</v>
      </c>
      <c r="J1025" s="4">
        <v>2.0</v>
      </c>
      <c r="K1025" s="4">
        <v>2.0</v>
      </c>
      <c r="L1025" s="5" t="str">
        <f t="shared" ref="L1025:M1025" si="2052">IFS(J1025="-", "-", J1025=H1025, "Final", J1025=1, "Initial", J1025&gt;1, "Medial")</f>
        <v>Final</v>
      </c>
      <c r="M1025" s="44" t="str">
        <f t="shared" si="2052"/>
        <v>Final</v>
      </c>
      <c r="N1025" s="5" t="str">
        <f t="shared" si="5"/>
        <v>ˈzũ</v>
      </c>
      <c r="O1025" s="5">
        <f t="shared" si="6"/>
        <v>2</v>
      </c>
      <c r="P1025" s="5" t="str">
        <f t="shared" si="7"/>
        <v>ˈʒu</v>
      </c>
      <c r="Q1025" s="5">
        <f t="shared" si="8"/>
        <v>2</v>
      </c>
      <c r="R1025" s="5"/>
      <c r="S1025" s="3" t="s">
        <v>2815</v>
      </c>
      <c r="T1025" s="3" t="s">
        <v>2999</v>
      </c>
      <c r="U1025" s="3" t="s">
        <v>22</v>
      </c>
      <c r="V1025" s="5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</row>
    <row r="1026">
      <c r="A1026" s="3" t="s">
        <v>14</v>
      </c>
      <c r="B1026" s="3" t="s">
        <v>3000</v>
      </c>
      <c r="C1026" s="3" t="s">
        <v>3001</v>
      </c>
      <c r="D1026" s="3" t="s">
        <v>3002</v>
      </c>
      <c r="E1026" s="3" t="s">
        <v>3003</v>
      </c>
      <c r="F1026" s="3" t="s">
        <v>19</v>
      </c>
      <c r="G1026" s="3" t="s">
        <v>2570</v>
      </c>
      <c r="H1026" s="43">
        <f t="shared" ref="H1026:I1026" si="2053">LEN(D1026)-LEN(B1026)+1</f>
        <v>3</v>
      </c>
      <c r="I1026" s="43">
        <f t="shared" si="2053"/>
        <v>2</v>
      </c>
      <c r="J1026" s="4">
        <v>1.0</v>
      </c>
      <c r="K1026" s="4">
        <v>1.0</v>
      </c>
      <c r="L1026" s="5" t="str">
        <f t="shared" ref="L1026:M1026" si="2054">IFS(J1026="-", "-", J1026=H1026, "Final", J1026=1, "Initial", J1026&gt;1, "Medial")</f>
        <v>Initial</v>
      </c>
      <c r="M1026" s="44" t="str">
        <f t="shared" si="2054"/>
        <v>Initial</v>
      </c>
      <c r="N1026" s="5" t="str">
        <f t="shared" si="5"/>
        <v>0</v>
      </c>
      <c r="O1026" s="5" t="str">
        <f t="shared" si="6"/>
        <v>li</v>
      </c>
      <c r="P1026" s="5" t="str">
        <f t="shared" si="7"/>
        <v>0</v>
      </c>
      <c r="Q1026" s="5" t="str">
        <f t="shared" si="8"/>
        <v>-</v>
      </c>
      <c r="R1026" s="3" t="s">
        <v>80</v>
      </c>
      <c r="S1026" s="3" t="s">
        <v>3004</v>
      </c>
      <c r="T1026" s="3" t="s">
        <v>3005</v>
      </c>
      <c r="U1026" s="3" t="s">
        <v>22</v>
      </c>
      <c r="V1026" s="5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</row>
    <row r="1027">
      <c r="A1027" s="3" t="s">
        <v>14</v>
      </c>
      <c r="B1027" s="3" t="s">
        <v>3000</v>
      </c>
      <c r="C1027" s="3" t="s">
        <v>3001</v>
      </c>
      <c r="D1027" s="3" t="s">
        <v>3002</v>
      </c>
      <c r="E1027" s="3" t="s">
        <v>3003</v>
      </c>
      <c r="F1027" s="3" t="s">
        <v>197</v>
      </c>
      <c r="G1027" s="3" t="s">
        <v>36</v>
      </c>
      <c r="H1027" s="43">
        <f t="shared" ref="H1027:I1027" si="2055">LEN(D1027)-LEN(B1027)+1</f>
        <v>3</v>
      </c>
      <c r="I1027" s="43">
        <f t="shared" si="2055"/>
        <v>2</v>
      </c>
      <c r="J1027" s="4">
        <v>2.0</v>
      </c>
      <c r="K1027" s="4" t="s">
        <v>36</v>
      </c>
      <c r="L1027" s="5" t="str">
        <f t="shared" ref="L1027:M1027" si="2056">IFS(J1027="-", "-", J1027=H1027, "Final", J1027=1, "Initial", J1027&gt;1, "Medial")</f>
        <v>Medial</v>
      </c>
      <c r="M1027" s="44" t="str">
        <f t="shared" si="2056"/>
        <v>-</v>
      </c>
      <c r="N1027" s="5" t="str">
        <f t="shared" si="5"/>
        <v>ˈa</v>
      </c>
      <c r="O1027" s="5" t="str">
        <f t="shared" si="6"/>
        <v>mɐ</v>
      </c>
      <c r="P1027" s="5" t="str">
        <f t="shared" si="7"/>
        <v>ˈal</v>
      </c>
      <c r="Q1027" s="5" t="str">
        <f t="shared" si="8"/>
        <v>mɐ</v>
      </c>
      <c r="R1027" s="3" t="s">
        <v>80</v>
      </c>
      <c r="S1027" s="3" t="s">
        <v>3004</v>
      </c>
      <c r="T1027" s="3" t="s">
        <v>3005</v>
      </c>
      <c r="U1027" s="3" t="s">
        <v>22</v>
      </c>
      <c r="V1027" s="5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>
      <c r="A1028" s="3" t="s">
        <v>14</v>
      </c>
      <c r="B1028" s="3" t="s">
        <v>3000</v>
      </c>
      <c r="C1028" s="3" t="s">
        <v>3001</v>
      </c>
      <c r="D1028" s="3" t="s">
        <v>3002</v>
      </c>
      <c r="E1028" s="3" t="s">
        <v>3003</v>
      </c>
      <c r="F1028" s="3" t="s">
        <v>158</v>
      </c>
      <c r="G1028" s="3" t="s">
        <v>158</v>
      </c>
      <c r="H1028" s="43">
        <f t="shared" ref="H1028:I1028" si="2057">LEN(D1028)-LEN(B1028)+1</f>
        <v>3</v>
      </c>
      <c r="I1028" s="43">
        <f t="shared" si="2057"/>
        <v>2</v>
      </c>
      <c r="J1028" s="4">
        <v>3.0</v>
      </c>
      <c r="K1028" s="4">
        <v>2.0</v>
      </c>
      <c r="L1028" s="5" t="str">
        <f t="shared" ref="L1028:M1028" si="2058">IFS(J1028="-", "-", J1028=H1028, "Final", J1028=1, "Initial", J1028&gt;1, "Medial")</f>
        <v>Final</v>
      </c>
      <c r="M1028" s="44" t="str">
        <f t="shared" si="2058"/>
        <v>Final</v>
      </c>
      <c r="N1028" s="5" t="str">
        <f t="shared" si="5"/>
        <v>li</v>
      </c>
      <c r="O1028" s="5">
        <f t="shared" si="6"/>
        <v>3</v>
      </c>
      <c r="P1028" s="5" t="str">
        <f t="shared" si="7"/>
        <v>-</v>
      </c>
      <c r="Q1028" s="5">
        <f t="shared" si="8"/>
        <v>2</v>
      </c>
      <c r="R1028" s="5"/>
      <c r="S1028" s="3" t="s">
        <v>3004</v>
      </c>
      <c r="T1028" s="3" t="s">
        <v>3005</v>
      </c>
      <c r="U1028" s="3" t="s">
        <v>22</v>
      </c>
      <c r="V1028" s="5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</row>
    <row r="1029">
      <c r="A1029" s="3" t="s">
        <v>14</v>
      </c>
      <c r="B1029" s="3" t="s">
        <v>3006</v>
      </c>
      <c r="C1029" s="3" t="s">
        <v>3007</v>
      </c>
      <c r="D1029" s="3" t="s">
        <v>3008</v>
      </c>
      <c r="E1029" s="3" t="s">
        <v>3007</v>
      </c>
      <c r="F1029" s="3" t="s">
        <v>1331</v>
      </c>
      <c r="G1029" s="3" t="s">
        <v>3007</v>
      </c>
      <c r="H1029" s="43">
        <f t="shared" ref="H1029:I1029" si="2059">LEN(D1029)-LEN(B1029)+1</f>
        <v>2</v>
      </c>
      <c r="I1029" s="43">
        <f t="shared" si="2059"/>
        <v>1</v>
      </c>
      <c r="J1029" s="4">
        <v>1.0</v>
      </c>
      <c r="K1029" s="4">
        <v>1.0</v>
      </c>
      <c r="L1029" s="5" t="str">
        <f t="shared" ref="L1029:M1029" si="2060">IFS(J1029="-", "-", J1029=H1029, "Final", J1029=1, "Initial", J1029&gt;1, "Medial")</f>
        <v>Initial</v>
      </c>
      <c r="M1029" s="44" t="str">
        <f t="shared" si="2060"/>
        <v>Final</v>
      </c>
      <c r="N1029" s="5" t="str">
        <f t="shared" si="5"/>
        <v>0</v>
      </c>
      <c r="O1029" s="5" t="str">
        <f t="shared" si="6"/>
        <v>su</v>
      </c>
      <c r="P1029" s="5" t="str">
        <f t="shared" si="7"/>
        <v>0</v>
      </c>
      <c r="Q1029" s="5" t="str">
        <f t="shared" si="8"/>
        <v>-</v>
      </c>
      <c r="R1029" s="5"/>
      <c r="S1029" s="3" t="s">
        <v>3009</v>
      </c>
      <c r="T1029" s="3" t="s">
        <v>3010</v>
      </c>
      <c r="U1029" s="3" t="s">
        <v>22</v>
      </c>
      <c r="V1029" s="5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</row>
    <row r="1030">
      <c r="A1030" s="3" t="s">
        <v>14</v>
      </c>
      <c r="B1030" s="3" t="s">
        <v>3006</v>
      </c>
      <c r="C1030" s="3" t="s">
        <v>3007</v>
      </c>
      <c r="D1030" s="3" t="s">
        <v>3008</v>
      </c>
      <c r="E1030" s="3" t="s">
        <v>3007</v>
      </c>
      <c r="F1030" s="3" t="s">
        <v>362</v>
      </c>
      <c r="G1030" s="3" t="s">
        <v>36</v>
      </c>
      <c r="H1030" s="43">
        <f t="shared" ref="H1030:I1030" si="2061">LEN(D1030)-LEN(B1030)+1</f>
        <v>2</v>
      </c>
      <c r="I1030" s="43">
        <f t="shared" si="2061"/>
        <v>1</v>
      </c>
      <c r="J1030" s="4">
        <v>2.0</v>
      </c>
      <c r="K1030" s="4" t="s">
        <v>36</v>
      </c>
      <c r="L1030" s="5" t="str">
        <f t="shared" ref="L1030:M1030" si="2062">IFS(J1030="-", "-", J1030=H1030, "Final", J1030=1, "Initial", J1030&gt;1, "Medial")</f>
        <v>Final</v>
      </c>
      <c r="M1030" s="44" t="str">
        <f t="shared" si="2062"/>
        <v>-</v>
      </c>
      <c r="N1030" s="5" t="str">
        <f t="shared" si="5"/>
        <v>ˈde</v>
      </c>
      <c r="O1030" s="5">
        <f t="shared" si="6"/>
        <v>2</v>
      </c>
      <c r="P1030" s="5" t="str">
        <f t="shared" si="7"/>
        <v>ˈdewʃ</v>
      </c>
      <c r="Q1030" s="5" t="str">
        <f t="shared" si="8"/>
        <v>-</v>
      </c>
      <c r="R1030" s="5"/>
      <c r="S1030" s="3" t="s">
        <v>3009</v>
      </c>
      <c r="T1030" s="3" t="s">
        <v>3010</v>
      </c>
      <c r="U1030" s="3" t="s">
        <v>22</v>
      </c>
      <c r="V1030" s="5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</row>
    <row r="1031">
      <c r="A1031" s="3" t="s">
        <v>14</v>
      </c>
      <c r="B1031" s="3" t="s">
        <v>3011</v>
      </c>
      <c r="C1031" s="3" t="s">
        <v>3012</v>
      </c>
      <c r="D1031" s="3" t="s">
        <v>3013</v>
      </c>
      <c r="E1031" s="3" t="s">
        <v>3014</v>
      </c>
      <c r="F1031" s="3" t="s">
        <v>128</v>
      </c>
      <c r="G1031" s="17" t="s">
        <v>36</v>
      </c>
      <c r="H1031" s="43">
        <f t="shared" ref="H1031:I1031" si="2063">LEN(D1031)-LEN(B1031)+1</f>
        <v>3</v>
      </c>
      <c r="I1031" s="43">
        <f t="shared" si="2063"/>
        <v>3</v>
      </c>
      <c r="J1031" s="4">
        <v>1.0</v>
      </c>
      <c r="K1031" s="4" t="s">
        <v>36</v>
      </c>
      <c r="L1031" s="5" t="str">
        <f t="shared" ref="L1031:M1031" si="2064">IFS(J1031="-", "-", J1031=H1031, "Final", J1031=1, "Initial", J1031&gt;1, "Medial")</f>
        <v>Initial</v>
      </c>
      <c r="M1031" s="44" t="str">
        <f t="shared" si="2064"/>
        <v>-</v>
      </c>
      <c r="N1031" s="5" t="str">
        <f t="shared" si="5"/>
        <v>0</v>
      </c>
      <c r="O1031" s="5" t="str">
        <f t="shared" si="6"/>
        <v>ˈdja</v>
      </c>
      <c r="P1031" s="5" t="str">
        <f t="shared" si="7"/>
        <v>0</v>
      </c>
      <c r="Q1031" s="5" t="str">
        <f t="shared" si="8"/>
        <v>di</v>
      </c>
      <c r="R1031" s="5"/>
      <c r="S1031" s="3" t="s">
        <v>3015</v>
      </c>
      <c r="T1031" s="3" t="s">
        <v>3016</v>
      </c>
      <c r="U1031" s="3" t="s">
        <v>22</v>
      </c>
      <c r="V1031" s="5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</row>
    <row r="1032">
      <c r="A1032" s="3" t="s">
        <v>14</v>
      </c>
      <c r="B1032" s="3" t="s">
        <v>3011</v>
      </c>
      <c r="C1032" s="3" t="s">
        <v>3012</v>
      </c>
      <c r="D1032" s="3" t="s">
        <v>3013</v>
      </c>
      <c r="E1032" s="3" t="s">
        <v>3014</v>
      </c>
      <c r="F1032" s="3" t="s">
        <v>409</v>
      </c>
      <c r="G1032" s="3" t="s">
        <v>172</v>
      </c>
      <c r="H1032" s="43">
        <f t="shared" ref="H1032:I1032" si="2065">LEN(D1032)-LEN(B1032)+1</f>
        <v>3</v>
      </c>
      <c r="I1032" s="43">
        <f t="shared" si="2065"/>
        <v>3</v>
      </c>
      <c r="J1032" s="4">
        <v>2.0</v>
      </c>
      <c r="K1032" s="4">
        <v>1.0</v>
      </c>
      <c r="L1032" s="5" t="str">
        <f t="shared" ref="L1032:M1032" si="2066">IFS(J1032="-", "-", J1032=H1032, "Final", J1032=1, "Initial", J1032&gt;1, "Medial")</f>
        <v>Medial</v>
      </c>
      <c r="M1032" s="44" t="str">
        <f t="shared" si="2066"/>
        <v>Initial</v>
      </c>
      <c r="N1032" s="5" t="str">
        <f t="shared" si="5"/>
        <v>u</v>
      </c>
      <c r="O1032" s="5" t="str">
        <f t="shared" si="6"/>
        <v>-</v>
      </c>
      <c r="P1032" s="5" t="str">
        <f t="shared" si="7"/>
        <v>-</v>
      </c>
      <c r="Q1032" s="5" t="str">
        <f t="shared" si="8"/>
        <v>ˈa</v>
      </c>
      <c r="R1032" s="5"/>
      <c r="S1032" s="3" t="s">
        <v>3015</v>
      </c>
      <c r="T1032" s="3" t="s">
        <v>3016</v>
      </c>
      <c r="U1032" s="3" t="s">
        <v>22</v>
      </c>
      <c r="V1032" s="5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>
      <c r="A1033" s="3" t="s">
        <v>14</v>
      </c>
      <c r="B1033" s="3" t="s">
        <v>3011</v>
      </c>
      <c r="C1033" s="3" t="s">
        <v>3012</v>
      </c>
      <c r="D1033" s="3" t="s">
        <v>3013</v>
      </c>
      <c r="E1033" s="3" t="s">
        <v>3014</v>
      </c>
      <c r="F1033" s="17" t="s">
        <v>36</v>
      </c>
      <c r="G1033" s="3" t="s">
        <v>19</v>
      </c>
      <c r="H1033" s="43">
        <f t="shared" ref="H1033:I1033" si="2067">LEN(D1033)-LEN(B1033)+1</f>
        <v>3</v>
      </c>
      <c r="I1033" s="43">
        <f t="shared" si="2067"/>
        <v>3</v>
      </c>
      <c r="J1033" s="4" t="s">
        <v>36</v>
      </c>
      <c r="K1033" s="4">
        <v>2.0</v>
      </c>
      <c r="L1033" s="5" t="str">
        <f t="shared" ref="L1033:M1033" si="2068">IFS(J1033="-", "-", J1033=H1033, "Final", J1033=1, "Initial", J1033&gt;1, "Medial")</f>
        <v>-</v>
      </c>
      <c r="M1033" s="44" t="str">
        <f t="shared" si="2068"/>
        <v>Medial</v>
      </c>
      <c r="N1033" s="5" t="str">
        <f t="shared" si="5"/>
        <v>ˈdja</v>
      </c>
      <c r="O1033" s="5" t="str">
        <f t="shared" si="6"/>
        <v>bu</v>
      </c>
      <c r="P1033" s="5" t="str">
        <f t="shared" si="7"/>
        <v>di</v>
      </c>
      <c r="Q1033" s="5" t="str">
        <f t="shared" si="8"/>
        <v>bu</v>
      </c>
      <c r="R1033" s="5"/>
      <c r="S1033" s="3" t="s">
        <v>3015</v>
      </c>
      <c r="T1033" s="3" t="s">
        <v>3016</v>
      </c>
      <c r="U1033" s="3" t="s">
        <v>22</v>
      </c>
      <c r="V1033" s="5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</row>
    <row r="1034">
      <c r="A1034" s="3" t="s">
        <v>14</v>
      </c>
      <c r="B1034" s="3" t="s">
        <v>3011</v>
      </c>
      <c r="C1034" s="3" t="s">
        <v>3012</v>
      </c>
      <c r="D1034" s="3" t="s">
        <v>3013</v>
      </c>
      <c r="E1034" s="3" t="s">
        <v>3014</v>
      </c>
      <c r="F1034" s="3" t="s">
        <v>143</v>
      </c>
      <c r="G1034" s="3" t="s">
        <v>143</v>
      </c>
      <c r="H1034" s="43">
        <f t="shared" ref="H1034:I1034" si="2069">LEN(D1034)-LEN(B1034)+1</f>
        <v>3</v>
      </c>
      <c r="I1034" s="43">
        <f t="shared" si="2069"/>
        <v>3</v>
      </c>
      <c r="J1034" s="4">
        <v>3.0</v>
      </c>
      <c r="K1034" s="4">
        <v>3.0</v>
      </c>
      <c r="L1034" s="5" t="str">
        <f t="shared" ref="L1034:M1034" si="2070">IFS(J1034="-", "-", J1034=H1034, "Final", J1034=1, "Initial", J1034&gt;1, "Medial")</f>
        <v>Final</v>
      </c>
      <c r="M1034" s="44" t="str">
        <f t="shared" si="2070"/>
        <v>Final</v>
      </c>
      <c r="N1034" s="5" t="str">
        <f t="shared" si="5"/>
        <v>-</v>
      </c>
      <c r="O1034" s="5">
        <f t="shared" si="6"/>
        <v>3</v>
      </c>
      <c r="P1034" s="5" t="str">
        <f t="shared" si="7"/>
        <v>ˈa</v>
      </c>
      <c r="Q1034" s="5">
        <f t="shared" si="8"/>
        <v>3</v>
      </c>
      <c r="R1034" s="5"/>
      <c r="S1034" s="3" t="s">
        <v>3015</v>
      </c>
      <c r="T1034" s="3" t="s">
        <v>3016</v>
      </c>
      <c r="U1034" s="3" t="s">
        <v>22</v>
      </c>
      <c r="V1034" s="5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</row>
    <row r="1035">
      <c r="A1035" s="3" t="s">
        <v>14</v>
      </c>
      <c r="B1035" s="3" t="s">
        <v>3017</v>
      </c>
      <c r="C1035" s="3" t="s">
        <v>3018</v>
      </c>
      <c r="D1035" s="3" t="s">
        <v>3019</v>
      </c>
      <c r="E1035" s="3" t="s">
        <v>3020</v>
      </c>
      <c r="F1035" s="3" t="s">
        <v>3021</v>
      </c>
      <c r="G1035" s="3" t="s">
        <v>3022</v>
      </c>
      <c r="H1035" s="43">
        <f t="shared" ref="H1035:I1035" si="2071">LEN(D1035)-LEN(B1035)+1</f>
        <v>2</v>
      </c>
      <c r="I1035" s="43">
        <f t="shared" si="2071"/>
        <v>3</v>
      </c>
      <c r="J1035" s="4">
        <v>1.0</v>
      </c>
      <c r="K1035" s="4">
        <v>1.0</v>
      </c>
      <c r="L1035" s="5" t="str">
        <f t="shared" ref="L1035:M1035" si="2072">IFS(J1035="-", "-", J1035=H1035, "Final", J1035=1, "Initial", J1035&gt;1, "Medial")</f>
        <v>Initial</v>
      </c>
      <c r="M1035" s="44" t="str">
        <f t="shared" si="2072"/>
        <v>Initial</v>
      </c>
      <c r="N1035" s="5" t="str">
        <f t="shared" si="5"/>
        <v>0</v>
      </c>
      <c r="O1035" s="5" t="str">
        <f t="shared" si="6"/>
        <v>-</v>
      </c>
      <c r="P1035" s="5" t="str">
        <f t="shared" si="7"/>
        <v>0</v>
      </c>
      <c r="Q1035" s="5" t="str">
        <f t="shared" si="8"/>
        <v>ɾi</v>
      </c>
      <c r="R1035" s="3" t="s">
        <v>80</v>
      </c>
      <c r="S1035" s="3" t="s">
        <v>3023</v>
      </c>
      <c r="T1035" s="3" t="s">
        <v>3024</v>
      </c>
      <c r="U1035" s="3" t="s">
        <v>22</v>
      </c>
      <c r="V1035" s="5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</row>
    <row r="1036">
      <c r="A1036" s="3" t="s">
        <v>14</v>
      </c>
      <c r="B1036" s="3" t="s">
        <v>3017</v>
      </c>
      <c r="C1036" s="3" t="s">
        <v>3018</v>
      </c>
      <c r="D1036" s="3" t="s">
        <v>3019</v>
      </c>
      <c r="E1036" s="3" t="s">
        <v>3020</v>
      </c>
      <c r="F1036" s="3" t="s">
        <v>36</v>
      </c>
      <c r="G1036" s="3" t="s">
        <v>2024</v>
      </c>
      <c r="H1036" s="43">
        <f t="shared" ref="H1036:I1036" si="2073">LEN(D1036)-LEN(B1036)+1</f>
        <v>2</v>
      </c>
      <c r="I1036" s="43">
        <f t="shared" si="2073"/>
        <v>3</v>
      </c>
      <c r="J1036" s="4" t="s">
        <v>36</v>
      </c>
      <c r="K1036" s="4">
        <v>2.0</v>
      </c>
      <c r="L1036" s="5" t="str">
        <f t="shared" ref="L1036:M1036" si="2074">IFS(J1036="-", "-", J1036=H1036, "Final", J1036=1, "Initial", J1036&gt;1, "Medial")</f>
        <v>-</v>
      </c>
      <c r="M1036" s="44" t="str">
        <f t="shared" si="2074"/>
        <v>Medial</v>
      </c>
      <c r="N1036" s="5" t="str">
        <f t="shared" si="5"/>
        <v>ˈgɔr</v>
      </c>
      <c r="O1036" s="5" t="str">
        <f t="shared" si="6"/>
        <v>ja</v>
      </c>
      <c r="P1036" s="5" t="str">
        <f t="shared" si="7"/>
        <v>ˈglɔ</v>
      </c>
      <c r="Q1036" s="5" t="str">
        <f t="shared" si="8"/>
        <v>ɐ</v>
      </c>
      <c r="R1036" s="3"/>
      <c r="S1036" s="3" t="s">
        <v>3023</v>
      </c>
      <c r="T1036" s="3" t="s">
        <v>3024</v>
      </c>
      <c r="U1036" s="3" t="s">
        <v>22</v>
      </c>
      <c r="V1036" s="5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</row>
    <row r="1037">
      <c r="A1037" s="3" t="s">
        <v>14</v>
      </c>
      <c r="B1037" s="3" t="s">
        <v>3017</v>
      </c>
      <c r="C1037" s="3" t="s">
        <v>3018</v>
      </c>
      <c r="D1037" s="3" t="s">
        <v>3019</v>
      </c>
      <c r="E1037" s="3" t="s">
        <v>3020</v>
      </c>
      <c r="F1037" s="3" t="s">
        <v>3025</v>
      </c>
      <c r="G1037" s="3" t="s">
        <v>49</v>
      </c>
      <c r="H1037" s="43">
        <f t="shared" ref="H1037:I1037" si="2075">LEN(D1037)-LEN(B1037)+1</f>
        <v>2</v>
      </c>
      <c r="I1037" s="43">
        <f t="shared" si="2075"/>
        <v>3</v>
      </c>
      <c r="J1037" s="4">
        <v>2.0</v>
      </c>
      <c r="K1037" s="4">
        <v>3.0</v>
      </c>
      <c r="L1037" s="5" t="str">
        <f t="shared" ref="L1037:M1037" si="2076">IFS(J1037="-", "-", J1037=H1037, "Final", J1037=1, "Initial", J1037&gt;1, "Medial")</f>
        <v>Final</v>
      </c>
      <c r="M1037" s="44" t="str">
        <f t="shared" si="2076"/>
        <v>Final</v>
      </c>
      <c r="N1037" s="5" t="str">
        <f t="shared" si="5"/>
        <v>-</v>
      </c>
      <c r="O1037" s="5">
        <f t="shared" si="6"/>
        <v>2</v>
      </c>
      <c r="P1037" s="5" t="str">
        <f t="shared" si="7"/>
        <v>ɾi</v>
      </c>
      <c r="Q1037" s="5">
        <f t="shared" si="8"/>
        <v>3</v>
      </c>
      <c r="R1037" s="5"/>
      <c r="S1037" s="3" t="s">
        <v>3023</v>
      </c>
      <c r="T1037" s="3" t="s">
        <v>3024</v>
      </c>
      <c r="U1037" s="3" t="s">
        <v>22</v>
      </c>
      <c r="V1037" s="5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>
      <c r="A1038" s="3" t="s">
        <v>14</v>
      </c>
      <c r="B1038" s="3" t="s">
        <v>3026</v>
      </c>
      <c r="C1038" s="3" t="s">
        <v>3027</v>
      </c>
      <c r="D1038" s="3" t="s">
        <v>3028</v>
      </c>
      <c r="E1038" s="3" t="s">
        <v>3027</v>
      </c>
      <c r="F1038" s="3" t="s">
        <v>3029</v>
      </c>
      <c r="G1038" s="3" t="s">
        <v>3027</v>
      </c>
      <c r="H1038" s="43">
        <f t="shared" ref="H1038:I1038" si="2077">LEN(D1038)-LEN(B1038)+1</f>
        <v>2</v>
      </c>
      <c r="I1038" s="43">
        <f t="shared" si="2077"/>
        <v>1</v>
      </c>
      <c r="J1038" s="4">
        <v>1.0</v>
      </c>
      <c r="K1038" s="4">
        <v>1.0</v>
      </c>
      <c r="L1038" s="5" t="str">
        <f t="shared" ref="L1038:M1038" si="2078">IFS(J1038="-", "-", J1038=H1038, "Final", J1038=1, "Initial", J1038&gt;1, "Medial")</f>
        <v>Initial</v>
      </c>
      <c r="M1038" s="44" t="str">
        <f t="shared" si="2078"/>
        <v>Final</v>
      </c>
      <c r="N1038" s="5" t="str">
        <f t="shared" si="5"/>
        <v>0</v>
      </c>
      <c r="O1038" s="5" t="str">
        <f t="shared" si="6"/>
        <v>zu</v>
      </c>
      <c r="P1038" s="5" t="str">
        <f t="shared" si="7"/>
        <v>0</v>
      </c>
      <c r="Q1038" s="5" t="str">
        <f t="shared" si="8"/>
        <v>-</v>
      </c>
      <c r="R1038" s="5"/>
      <c r="S1038" s="3" t="s">
        <v>3030</v>
      </c>
      <c r="T1038" s="3" t="s">
        <v>3031</v>
      </c>
      <c r="U1038" s="3" t="s">
        <v>22</v>
      </c>
      <c r="V1038" s="5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</row>
    <row r="1039">
      <c r="A1039" s="3" t="s">
        <v>14</v>
      </c>
      <c r="B1039" s="3" t="s">
        <v>3026</v>
      </c>
      <c r="C1039" s="3" t="s">
        <v>3027</v>
      </c>
      <c r="D1039" s="3" t="s">
        <v>3028</v>
      </c>
      <c r="E1039" s="3" t="s">
        <v>3027</v>
      </c>
      <c r="F1039" s="3" t="s">
        <v>1823</v>
      </c>
      <c r="G1039" s="3" t="s">
        <v>36</v>
      </c>
      <c r="H1039" s="43">
        <f t="shared" ref="H1039:I1039" si="2079">LEN(D1039)-LEN(B1039)+1</f>
        <v>2</v>
      </c>
      <c r="I1039" s="43">
        <f t="shared" si="2079"/>
        <v>1</v>
      </c>
      <c r="J1039" s="4">
        <v>2.0</v>
      </c>
      <c r="K1039" s="4" t="s">
        <v>36</v>
      </c>
      <c r="L1039" s="5" t="str">
        <f t="shared" ref="L1039:M1039" si="2080">IFS(J1039="-", "-", J1039=H1039, "Final", J1039=1, "Initial", J1039&gt;1, "Medial")</f>
        <v>Final</v>
      </c>
      <c r="M1039" s="44" t="str">
        <f t="shared" si="2080"/>
        <v>-</v>
      </c>
      <c r="N1039" s="5" t="str">
        <f t="shared" si="5"/>
        <v>ˈku:</v>
      </c>
      <c r="O1039" s="5">
        <f t="shared" si="6"/>
        <v>2</v>
      </c>
      <c r="P1039" s="5" t="str">
        <f t="shared" si="7"/>
        <v>ˈkɾuʃ</v>
      </c>
      <c r="Q1039" s="5" t="str">
        <f t="shared" si="8"/>
        <v>-</v>
      </c>
      <c r="R1039" s="5"/>
      <c r="S1039" s="3" t="s">
        <v>3030</v>
      </c>
      <c r="T1039" s="3" t="s">
        <v>3031</v>
      </c>
      <c r="U1039" s="3" t="s">
        <v>22</v>
      </c>
      <c r="V1039" s="5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</row>
    <row r="1040">
      <c r="A1040" s="3" t="s">
        <v>14</v>
      </c>
      <c r="B1040" s="3" t="s">
        <v>3032</v>
      </c>
      <c r="C1040" s="3" t="s">
        <v>3033</v>
      </c>
      <c r="D1040" s="3" t="s">
        <v>3034</v>
      </c>
      <c r="E1040" s="3" t="s">
        <v>3035</v>
      </c>
      <c r="F1040" s="3" t="s">
        <v>575</v>
      </c>
      <c r="G1040" s="3" t="s">
        <v>575</v>
      </c>
      <c r="H1040" s="43">
        <f t="shared" ref="H1040:I1040" si="2081">LEN(D1040)-LEN(B1040)+1</f>
        <v>3</v>
      </c>
      <c r="I1040" s="43">
        <f t="shared" si="2081"/>
        <v>3</v>
      </c>
      <c r="J1040" s="4">
        <v>1.0</v>
      </c>
      <c r="K1040" s="4">
        <v>1.0</v>
      </c>
      <c r="L1040" s="5" t="str">
        <f t="shared" ref="L1040:M1040" si="2082">IFS(J1040="-", "-", J1040=H1040, "Final", J1040=1, "Initial", J1040&gt;1, "Medial")</f>
        <v>Initial</v>
      </c>
      <c r="M1040" s="44" t="str">
        <f t="shared" si="2082"/>
        <v>Initial</v>
      </c>
      <c r="N1040" s="5" t="str">
        <f t="shared" si="5"/>
        <v>0</v>
      </c>
      <c r="O1040" s="5" t="str">
        <f t="shared" si="6"/>
        <v>ˈla</v>
      </c>
      <c r="P1040" s="5" t="str">
        <f t="shared" si="7"/>
        <v>0</v>
      </c>
      <c r="Q1040" s="5" t="str">
        <f t="shared" si="8"/>
        <v>ˈla</v>
      </c>
      <c r="R1040" s="5"/>
      <c r="S1040" s="3" t="s">
        <v>3036</v>
      </c>
      <c r="T1040" s="3" t="s">
        <v>3037</v>
      </c>
      <c r="U1040" s="3" t="s">
        <v>22</v>
      </c>
      <c r="V1040" s="5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</row>
    <row r="1041">
      <c r="A1041" s="3" t="s">
        <v>14</v>
      </c>
      <c r="B1041" s="3" t="s">
        <v>3032</v>
      </c>
      <c r="C1041" s="3" t="s">
        <v>3033</v>
      </c>
      <c r="D1041" s="3" t="s">
        <v>3034</v>
      </c>
      <c r="E1041" s="3" t="s">
        <v>3035</v>
      </c>
      <c r="F1041" s="3" t="s">
        <v>1608</v>
      </c>
      <c r="G1041" s="3" t="s">
        <v>1608</v>
      </c>
      <c r="H1041" s="43">
        <f t="shared" ref="H1041:I1041" si="2083">LEN(D1041)-LEN(B1041)+1</f>
        <v>3</v>
      </c>
      <c r="I1041" s="43">
        <f t="shared" si="2083"/>
        <v>3</v>
      </c>
      <c r="J1041" s="4">
        <v>2.0</v>
      </c>
      <c r="K1041" s="4">
        <v>2.0</v>
      </c>
      <c r="L1041" s="5" t="str">
        <f t="shared" ref="L1041:M1041" si="2084">IFS(J1041="-", "-", J1041=H1041, "Final", J1041=1, "Initial", J1041&gt;1, "Medial")</f>
        <v>Medial</v>
      </c>
      <c r="M1041" s="44" t="str">
        <f t="shared" si="2084"/>
        <v>Medial</v>
      </c>
      <c r="N1041" s="5" t="str">
        <f t="shared" si="5"/>
        <v>mi</v>
      </c>
      <c r="O1041" s="5" t="str">
        <f t="shared" si="6"/>
        <v>gi</v>
      </c>
      <c r="P1041" s="5" t="str">
        <f t="shared" si="7"/>
        <v>mi</v>
      </c>
      <c r="Q1041" s="5" t="str">
        <f t="shared" si="8"/>
        <v>gɾɨ</v>
      </c>
      <c r="R1041" s="5"/>
      <c r="S1041" s="3" t="s">
        <v>3036</v>
      </c>
      <c r="T1041" s="3" t="s">
        <v>3037</v>
      </c>
      <c r="U1041" s="3" t="s">
        <v>22</v>
      </c>
      <c r="V1041" s="5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</row>
    <row r="1042">
      <c r="A1042" s="3" t="s">
        <v>14</v>
      </c>
      <c r="B1042" s="3" t="s">
        <v>3032</v>
      </c>
      <c r="C1042" s="3" t="s">
        <v>3033</v>
      </c>
      <c r="D1042" s="3" t="s">
        <v>3034</v>
      </c>
      <c r="E1042" s="3" t="s">
        <v>3035</v>
      </c>
      <c r="F1042" s="3" t="s">
        <v>620</v>
      </c>
      <c r="G1042" s="3" t="s">
        <v>282</v>
      </c>
      <c r="H1042" s="43">
        <f t="shared" ref="H1042:I1042" si="2085">LEN(D1042)-LEN(B1042)+1</f>
        <v>3</v>
      </c>
      <c r="I1042" s="43">
        <f t="shared" si="2085"/>
        <v>3</v>
      </c>
      <c r="J1042" s="4">
        <v>3.0</v>
      </c>
      <c r="K1042" s="4">
        <v>3.0</v>
      </c>
      <c r="L1042" s="5" t="str">
        <f t="shared" ref="L1042:M1042" si="2086">IFS(J1042="-", "-", J1042=H1042, "Final", J1042=1, "Initial", J1042&gt;1, "Medial")</f>
        <v>Final</v>
      </c>
      <c r="M1042" s="44" t="str">
        <f t="shared" si="2086"/>
        <v>Final</v>
      </c>
      <c r="N1042" s="5" t="str">
        <f t="shared" si="5"/>
        <v>ˈla</v>
      </c>
      <c r="O1042" s="5">
        <f t="shared" si="6"/>
        <v>3</v>
      </c>
      <c r="P1042" s="5" t="str">
        <f t="shared" si="7"/>
        <v>ˈla</v>
      </c>
      <c r="Q1042" s="5">
        <f t="shared" si="8"/>
        <v>3</v>
      </c>
      <c r="R1042" s="5"/>
      <c r="S1042" s="3" t="s">
        <v>3036</v>
      </c>
      <c r="T1042" s="3" t="s">
        <v>3037</v>
      </c>
      <c r="U1042" s="3" t="s">
        <v>22</v>
      </c>
      <c r="V1042" s="5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</row>
    <row r="1043">
      <c r="A1043" s="3" t="s">
        <v>14</v>
      </c>
      <c r="B1043" s="3" t="s">
        <v>3038</v>
      </c>
      <c r="C1043" s="3" t="s">
        <v>3039</v>
      </c>
      <c r="D1043" s="3" t="s">
        <v>3040</v>
      </c>
      <c r="E1043" s="3" t="s">
        <v>3041</v>
      </c>
      <c r="F1043" s="17" t="s">
        <v>36</v>
      </c>
      <c r="G1043" s="3" t="s">
        <v>29</v>
      </c>
      <c r="H1043" s="43">
        <f t="shared" ref="H1043:I1043" si="2087">LEN(D1043)-LEN(B1043)+1</f>
        <v>2</v>
      </c>
      <c r="I1043" s="43">
        <f t="shared" si="2087"/>
        <v>3</v>
      </c>
      <c r="J1043" s="4" t="s">
        <v>36</v>
      </c>
      <c r="K1043" s="4">
        <v>1.0</v>
      </c>
      <c r="L1043" s="5" t="str">
        <f t="shared" ref="L1043:M1043" si="2088">IFS(J1043="-", "-", J1043=H1043, "Final", J1043=1, "Initial", J1043&gt;1, "Medial")</f>
        <v>-</v>
      </c>
      <c r="M1043" s="44" t="str">
        <f t="shared" si="2088"/>
        <v>Initial</v>
      </c>
      <c r="N1043" s="5" t="str">
        <f t="shared" si="5"/>
        <v>0</v>
      </c>
      <c r="O1043" s="5" t="str">
        <f t="shared" si="6"/>
        <v>rɔ</v>
      </c>
      <c r="P1043" s="5" t="str">
        <f t="shared" si="7"/>
        <v>0</v>
      </c>
      <c r="Q1043" s="5" t="str">
        <f t="shared" si="8"/>
        <v>ɾɐ</v>
      </c>
      <c r="R1043" s="3"/>
      <c r="S1043" s="3" t="s">
        <v>3042</v>
      </c>
      <c r="T1043" s="3" t="s">
        <v>3043</v>
      </c>
      <c r="U1043" s="3" t="s">
        <v>22</v>
      </c>
      <c r="V1043" s="5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>
      <c r="A1044" s="3" t="s">
        <v>14</v>
      </c>
      <c r="B1044" s="3" t="s">
        <v>3038</v>
      </c>
      <c r="C1044" s="3" t="s">
        <v>3039</v>
      </c>
      <c r="D1044" s="3" t="s">
        <v>3040</v>
      </c>
      <c r="E1044" s="3" t="s">
        <v>3041</v>
      </c>
      <c r="F1044" s="3" t="s">
        <v>2175</v>
      </c>
      <c r="G1044" s="3" t="s">
        <v>103</v>
      </c>
      <c r="H1044" s="43">
        <f t="shared" ref="H1044:I1044" si="2089">LEN(D1044)-LEN(B1044)+1</f>
        <v>2</v>
      </c>
      <c r="I1044" s="43">
        <f t="shared" si="2089"/>
        <v>3</v>
      </c>
      <c r="J1044" s="4">
        <v>1.0</v>
      </c>
      <c r="K1044" s="4">
        <v>2.0</v>
      </c>
      <c r="L1044" s="5" t="str">
        <f t="shared" ref="L1044:M1044" si="2090">IFS(J1044="-", "-", J1044=H1044, "Final", J1044=1, "Initial", J1044&gt;1, "Medial")</f>
        <v>Initial</v>
      </c>
      <c r="M1044" s="44" t="str">
        <f t="shared" si="2090"/>
        <v>Medial</v>
      </c>
      <c r="N1044" s="5" t="str">
        <f t="shared" si="5"/>
        <v>-</v>
      </c>
      <c r="O1044" s="5" t="str">
        <f t="shared" si="6"/>
        <v>ˈsɐ̃</v>
      </c>
      <c r="P1044" s="5" t="str">
        <f t="shared" si="7"/>
        <v>o</v>
      </c>
      <c r="Q1044" s="5" t="str">
        <f t="shared" si="8"/>
        <v>ˈsɐ̃w̃</v>
      </c>
      <c r="R1044" s="3"/>
      <c r="S1044" s="3" t="s">
        <v>3042</v>
      </c>
      <c r="T1044" s="3" t="s">
        <v>3043</v>
      </c>
      <c r="U1044" s="3" t="s">
        <v>22</v>
      </c>
      <c r="V1044" s="5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>
      <c r="A1045" s="3" t="s">
        <v>14</v>
      </c>
      <c r="B1045" s="3" t="s">
        <v>3038</v>
      </c>
      <c r="C1045" s="3" t="s">
        <v>3039</v>
      </c>
      <c r="D1045" s="3" t="s">
        <v>3040</v>
      </c>
      <c r="E1045" s="3" t="s">
        <v>3041</v>
      </c>
      <c r="F1045" s="3" t="s">
        <v>181</v>
      </c>
      <c r="G1045" s="3" t="s">
        <v>428</v>
      </c>
      <c r="H1045" s="43">
        <f t="shared" ref="H1045:I1045" si="2091">LEN(D1045)-LEN(B1045)+1</f>
        <v>2</v>
      </c>
      <c r="I1045" s="43">
        <f t="shared" si="2091"/>
        <v>3</v>
      </c>
      <c r="J1045" s="4">
        <v>2.0</v>
      </c>
      <c r="K1045" s="4">
        <v>3.0</v>
      </c>
      <c r="L1045" s="5" t="str">
        <f t="shared" ref="L1045:M1045" si="2092">IFS(J1045="-", "-", J1045=H1045, "Final", J1045=1, "Initial", J1045&gt;1, "Medial")</f>
        <v>Final</v>
      </c>
      <c r="M1045" s="44" t="str">
        <f t="shared" si="2092"/>
        <v>Final</v>
      </c>
      <c r="N1045" s="5" t="str">
        <f t="shared" si="5"/>
        <v>rɔ</v>
      </c>
      <c r="O1045" s="5">
        <f t="shared" si="6"/>
        <v>2</v>
      </c>
      <c r="P1045" s="5" t="str">
        <f t="shared" si="7"/>
        <v>ɾɐ</v>
      </c>
      <c r="Q1045" s="5">
        <f t="shared" si="8"/>
        <v>3</v>
      </c>
      <c r="R1045" s="3"/>
      <c r="S1045" s="3" t="s">
        <v>3042</v>
      </c>
      <c r="T1045" s="3" t="s">
        <v>3043</v>
      </c>
      <c r="U1045" s="3" t="s">
        <v>22</v>
      </c>
      <c r="V1045" s="5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</row>
    <row r="1046">
      <c r="A1046" s="3" t="s">
        <v>14</v>
      </c>
      <c r="B1046" s="3" t="s">
        <v>3044</v>
      </c>
      <c r="C1046" s="3" t="s">
        <v>3044</v>
      </c>
      <c r="D1046" s="3" t="s">
        <v>3045</v>
      </c>
      <c r="E1046" s="3" t="s">
        <v>3045</v>
      </c>
      <c r="F1046" s="3" t="s">
        <v>181</v>
      </c>
      <c r="G1046" s="3" t="s">
        <v>181</v>
      </c>
      <c r="H1046" s="43">
        <f t="shared" ref="H1046:I1046" si="2093">LEN(D1046)-LEN(B1046)+1</f>
        <v>2</v>
      </c>
      <c r="I1046" s="43">
        <f t="shared" si="2093"/>
        <v>2</v>
      </c>
      <c r="J1046" s="4">
        <v>1.0</v>
      </c>
      <c r="K1046" s="4">
        <v>1.0</v>
      </c>
      <c r="L1046" s="5" t="str">
        <f t="shared" ref="L1046:M1046" si="2094">IFS(J1046="-", "-", J1046=H1046, "Final", J1046=1, "Initial", J1046&gt;1, "Medial")</f>
        <v>Initial</v>
      </c>
      <c r="M1046" s="44" t="str">
        <f t="shared" si="2094"/>
        <v>Initial</v>
      </c>
      <c r="N1046" s="5" t="str">
        <f t="shared" si="5"/>
        <v>0</v>
      </c>
      <c r="O1046" s="5" t="str">
        <f t="shared" si="6"/>
        <v>tu</v>
      </c>
      <c r="P1046" s="5" t="str">
        <f t="shared" si="7"/>
        <v>0</v>
      </c>
      <c r="Q1046" s="5" t="str">
        <f t="shared" si="8"/>
        <v>tu</v>
      </c>
      <c r="R1046" s="5"/>
      <c r="S1046" s="3" t="s">
        <v>3046</v>
      </c>
      <c r="T1046" s="3" t="s">
        <v>3047</v>
      </c>
      <c r="U1046" s="3" t="s">
        <v>22</v>
      </c>
      <c r="V1046" s="5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</row>
    <row r="1047">
      <c r="A1047" s="3" t="s">
        <v>14</v>
      </c>
      <c r="B1047" s="3" t="s">
        <v>3044</v>
      </c>
      <c r="C1047" s="3" t="s">
        <v>3044</v>
      </c>
      <c r="D1047" s="3" t="s">
        <v>3045</v>
      </c>
      <c r="E1047" s="3" t="s">
        <v>3045</v>
      </c>
      <c r="F1047" s="3" t="s">
        <v>784</v>
      </c>
      <c r="G1047" s="3" t="s">
        <v>784</v>
      </c>
      <c r="H1047" s="43">
        <f t="shared" ref="H1047:I1047" si="2095">LEN(D1047)-LEN(B1047)+1</f>
        <v>2</v>
      </c>
      <c r="I1047" s="43">
        <f t="shared" si="2095"/>
        <v>2</v>
      </c>
      <c r="J1047" s="4">
        <v>2.0</v>
      </c>
      <c r="K1047" s="4">
        <v>2.0</v>
      </c>
      <c r="L1047" s="5" t="str">
        <f t="shared" ref="L1047:M1047" si="2096">IFS(J1047="-", "-", J1047=H1047, "Final", J1047=1, "Initial", J1047&gt;1, "Medial")</f>
        <v>Final</v>
      </c>
      <c r="M1047" s="44" t="str">
        <f t="shared" si="2096"/>
        <v>Final</v>
      </c>
      <c r="N1047" s="5" t="str">
        <f t="shared" si="5"/>
        <v>ˈsɐ̃</v>
      </c>
      <c r="O1047" s="5">
        <f t="shared" si="6"/>
        <v>2</v>
      </c>
      <c r="P1047" s="5" t="str">
        <f t="shared" si="7"/>
        <v>ˈsɐ̃</v>
      </c>
      <c r="Q1047" s="5">
        <f t="shared" si="8"/>
        <v>2</v>
      </c>
      <c r="R1047" s="5"/>
      <c r="S1047" s="3" t="s">
        <v>3046</v>
      </c>
      <c r="T1047" s="3" t="s">
        <v>3047</v>
      </c>
      <c r="U1047" s="3" t="s">
        <v>22</v>
      </c>
      <c r="V1047" s="5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</row>
    <row r="1048">
      <c r="A1048" s="3" t="s">
        <v>14</v>
      </c>
      <c r="B1048" s="3" t="s">
        <v>3048</v>
      </c>
      <c r="C1048" s="3" t="s">
        <v>3049</v>
      </c>
      <c r="D1048" s="3" t="s">
        <v>3050</v>
      </c>
      <c r="E1048" s="3" t="s">
        <v>3051</v>
      </c>
      <c r="F1048" s="3" t="s">
        <v>19</v>
      </c>
      <c r="G1048" s="3" t="s">
        <v>3052</v>
      </c>
      <c r="H1048" s="43">
        <f t="shared" ref="H1048:I1048" si="2097">LEN(D1048)-LEN(B1048)+1</f>
        <v>3</v>
      </c>
      <c r="I1048" s="43">
        <f t="shared" si="2097"/>
        <v>2</v>
      </c>
      <c r="J1048" s="4">
        <v>1.0</v>
      </c>
      <c r="K1048" s="4">
        <v>1.0</v>
      </c>
      <c r="L1048" s="5" t="str">
        <f t="shared" ref="L1048:M1048" si="2098">IFS(J1048="-", "-", J1048=H1048, "Final", J1048=1, "Initial", J1048&gt;1, "Medial")</f>
        <v>Initial</v>
      </c>
      <c r="M1048" s="44" t="str">
        <f t="shared" si="2098"/>
        <v>Initial</v>
      </c>
      <c r="N1048" s="5" t="str">
        <f t="shared" si="5"/>
        <v>0</v>
      </c>
      <c r="O1048" s="5" t="str">
        <f t="shared" si="6"/>
        <v>ʀi</v>
      </c>
      <c r="P1048" s="5" t="str">
        <f t="shared" si="7"/>
        <v>0</v>
      </c>
      <c r="Q1048" s="5" t="str">
        <f t="shared" si="8"/>
        <v>-</v>
      </c>
      <c r="R1048" s="5"/>
      <c r="S1048" s="3" t="s">
        <v>3053</v>
      </c>
      <c r="T1048" s="3" t="s">
        <v>3054</v>
      </c>
      <c r="U1048" s="3" t="s">
        <v>22</v>
      </c>
      <c r="V1048" s="5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</row>
    <row r="1049">
      <c r="A1049" s="3" t="s">
        <v>14</v>
      </c>
      <c r="B1049" s="3" t="s">
        <v>3048</v>
      </c>
      <c r="C1049" s="3" t="s">
        <v>3049</v>
      </c>
      <c r="D1049" s="3" t="s">
        <v>3050</v>
      </c>
      <c r="E1049" s="3" t="s">
        <v>3051</v>
      </c>
      <c r="F1049" s="3" t="s">
        <v>1907</v>
      </c>
      <c r="G1049" s="3" t="s">
        <v>36</v>
      </c>
      <c r="H1049" s="43">
        <f t="shared" ref="H1049:I1049" si="2099">LEN(D1049)-LEN(B1049)+1</f>
        <v>3</v>
      </c>
      <c r="I1049" s="43">
        <f t="shared" si="2099"/>
        <v>2</v>
      </c>
      <c r="J1049" s="4">
        <v>2.0</v>
      </c>
      <c r="K1049" s="4" t="s">
        <v>36</v>
      </c>
      <c r="L1049" s="5" t="str">
        <f t="shared" ref="L1049:M1049" si="2100">IFS(J1049="-", "-", J1049=H1049, "Final", J1049=1, "Initial", J1049&gt;1, "Medial")</f>
        <v>Medial</v>
      </c>
      <c r="M1049" s="44" t="str">
        <f t="shared" si="2100"/>
        <v>-</v>
      </c>
      <c r="N1049" s="5" t="str">
        <f t="shared" si="5"/>
        <v>ˈa</v>
      </c>
      <c r="O1049" s="5" t="str">
        <f t="shared" si="6"/>
        <v>bɐ</v>
      </c>
      <c r="P1049" s="5" t="str">
        <f t="shared" si="7"/>
        <v>ˈeɾ</v>
      </c>
      <c r="Q1049" s="5" t="str">
        <f t="shared" si="8"/>
        <v>vɐ</v>
      </c>
      <c r="R1049" s="5"/>
      <c r="S1049" s="3" t="s">
        <v>3053</v>
      </c>
      <c r="T1049" s="3" t="s">
        <v>3054</v>
      </c>
      <c r="U1049" s="3" t="s">
        <v>22</v>
      </c>
      <c r="V1049" s="5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</row>
    <row r="1050">
      <c r="A1050" s="3" t="s">
        <v>14</v>
      </c>
      <c r="B1050" s="3" t="s">
        <v>3048</v>
      </c>
      <c r="C1050" s="3" t="s">
        <v>3049</v>
      </c>
      <c r="D1050" s="3" t="s">
        <v>3050</v>
      </c>
      <c r="E1050" s="3" t="s">
        <v>3051</v>
      </c>
      <c r="F1050" s="3" t="s">
        <v>62</v>
      </c>
      <c r="G1050" s="3" t="s">
        <v>724</v>
      </c>
      <c r="H1050" s="43">
        <f t="shared" ref="H1050:I1050" si="2101">LEN(D1050)-LEN(B1050)+1</f>
        <v>3</v>
      </c>
      <c r="I1050" s="43">
        <f t="shared" si="2101"/>
        <v>2</v>
      </c>
      <c r="J1050" s="4">
        <v>3.0</v>
      </c>
      <c r="K1050" s="4">
        <v>2.0</v>
      </c>
      <c r="L1050" s="5" t="str">
        <f t="shared" ref="L1050:M1050" si="2102">IFS(J1050="-", "-", J1050=H1050, "Final", J1050=1, "Initial", J1050&gt;1, "Medial")</f>
        <v>Final</v>
      </c>
      <c r="M1050" s="44" t="str">
        <f t="shared" si="2102"/>
        <v>Final</v>
      </c>
      <c r="N1050" s="5" t="str">
        <f t="shared" si="5"/>
        <v>ʀi</v>
      </c>
      <c r="O1050" s="5">
        <f t="shared" si="6"/>
        <v>3</v>
      </c>
      <c r="P1050" s="5" t="str">
        <f t="shared" si="7"/>
        <v>-</v>
      </c>
      <c r="Q1050" s="5">
        <f t="shared" si="8"/>
        <v>2</v>
      </c>
      <c r="R1050" s="5"/>
      <c r="S1050" s="3" t="s">
        <v>3053</v>
      </c>
      <c r="T1050" s="3" t="s">
        <v>3054</v>
      </c>
      <c r="U1050" s="3" t="s">
        <v>22</v>
      </c>
      <c r="V1050" s="5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</row>
    <row r="1051">
      <c r="A1051" s="15" t="s">
        <v>14</v>
      </c>
      <c r="B1051" s="15" t="s">
        <v>3055</v>
      </c>
      <c r="C1051" s="15" t="s">
        <v>3056</v>
      </c>
      <c r="D1051" s="15" t="s">
        <v>3057</v>
      </c>
      <c r="E1051" s="15" t="s">
        <v>3058</v>
      </c>
      <c r="F1051" s="15" t="s">
        <v>30</v>
      </c>
      <c r="G1051" s="15" t="s">
        <v>3059</v>
      </c>
      <c r="H1051" s="43">
        <f t="shared" ref="H1051:I1051" si="2103">LEN(D1051)-LEN(B1051)+1</f>
        <v>4</v>
      </c>
      <c r="I1051" s="43">
        <f t="shared" si="2103"/>
        <v>3</v>
      </c>
      <c r="J1051" s="18">
        <v>1.0</v>
      </c>
      <c r="K1051" s="18">
        <v>1.0</v>
      </c>
      <c r="L1051" s="5" t="str">
        <f t="shared" ref="L1051:M1051" si="2104">IFS(J1051="-", "-", J1051=H1051, "Final", J1051=1, "Initial", J1051&gt;1, "Medial")</f>
        <v>Initial</v>
      </c>
      <c r="M1051" s="44" t="str">
        <f t="shared" si="2104"/>
        <v>Initial</v>
      </c>
      <c r="N1051" s="5" t="str">
        <f t="shared" si="5"/>
        <v>0</v>
      </c>
      <c r="O1051" s="5" t="str">
        <f t="shared" si="6"/>
        <v>lu</v>
      </c>
      <c r="P1051" s="5" t="str">
        <f t="shared" si="7"/>
        <v>0</v>
      </c>
      <c r="Q1051" s="5" t="str">
        <f t="shared" si="8"/>
        <v/>
      </c>
      <c r="R1051" s="15" t="s">
        <v>72</v>
      </c>
      <c r="S1051" s="15" t="s">
        <v>3060</v>
      </c>
      <c r="T1051" s="15" t="s">
        <v>3061</v>
      </c>
      <c r="U1051" s="15" t="s">
        <v>22</v>
      </c>
      <c r="V1051" s="20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</row>
    <row r="1052">
      <c r="A1052" s="15" t="s">
        <v>14</v>
      </c>
      <c r="B1052" s="15" t="s">
        <v>3055</v>
      </c>
      <c r="C1052" s="15" t="s">
        <v>3056</v>
      </c>
      <c r="D1052" s="15" t="s">
        <v>3057</v>
      </c>
      <c r="E1052" s="15" t="s">
        <v>3058</v>
      </c>
      <c r="F1052" s="15" t="s">
        <v>245</v>
      </c>
      <c r="G1052" s="15"/>
      <c r="H1052" s="43">
        <f t="shared" ref="H1052:I1052" si="2105">LEN(D1052)-LEN(B1052)+1</f>
        <v>4</v>
      </c>
      <c r="I1052" s="43">
        <f t="shared" si="2105"/>
        <v>3</v>
      </c>
      <c r="J1052" s="18">
        <v>2.0</v>
      </c>
      <c r="K1052" s="18" t="s">
        <v>36</v>
      </c>
      <c r="L1052" s="5" t="str">
        <f t="shared" ref="L1052:M1052" si="2106">IFS(J1052="-", "-", J1052=H1052, "Final", J1052=1, "Initial", J1052&gt;1, "Medial")</f>
        <v>Medial</v>
      </c>
      <c r="M1052" s="44" t="str">
        <f t="shared" si="2106"/>
        <v>-</v>
      </c>
      <c r="N1052" s="5" t="str">
        <f t="shared" si="5"/>
        <v>a</v>
      </c>
      <c r="O1052" s="5" t="str">
        <f t="shared" si="6"/>
        <v>gu</v>
      </c>
      <c r="P1052" s="5" t="str">
        <f t="shared" si="7"/>
        <v>al</v>
      </c>
      <c r="Q1052" s="5" t="str">
        <f t="shared" si="8"/>
        <v>gu</v>
      </c>
      <c r="R1052" s="20"/>
      <c r="S1052" s="15" t="s">
        <v>3060</v>
      </c>
      <c r="T1052" s="15" t="s">
        <v>3061</v>
      </c>
      <c r="U1052" s="15" t="s">
        <v>22</v>
      </c>
      <c r="V1052" s="20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</row>
    <row r="1053">
      <c r="A1053" s="15" t="s">
        <v>14</v>
      </c>
      <c r="B1053" s="15" t="s">
        <v>3055</v>
      </c>
      <c r="C1053" s="15" t="s">
        <v>3056</v>
      </c>
      <c r="D1053" s="15" t="s">
        <v>3057</v>
      </c>
      <c r="E1053" s="15" t="s">
        <v>3058</v>
      </c>
      <c r="F1053" s="15" t="s">
        <v>98</v>
      </c>
      <c r="G1053" s="15" t="s">
        <v>98</v>
      </c>
      <c r="H1053" s="43">
        <f t="shared" ref="H1053:I1053" si="2107">LEN(D1053)-LEN(B1053)+1</f>
        <v>4</v>
      </c>
      <c r="I1053" s="43">
        <f t="shared" si="2107"/>
        <v>3</v>
      </c>
      <c r="J1053" s="18">
        <v>3.0</v>
      </c>
      <c r="K1053" s="18">
        <v>2.0</v>
      </c>
      <c r="L1053" s="5" t="str">
        <f t="shared" ref="L1053:M1053" si="2108">IFS(J1053="-", "-", J1053=H1053, "Final", J1053=1, "Initial", J1053&gt;1, "Medial")</f>
        <v>Medial</v>
      </c>
      <c r="M1053" s="44" t="str">
        <f t="shared" si="2108"/>
        <v>Medial</v>
      </c>
      <c r="N1053" s="5" t="str">
        <f t="shared" si="5"/>
        <v>lu</v>
      </c>
      <c r="O1053" s="5" t="str">
        <f t="shared" si="6"/>
        <v>ˈdɐ̃</v>
      </c>
      <c r="P1053" s="5" t="str">
        <f t="shared" si="7"/>
        <v/>
      </c>
      <c r="Q1053" s="5" t="str">
        <f t="shared" si="8"/>
        <v>ˈdɐ̃w̃</v>
      </c>
      <c r="R1053" s="20"/>
      <c r="S1053" s="15" t="s">
        <v>3060</v>
      </c>
      <c r="T1053" s="15" t="s">
        <v>3061</v>
      </c>
      <c r="U1053" s="15" t="s">
        <v>22</v>
      </c>
      <c r="V1053" s="20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</row>
    <row r="1054">
      <c r="A1054" s="15" t="s">
        <v>14</v>
      </c>
      <c r="B1054" s="15" t="s">
        <v>3055</v>
      </c>
      <c r="C1054" s="15" t="s">
        <v>3056</v>
      </c>
      <c r="D1054" s="15" t="s">
        <v>3057</v>
      </c>
      <c r="E1054" s="15" t="s">
        <v>3058</v>
      </c>
      <c r="F1054" s="15" t="s">
        <v>706</v>
      </c>
      <c r="G1054" s="15" t="s">
        <v>707</v>
      </c>
      <c r="H1054" s="43">
        <f t="shared" ref="H1054:I1054" si="2109">LEN(D1054)-LEN(B1054)+1</f>
        <v>4</v>
      </c>
      <c r="I1054" s="43">
        <f t="shared" si="2109"/>
        <v>3</v>
      </c>
      <c r="J1054" s="18">
        <v>4.0</v>
      </c>
      <c r="K1054" s="18">
        <v>3.0</v>
      </c>
      <c r="L1054" s="5" t="str">
        <f t="shared" ref="L1054:M1054" si="2110">IFS(J1054="-", "-", J1054=H1054, "Final", J1054=1, "Initial", J1054&gt;1, "Medial")</f>
        <v>Final</v>
      </c>
      <c r="M1054" s="44" t="str">
        <f t="shared" si="2110"/>
        <v>Final</v>
      </c>
      <c r="N1054" s="5" t="str">
        <f t="shared" si="5"/>
        <v>gu</v>
      </c>
      <c r="O1054" s="5">
        <f t="shared" si="6"/>
        <v>4</v>
      </c>
      <c r="P1054" s="5" t="str">
        <f t="shared" si="7"/>
        <v>gu</v>
      </c>
      <c r="Q1054" s="5">
        <f t="shared" si="8"/>
        <v>3</v>
      </c>
      <c r="R1054" s="15"/>
      <c r="S1054" s="15" t="s">
        <v>3060</v>
      </c>
      <c r="T1054" s="15" t="s">
        <v>3061</v>
      </c>
      <c r="U1054" s="15" t="s">
        <v>22</v>
      </c>
      <c r="V1054" s="20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</row>
    <row r="1055">
      <c r="A1055" s="3" t="s">
        <v>14</v>
      </c>
      <c r="B1055" s="3" t="s">
        <v>1920</v>
      </c>
      <c r="C1055" s="3" t="s">
        <v>3062</v>
      </c>
      <c r="D1055" s="3" t="s">
        <v>1920</v>
      </c>
      <c r="E1055" s="3" t="s">
        <v>3063</v>
      </c>
      <c r="F1055" s="3" t="s">
        <v>1920</v>
      </c>
      <c r="G1055" s="3" t="s">
        <v>3064</v>
      </c>
      <c r="H1055" s="43">
        <f t="shared" ref="H1055:I1055" si="2111">LEN(D1055)-LEN(B1055)+1</f>
        <v>1</v>
      </c>
      <c r="I1055" s="43">
        <f t="shared" si="2111"/>
        <v>2</v>
      </c>
      <c r="J1055" s="4">
        <v>1.0</v>
      </c>
      <c r="K1055" s="4">
        <v>1.0</v>
      </c>
      <c r="L1055" s="5" t="str">
        <f t="shared" ref="L1055:M1055" si="2112">IFS(J1055="-", "-", J1055=H1055, "Final", J1055=1, "Initial", J1055&gt;1, "Medial")</f>
        <v>Final</v>
      </c>
      <c r="M1055" s="44" t="str">
        <f t="shared" si="2112"/>
        <v>Initial</v>
      </c>
      <c r="N1055" s="5" t="str">
        <f t="shared" si="5"/>
        <v>0</v>
      </c>
      <c r="O1055" s="5" t="str">
        <f t="shared" si="6"/>
        <v>-</v>
      </c>
      <c r="P1055" s="5" t="str">
        <f t="shared" si="7"/>
        <v>0</v>
      </c>
      <c r="Q1055" s="5" t="str">
        <f t="shared" si="8"/>
        <v>ʎɐ</v>
      </c>
      <c r="R1055" s="5"/>
      <c r="S1055" s="3" t="s">
        <v>3065</v>
      </c>
      <c r="T1055" s="3" t="s">
        <v>3066</v>
      </c>
      <c r="U1055" s="3" t="s">
        <v>22</v>
      </c>
      <c r="V1055" s="5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</row>
    <row r="1056">
      <c r="A1056" s="3" t="s">
        <v>14</v>
      </c>
      <c r="B1056" s="3" t="s">
        <v>1920</v>
      </c>
      <c r="C1056" s="3" t="s">
        <v>3062</v>
      </c>
      <c r="D1056" s="3" t="s">
        <v>1920</v>
      </c>
      <c r="E1056" s="3" t="s">
        <v>3063</v>
      </c>
      <c r="F1056" s="3" t="s">
        <v>36</v>
      </c>
      <c r="G1056" s="3" t="s">
        <v>482</v>
      </c>
      <c r="H1056" s="43">
        <f t="shared" ref="H1056:I1056" si="2113">LEN(D1056)-LEN(B1056)+1</f>
        <v>1</v>
      </c>
      <c r="I1056" s="43">
        <f t="shared" si="2113"/>
        <v>2</v>
      </c>
      <c r="J1056" s="4" t="s">
        <v>36</v>
      </c>
      <c r="K1056" s="4">
        <v>2.0</v>
      </c>
      <c r="L1056" s="5" t="str">
        <f t="shared" ref="L1056:M1056" si="2114">IFS(J1056="-", "-", J1056=H1056, "Final", J1056=1, "Initial", J1056&gt;1, "Medial")</f>
        <v>-</v>
      </c>
      <c r="M1056" s="44" t="str">
        <f t="shared" si="2114"/>
        <v>Final</v>
      </c>
      <c r="N1056" s="5" t="str">
        <f t="shared" si="5"/>
        <v>ˈfja</v>
      </c>
      <c r="O1056" s="5" t="str">
        <f t="shared" si="6"/>
        <v>-</v>
      </c>
      <c r="P1056" s="5" t="str">
        <f t="shared" si="7"/>
        <v>ˈfo</v>
      </c>
      <c r="Q1056" s="5">
        <f t="shared" si="8"/>
        <v>2</v>
      </c>
      <c r="R1056" s="3"/>
      <c r="S1056" s="3" t="s">
        <v>3065</v>
      </c>
      <c r="T1056" s="3" t="s">
        <v>3066</v>
      </c>
      <c r="U1056" s="3" t="s">
        <v>22</v>
      </c>
      <c r="V1056" s="5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</row>
    <row r="1057">
      <c r="A1057" s="3" t="s">
        <v>14</v>
      </c>
      <c r="B1057" s="3" t="s">
        <v>3067</v>
      </c>
      <c r="C1057" s="3" t="s">
        <v>3068</v>
      </c>
      <c r="D1057" s="3" t="s">
        <v>3069</v>
      </c>
      <c r="E1057" s="3" t="s">
        <v>3068</v>
      </c>
      <c r="F1057" s="3" t="s">
        <v>128</v>
      </c>
      <c r="G1057" s="3" t="s">
        <v>3068</v>
      </c>
      <c r="H1057" s="43">
        <f t="shared" ref="H1057:I1057" si="2115">LEN(D1057)-LEN(B1057)+1</f>
        <v>3</v>
      </c>
      <c r="I1057" s="43">
        <f t="shared" si="2115"/>
        <v>1</v>
      </c>
      <c r="J1057" s="4">
        <v>1.0</v>
      </c>
      <c r="K1057" s="4">
        <v>1.0</v>
      </c>
      <c r="L1057" s="5" t="str">
        <f t="shared" ref="L1057:M1057" si="2116">IFS(J1057="-", "-", J1057=H1057, "Final", J1057=1, "Initial", J1057&gt;1, "Medial")</f>
        <v>Initial</v>
      </c>
      <c r="M1057" s="44" t="str">
        <f t="shared" si="2116"/>
        <v>Final</v>
      </c>
      <c r="N1057" s="5" t="str">
        <f t="shared" si="5"/>
        <v>0</v>
      </c>
      <c r="O1057" s="5" t="str">
        <f t="shared" si="6"/>
        <v>ˈfɔ</v>
      </c>
      <c r="P1057" s="5" t="str">
        <f t="shared" si="7"/>
        <v>0</v>
      </c>
      <c r="Q1057" s="5" t="str">
        <f t="shared" si="8"/>
        <v>-</v>
      </c>
      <c r="R1057" s="5"/>
      <c r="S1057" s="3" t="s">
        <v>3070</v>
      </c>
      <c r="T1057" s="3" t="s">
        <v>3071</v>
      </c>
      <c r="U1057" s="3" t="s">
        <v>22</v>
      </c>
      <c r="V1057" s="5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</row>
    <row r="1058">
      <c r="A1058" s="3" t="s">
        <v>14</v>
      </c>
      <c r="B1058" s="3" t="s">
        <v>3067</v>
      </c>
      <c r="C1058" s="3" t="s">
        <v>3068</v>
      </c>
      <c r="D1058" s="3" t="s">
        <v>3069</v>
      </c>
      <c r="E1058" s="3" t="s">
        <v>3068</v>
      </c>
      <c r="F1058" s="3" t="s">
        <v>2500</v>
      </c>
      <c r="G1058" s="3" t="s">
        <v>36</v>
      </c>
      <c r="H1058" s="43">
        <f t="shared" ref="H1058:I1058" si="2117">LEN(D1058)-LEN(B1058)+1</f>
        <v>3</v>
      </c>
      <c r="I1058" s="43">
        <f t="shared" si="2117"/>
        <v>1</v>
      </c>
      <c r="J1058" s="4">
        <v>2.0</v>
      </c>
      <c r="K1058" s="4" t="s">
        <v>36</v>
      </c>
      <c r="L1058" s="5" t="str">
        <f t="shared" ref="L1058:M1058" si="2118">IFS(J1058="-", "-", J1058=H1058, "Final", J1058=1, "Initial", J1058&gt;1, "Medial")</f>
        <v>Medial</v>
      </c>
      <c r="M1058" s="44" t="str">
        <f t="shared" si="2118"/>
        <v>-</v>
      </c>
      <c r="N1058" s="5" t="str">
        <f t="shared" si="5"/>
        <v>u</v>
      </c>
      <c r="O1058" s="5" t="str">
        <f t="shared" si="6"/>
        <v>li</v>
      </c>
      <c r="P1058" s="5" t="str">
        <f t="shared" si="7"/>
        <v>ˈfloɾ</v>
      </c>
      <c r="Q1058" s="5" t="str">
        <f t="shared" si="8"/>
        <v>-</v>
      </c>
      <c r="R1058" s="5"/>
      <c r="S1058" s="3" t="s">
        <v>3070</v>
      </c>
      <c r="T1058" s="3" t="s">
        <v>3071</v>
      </c>
      <c r="U1058" s="3" t="s">
        <v>22</v>
      </c>
      <c r="V1058" s="5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</row>
    <row r="1059">
      <c r="A1059" s="3" t="s">
        <v>14</v>
      </c>
      <c r="B1059" s="3" t="s">
        <v>3067</v>
      </c>
      <c r="C1059" s="3" t="s">
        <v>3068</v>
      </c>
      <c r="D1059" s="3" t="s">
        <v>3069</v>
      </c>
      <c r="E1059" s="3" t="s">
        <v>3068</v>
      </c>
      <c r="F1059" s="3" t="s">
        <v>197</v>
      </c>
      <c r="G1059" s="3" t="s">
        <v>36</v>
      </c>
      <c r="H1059" s="43">
        <f t="shared" ref="H1059:I1059" si="2119">LEN(D1059)-LEN(B1059)+1</f>
        <v>3</v>
      </c>
      <c r="I1059" s="43">
        <f t="shared" si="2119"/>
        <v>1</v>
      </c>
      <c r="J1059" s="4">
        <v>3.0</v>
      </c>
      <c r="K1059" s="4" t="s">
        <v>36</v>
      </c>
      <c r="L1059" s="5" t="str">
        <f t="shared" ref="L1059:M1059" si="2120">IFS(J1059="-", "-", J1059=H1059, "Final", J1059=1, "Initial", J1059&gt;1, "Medial")</f>
        <v>Final</v>
      </c>
      <c r="M1059" s="44" t="str">
        <f t="shared" si="2120"/>
        <v>-</v>
      </c>
      <c r="N1059" s="5" t="str">
        <f t="shared" si="5"/>
        <v>ˈfɔ</v>
      </c>
      <c r="O1059" s="5">
        <f t="shared" si="6"/>
        <v>3</v>
      </c>
      <c r="P1059" s="5" t="str">
        <f t="shared" si="7"/>
        <v>-</v>
      </c>
      <c r="Q1059" s="5" t="str">
        <f t="shared" si="8"/>
        <v>-</v>
      </c>
      <c r="R1059" s="5"/>
      <c r="S1059" s="3" t="s">
        <v>3070</v>
      </c>
      <c r="T1059" s="3" t="s">
        <v>3071</v>
      </c>
      <c r="U1059" s="3" t="s">
        <v>22</v>
      </c>
      <c r="V1059" s="5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</row>
    <row r="1060">
      <c r="A1060" s="3" t="s">
        <v>14</v>
      </c>
      <c r="B1060" s="3" t="s">
        <v>3072</v>
      </c>
      <c r="C1060" s="3" t="s">
        <v>3073</v>
      </c>
      <c r="D1060" s="3" t="s">
        <v>3072</v>
      </c>
      <c r="E1060" s="3" t="s">
        <v>3074</v>
      </c>
      <c r="F1060" s="3" t="s">
        <v>3072</v>
      </c>
      <c r="G1060" s="3" t="s">
        <v>175</v>
      </c>
      <c r="H1060" s="43">
        <f t="shared" ref="H1060:I1060" si="2121">LEN(D1060)-LEN(B1060)+1</f>
        <v>1</v>
      </c>
      <c r="I1060" s="43">
        <f t="shared" si="2121"/>
        <v>3</v>
      </c>
      <c r="J1060" s="4">
        <v>1.0</v>
      </c>
      <c r="K1060" s="4">
        <v>1.0</v>
      </c>
      <c r="L1060" s="5" t="str">
        <f t="shared" ref="L1060:M1060" si="2122">IFS(J1060="-", "-", J1060=H1060, "Final", J1060=1, "Initial", J1060&gt;1, "Medial")</f>
        <v>Final</v>
      </c>
      <c r="M1060" s="44" t="str">
        <f t="shared" si="2122"/>
        <v>Initial</v>
      </c>
      <c r="N1060" s="5" t="str">
        <f t="shared" si="5"/>
        <v>0</v>
      </c>
      <c r="O1060" s="5" t="str">
        <f t="shared" si="6"/>
        <v>-</v>
      </c>
      <c r="P1060" s="5" t="str">
        <f t="shared" si="7"/>
        <v>0</v>
      </c>
      <c r="Q1060" s="5" t="str">
        <f t="shared" si="8"/>
        <v>ˈɾo</v>
      </c>
      <c r="R1060" s="3" t="s">
        <v>80</v>
      </c>
      <c r="S1060" s="3" t="s">
        <v>3075</v>
      </c>
      <c r="T1060" s="3" t="s">
        <v>3076</v>
      </c>
      <c r="U1060" s="3" t="s">
        <v>22</v>
      </c>
      <c r="V1060" s="5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</row>
    <row r="1061">
      <c r="A1061" s="3" t="s">
        <v>14</v>
      </c>
      <c r="B1061" s="3" t="s">
        <v>3072</v>
      </c>
      <c r="C1061" s="3" t="s">
        <v>3073</v>
      </c>
      <c r="D1061" s="3" t="s">
        <v>3072</v>
      </c>
      <c r="E1061" s="3" t="s">
        <v>3074</v>
      </c>
      <c r="F1061" s="3" t="s">
        <v>36</v>
      </c>
      <c r="G1061" s="3" t="s">
        <v>2647</v>
      </c>
      <c r="H1061" s="43">
        <f t="shared" ref="H1061:I1061" si="2123">LEN(D1061)-LEN(B1061)+1</f>
        <v>1</v>
      </c>
      <c r="I1061" s="43">
        <f t="shared" si="2123"/>
        <v>3</v>
      </c>
      <c r="J1061" s="4" t="s">
        <v>36</v>
      </c>
      <c r="K1061" s="4">
        <v>2.0</v>
      </c>
      <c r="L1061" s="5" t="str">
        <f t="shared" ref="L1061:M1061" si="2124">IFS(J1061="-", "-", J1061=H1061, "Final", J1061=1, "Initial", J1061&gt;1, "Medial")</f>
        <v>-</v>
      </c>
      <c r="M1061" s="44" t="str">
        <f t="shared" si="2124"/>
        <v>Medial</v>
      </c>
      <c r="N1061" s="5" t="str">
        <f t="shared" si="5"/>
        <v>ˈko:</v>
      </c>
      <c r="O1061" s="5" t="str">
        <f t="shared" si="6"/>
        <v>-</v>
      </c>
      <c r="P1061" s="5" t="str">
        <f t="shared" si="7"/>
        <v>kɐ</v>
      </c>
      <c r="Q1061" s="5" t="str">
        <f t="shared" si="8"/>
        <v>su</v>
      </c>
      <c r="R1061" s="3"/>
      <c r="S1061" s="3" t="s">
        <v>3075</v>
      </c>
      <c r="T1061" s="3" t="s">
        <v>3076</v>
      </c>
      <c r="U1061" s="3" t="s">
        <v>22</v>
      </c>
      <c r="V1061" s="5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</row>
    <row r="1062">
      <c r="A1062" s="3" t="s">
        <v>14</v>
      </c>
      <c r="B1062" s="3" t="s">
        <v>3072</v>
      </c>
      <c r="C1062" s="3" t="s">
        <v>3073</v>
      </c>
      <c r="D1062" s="3" t="s">
        <v>3072</v>
      </c>
      <c r="E1062" s="3" t="s">
        <v>3074</v>
      </c>
      <c r="F1062" s="3" t="s">
        <v>36</v>
      </c>
      <c r="G1062" s="3" t="s">
        <v>362</v>
      </c>
      <c r="H1062" s="43">
        <f t="shared" ref="H1062:I1062" si="2125">LEN(D1062)-LEN(B1062)+1</f>
        <v>1</v>
      </c>
      <c r="I1062" s="43">
        <f t="shared" si="2125"/>
        <v>3</v>
      </c>
      <c r="J1062" s="4" t="s">
        <v>36</v>
      </c>
      <c r="K1062" s="4">
        <v>3.0</v>
      </c>
      <c r="L1062" s="5" t="str">
        <f t="shared" ref="L1062:M1062" si="2126">IFS(J1062="-", "-", J1062=H1062, "Final", J1062=1, "Initial", J1062&gt;1, "Medial")</f>
        <v>-</v>
      </c>
      <c r="M1062" s="44" t="str">
        <f t="shared" si="2126"/>
        <v>Final</v>
      </c>
      <c r="N1062" s="5" t="str">
        <f t="shared" si="5"/>
        <v>-</v>
      </c>
      <c r="O1062" s="5" t="str">
        <f t="shared" si="6"/>
        <v>-</v>
      </c>
      <c r="P1062" s="5" t="str">
        <f t="shared" si="7"/>
        <v>ˈɾo</v>
      </c>
      <c r="Q1062" s="5">
        <f t="shared" si="8"/>
        <v>3</v>
      </c>
      <c r="R1062" s="3"/>
      <c r="S1062" s="3" t="s">
        <v>3075</v>
      </c>
      <c r="T1062" s="3" t="s">
        <v>3076</v>
      </c>
      <c r="U1062" s="3" t="s">
        <v>22</v>
      </c>
      <c r="V1062" s="5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>
      <c r="A1063" s="3" t="s">
        <v>14</v>
      </c>
      <c r="B1063" s="3" t="s">
        <v>3077</v>
      </c>
      <c r="C1063" s="3" t="s">
        <v>3078</v>
      </c>
      <c r="D1063" s="3" t="s">
        <v>3079</v>
      </c>
      <c r="E1063" s="3" t="s">
        <v>3080</v>
      </c>
      <c r="F1063" s="3" t="s">
        <v>1396</v>
      </c>
      <c r="G1063" s="3" t="s">
        <v>1396</v>
      </c>
      <c r="H1063" s="43">
        <f t="shared" ref="H1063:I1063" si="2127">LEN(D1063)-LEN(B1063)+1</f>
        <v>2</v>
      </c>
      <c r="I1063" s="43">
        <f t="shared" si="2127"/>
        <v>2</v>
      </c>
      <c r="J1063" s="4">
        <v>1.0</v>
      </c>
      <c r="K1063" s="4">
        <v>1.0</v>
      </c>
      <c r="L1063" s="5" t="str">
        <f t="shared" ref="L1063:M1063" si="2128">IFS(J1063="-", "-", J1063=H1063, "Final", J1063=1, "Initial", J1063&gt;1, "Medial")</f>
        <v>Initial</v>
      </c>
      <c r="M1063" s="44" t="str">
        <f t="shared" si="2128"/>
        <v>Initial</v>
      </c>
      <c r="N1063" s="5" t="str">
        <f t="shared" si="5"/>
        <v>0</v>
      </c>
      <c r="O1063" s="5" t="str">
        <f t="shared" si="6"/>
        <v>jɐ</v>
      </c>
      <c r="P1063" s="5" t="str">
        <f t="shared" si="7"/>
        <v>0</v>
      </c>
      <c r="Q1063" s="5" t="str">
        <f t="shared" si="8"/>
        <v>ʎɐ</v>
      </c>
      <c r="R1063" s="5"/>
      <c r="S1063" s="3" t="s">
        <v>3081</v>
      </c>
      <c r="T1063" s="3" t="s">
        <v>3082</v>
      </c>
      <c r="U1063" s="3" t="s">
        <v>22</v>
      </c>
      <c r="V1063" s="5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>
      <c r="A1064" s="3" t="s">
        <v>14</v>
      </c>
      <c r="B1064" s="3" t="s">
        <v>3077</v>
      </c>
      <c r="C1064" s="3" t="s">
        <v>3078</v>
      </c>
      <c r="D1064" s="3" t="s">
        <v>3079</v>
      </c>
      <c r="E1064" s="3" t="s">
        <v>3080</v>
      </c>
      <c r="F1064" s="3" t="s">
        <v>840</v>
      </c>
      <c r="G1064" s="3" t="s">
        <v>482</v>
      </c>
      <c r="H1064" s="43">
        <f t="shared" ref="H1064:I1064" si="2129">LEN(D1064)-LEN(B1064)+1</f>
        <v>2</v>
      </c>
      <c r="I1064" s="43">
        <f t="shared" si="2129"/>
        <v>2</v>
      </c>
      <c r="J1064" s="4">
        <v>2.0</v>
      </c>
      <c r="K1064" s="4">
        <v>2.0</v>
      </c>
      <c r="L1064" s="5" t="str">
        <f t="shared" ref="L1064:M1064" si="2130">IFS(J1064="-", "-", J1064=H1064, "Final", J1064=1, "Initial", J1064&gt;1, "Medial")</f>
        <v>Final</v>
      </c>
      <c r="M1064" s="44" t="str">
        <f t="shared" si="2130"/>
        <v>Final</v>
      </c>
      <c r="N1064" s="5" t="str">
        <f t="shared" si="5"/>
        <v>ˈpa</v>
      </c>
      <c r="O1064" s="5">
        <f t="shared" si="6"/>
        <v>2</v>
      </c>
      <c r="P1064" s="5" t="str">
        <f t="shared" si="7"/>
        <v>ˈpa</v>
      </c>
      <c r="Q1064" s="5">
        <f t="shared" si="8"/>
        <v>2</v>
      </c>
      <c r="R1064" s="5"/>
      <c r="S1064" s="3" t="s">
        <v>3081</v>
      </c>
      <c r="T1064" s="3" t="s">
        <v>3082</v>
      </c>
      <c r="U1064" s="3" t="s">
        <v>22</v>
      </c>
      <c r="V1064" s="5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</row>
    <row r="1065">
      <c r="A1065" s="15" t="s">
        <v>14</v>
      </c>
      <c r="B1065" s="15" t="s">
        <v>3083</v>
      </c>
      <c r="C1065" s="15" t="s">
        <v>3084</v>
      </c>
      <c r="D1065" s="15" t="s">
        <v>3085</v>
      </c>
      <c r="E1065" s="15" t="s">
        <v>3086</v>
      </c>
      <c r="F1065" s="15" t="s">
        <v>3087</v>
      </c>
      <c r="G1065" s="15" t="s">
        <v>3088</v>
      </c>
      <c r="H1065" s="43">
        <f t="shared" ref="H1065:I1065" si="2131">LEN(D1065)-LEN(B1065)+1</f>
        <v>2</v>
      </c>
      <c r="I1065" s="43">
        <f t="shared" si="2131"/>
        <v>3</v>
      </c>
      <c r="J1065" s="18">
        <v>1.0</v>
      </c>
      <c r="K1065" s="18">
        <v>1.0</v>
      </c>
      <c r="L1065" s="5" t="str">
        <f t="shared" ref="L1065:M1065" si="2132">IFS(J1065="-", "-", J1065=H1065, "Final", J1065=1, "Initial", J1065&gt;1, "Medial")</f>
        <v>Initial</v>
      </c>
      <c r="M1065" s="44" t="str">
        <f t="shared" si="2132"/>
        <v>Initial</v>
      </c>
      <c r="N1065" s="5" t="str">
        <f t="shared" si="5"/>
        <v>0</v>
      </c>
      <c r="O1065" s="5" t="str">
        <f t="shared" si="6"/>
        <v>mɐ</v>
      </c>
      <c r="P1065" s="5" t="str">
        <f t="shared" si="7"/>
        <v>0</v>
      </c>
      <c r="Q1065" s="5" t="str">
        <f t="shared" si="8"/>
        <v>ˈmɐj</v>
      </c>
      <c r="R1065" s="15" t="s">
        <v>80</v>
      </c>
      <c r="S1065" s="15" t="s">
        <v>3089</v>
      </c>
      <c r="T1065" s="15" t="s">
        <v>3090</v>
      </c>
      <c r="U1065" s="15" t="s">
        <v>22</v>
      </c>
      <c r="V1065" s="20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</row>
    <row r="1066">
      <c r="A1066" s="15" t="s">
        <v>14</v>
      </c>
      <c r="B1066" s="15" t="s">
        <v>3083</v>
      </c>
      <c r="C1066" s="15" t="s">
        <v>3084</v>
      </c>
      <c r="D1066" s="15" t="s">
        <v>3085</v>
      </c>
      <c r="E1066" s="15" t="s">
        <v>3086</v>
      </c>
      <c r="F1066" s="15" t="s">
        <v>158</v>
      </c>
      <c r="G1066" s="15" t="s">
        <v>810</v>
      </c>
      <c r="H1066" s="43">
        <f t="shared" ref="H1066:I1066" si="2133">LEN(D1066)-LEN(B1066)+1</f>
        <v>2</v>
      </c>
      <c r="I1066" s="43">
        <f t="shared" si="2133"/>
        <v>3</v>
      </c>
      <c r="J1066" s="18">
        <v>2.0</v>
      </c>
      <c r="K1066" s="18">
        <v>2.0</v>
      </c>
      <c r="L1066" s="5" t="str">
        <f t="shared" ref="L1066:M1066" si="2134">IFS(J1066="-", "-", J1066=H1066, "Final", J1066=1, "Initial", J1066&gt;1, "Medial")</f>
        <v>Final</v>
      </c>
      <c r="M1066" s="44" t="str">
        <f t="shared" si="2134"/>
        <v>Medial</v>
      </c>
      <c r="N1066" s="5" t="str">
        <f t="shared" si="5"/>
        <v>ˈpwɛ</v>
      </c>
      <c r="O1066" s="5" t="str">
        <f t="shared" si="6"/>
        <v>-</v>
      </c>
      <c r="P1066" s="5" t="str">
        <f t="shared" si="7"/>
        <v>pal</v>
      </c>
      <c r="Q1066" s="5" t="str">
        <f t="shared" si="8"/>
        <v>ɾɐ</v>
      </c>
      <c r="R1066" s="15"/>
      <c r="S1066" s="15" t="s">
        <v>3089</v>
      </c>
      <c r="T1066" s="15" t="s">
        <v>3090</v>
      </c>
      <c r="U1066" s="15" t="s">
        <v>22</v>
      </c>
      <c r="V1066" s="20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</row>
    <row r="1067">
      <c r="A1067" s="15" t="s">
        <v>14</v>
      </c>
      <c r="B1067" s="15" t="s">
        <v>3083</v>
      </c>
      <c r="C1067" s="15" t="s">
        <v>3084</v>
      </c>
      <c r="D1067" s="15" t="s">
        <v>3085</v>
      </c>
      <c r="E1067" s="15" t="s">
        <v>3086</v>
      </c>
      <c r="F1067" s="15" t="s">
        <v>36</v>
      </c>
      <c r="G1067" s="15" t="s">
        <v>103</v>
      </c>
      <c r="H1067" s="43">
        <f t="shared" ref="H1067:I1067" si="2135">LEN(D1067)-LEN(B1067)+1</f>
        <v>2</v>
      </c>
      <c r="I1067" s="43">
        <f t="shared" si="2135"/>
        <v>3</v>
      </c>
      <c r="J1067" s="18" t="s">
        <v>36</v>
      </c>
      <c r="K1067" s="18">
        <v>3.0</v>
      </c>
      <c r="L1067" s="5" t="str">
        <f t="shared" ref="L1067:M1067" si="2136">IFS(J1067="-", "-", J1067=H1067, "Final", J1067=1, "Initial", J1067&gt;1, "Medial")</f>
        <v>-</v>
      </c>
      <c r="M1067" s="44" t="str">
        <f t="shared" si="2136"/>
        <v>Final</v>
      </c>
      <c r="N1067" s="5" t="str">
        <f t="shared" si="5"/>
        <v>mɐ</v>
      </c>
      <c r="O1067" s="5" t="str">
        <f t="shared" si="6"/>
        <v>-</v>
      </c>
      <c r="P1067" s="5" t="str">
        <f t="shared" si="7"/>
        <v>ˈmɐj</v>
      </c>
      <c r="Q1067" s="5">
        <f t="shared" si="8"/>
        <v>3</v>
      </c>
      <c r="R1067" s="20"/>
      <c r="S1067" s="15" t="s">
        <v>3089</v>
      </c>
      <c r="T1067" s="15" t="s">
        <v>3090</v>
      </c>
      <c r="U1067" s="15" t="s">
        <v>22</v>
      </c>
      <c r="V1067" s="20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</row>
    <row r="1068">
      <c r="A1068" s="3" t="s">
        <v>14</v>
      </c>
      <c r="B1068" s="3" t="s">
        <v>3091</v>
      </c>
      <c r="C1068" s="3" t="s">
        <v>3092</v>
      </c>
      <c r="D1068" s="3" t="s">
        <v>3093</v>
      </c>
      <c r="E1068" s="3" t="s">
        <v>3094</v>
      </c>
      <c r="F1068" s="3" t="s">
        <v>1541</v>
      </c>
      <c r="G1068" s="3" t="s">
        <v>3088</v>
      </c>
      <c r="H1068" s="43">
        <f t="shared" ref="H1068:I1068" si="2137">LEN(D1068)-LEN(B1068)+1</f>
        <v>3</v>
      </c>
      <c r="I1068" s="43">
        <f t="shared" si="2137"/>
        <v>3</v>
      </c>
      <c r="J1068" s="4">
        <v>1.0</v>
      </c>
      <c r="K1068" s="4">
        <v>1.0</v>
      </c>
      <c r="L1068" s="5" t="str">
        <f t="shared" ref="L1068:M1068" si="2138">IFS(J1068="-", "-", J1068=H1068, "Final", J1068=1, "Initial", J1068&gt;1, "Medial")</f>
        <v>Initial</v>
      </c>
      <c r="M1068" s="44" t="str">
        <f t="shared" si="2138"/>
        <v>Initial</v>
      </c>
      <c r="N1068" s="5" t="str">
        <f t="shared" si="5"/>
        <v>0</v>
      </c>
      <c r="O1068" s="5" t="str">
        <f t="shared" si="6"/>
        <v>ˈmi</v>
      </c>
      <c r="P1068" s="5" t="str">
        <f t="shared" si="7"/>
        <v>0</v>
      </c>
      <c r="Q1068" s="5" t="str">
        <f t="shared" si="8"/>
        <v>ˈmi</v>
      </c>
      <c r="R1068" s="5"/>
      <c r="S1068" s="3" t="s">
        <v>3095</v>
      </c>
      <c r="T1068" s="3" t="s">
        <v>3096</v>
      </c>
      <c r="U1068" s="3" t="s">
        <v>22</v>
      </c>
      <c r="V1068" s="5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</row>
    <row r="1069">
      <c r="A1069" s="3" t="s">
        <v>14</v>
      </c>
      <c r="B1069" s="3" t="s">
        <v>3091</v>
      </c>
      <c r="C1069" s="3" t="s">
        <v>3092</v>
      </c>
      <c r="D1069" s="3" t="s">
        <v>3093</v>
      </c>
      <c r="E1069" s="3" t="s">
        <v>3094</v>
      </c>
      <c r="F1069" s="3" t="s">
        <v>918</v>
      </c>
      <c r="G1069" s="3" t="s">
        <v>918</v>
      </c>
      <c r="H1069" s="43">
        <f t="shared" ref="H1069:I1069" si="2139">LEN(D1069)-LEN(B1069)+1</f>
        <v>3</v>
      </c>
      <c r="I1069" s="43">
        <f t="shared" si="2139"/>
        <v>3</v>
      </c>
      <c r="J1069" s="4">
        <v>2.0</v>
      </c>
      <c r="K1069" s="4">
        <v>2.0</v>
      </c>
      <c r="L1069" s="5" t="str">
        <f t="shared" ref="L1069:M1069" si="2140">IFS(J1069="-", "-", J1069=H1069, "Final", J1069=1, "Initial", J1069&gt;1, "Medial")</f>
        <v>Medial</v>
      </c>
      <c r="M1069" s="44" t="str">
        <f t="shared" si="2140"/>
        <v>Medial</v>
      </c>
      <c r="N1069" s="5" t="str">
        <f t="shared" si="5"/>
        <v>pa</v>
      </c>
      <c r="O1069" s="5" t="str">
        <f t="shared" si="6"/>
        <v>tu</v>
      </c>
      <c r="P1069" s="5" t="str">
        <f t="shared" si="7"/>
        <v>pal</v>
      </c>
      <c r="Q1069" s="5" t="str">
        <f t="shared" si="8"/>
        <v>tu</v>
      </c>
      <c r="R1069" s="5"/>
      <c r="S1069" s="3" t="s">
        <v>3095</v>
      </c>
      <c r="T1069" s="3" t="s">
        <v>3096</v>
      </c>
      <c r="U1069" s="3" t="s">
        <v>22</v>
      </c>
      <c r="V1069" s="5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</row>
    <row r="1070">
      <c r="A1070" s="3" t="s">
        <v>14</v>
      </c>
      <c r="B1070" s="3" t="s">
        <v>3091</v>
      </c>
      <c r="C1070" s="3" t="s">
        <v>3092</v>
      </c>
      <c r="D1070" s="3" t="s">
        <v>3093</v>
      </c>
      <c r="E1070" s="3" t="s">
        <v>3094</v>
      </c>
      <c r="F1070" s="3" t="s">
        <v>784</v>
      </c>
      <c r="G1070" s="3" t="s">
        <v>784</v>
      </c>
      <c r="H1070" s="43">
        <f t="shared" ref="H1070:I1070" si="2141">LEN(D1070)-LEN(B1070)+1</f>
        <v>3</v>
      </c>
      <c r="I1070" s="43">
        <f t="shared" si="2141"/>
        <v>3</v>
      </c>
      <c r="J1070" s="4">
        <v>3.0</v>
      </c>
      <c r="K1070" s="4">
        <v>3.0</v>
      </c>
      <c r="L1070" s="5" t="str">
        <f t="shared" ref="L1070:M1070" si="2142">IFS(J1070="-", "-", J1070=H1070, "Final", J1070=1, "Initial", J1070&gt;1, "Medial")</f>
        <v>Final</v>
      </c>
      <c r="M1070" s="44" t="str">
        <f t="shared" si="2142"/>
        <v>Final</v>
      </c>
      <c r="N1070" s="5" t="str">
        <f t="shared" si="5"/>
        <v>ˈmi</v>
      </c>
      <c r="O1070" s="5">
        <f t="shared" si="6"/>
        <v>3</v>
      </c>
      <c r="P1070" s="5" t="str">
        <f t="shared" si="7"/>
        <v>ˈmi</v>
      </c>
      <c r="Q1070" s="5">
        <f t="shared" si="8"/>
        <v>3</v>
      </c>
      <c r="R1070" s="5"/>
      <c r="S1070" s="3" t="s">
        <v>3095</v>
      </c>
      <c r="T1070" s="3" t="s">
        <v>3096</v>
      </c>
      <c r="U1070" s="3" t="s">
        <v>22</v>
      </c>
      <c r="V1070" s="5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>
      <c r="A1071" s="3" t="s">
        <v>14</v>
      </c>
      <c r="B1071" s="3" t="s">
        <v>3097</v>
      </c>
      <c r="C1071" s="3" t="s">
        <v>3098</v>
      </c>
      <c r="D1071" s="3" t="s">
        <v>3099</v>
      </c>
      <c r="E1071" s="3" t="s">
        <v>3100</v>
      </c>
      <c r="F1071" s="3" t="s">
        <v>228</v>
      </c>
      <c r="G1071" s="3" t="s">
        <v>3101</v>
      </c>
      <c r="H1071" s="43">
        <f t="shared" ref="H1071:I1071" si="2143">LEN(D1071)-LEN(B1071)+1</f>
        <v>2</v>
      </c>
      <c r="I1071" s="43">
        <f t="shared" si="2143"/>
        <v>2</v>
      </c>
      <c r="J1071" s="4">
        <v>1.0</v>
      </c>
      <c r="K1071" s="4">
        <v>1.0</v>
      </c>
      <c r="L1071" s="5" t="str">
        <f t="shared" ref="L1071:M1071" si="2144">IFS(J1071="-", "-", J1071=H1071, "Final", J1071=1, "Initial", J1071&gt;1, "Medial")</f>
        <v>Initial</v>
      </c>
      <c r="M1071" s="44" t="str">
        <f t="shared" si="2144"/>
        <v>Initial</v>
      </c>
      <c r="N1071" s="5" t="str">
        <f t="shared" si="5"/>
        <v>0</v>
      </c>
      <c r="O1071" s="5" t="str">
        <f t="shared" si="6"/>
        <v>ta</v>
      </c>
      <c r="P1071" s="5" t="str">
        <f t="shared" si="7"/>
        <v>0</v>
      </c>
      <c r="Q1071" s="5" t="str">
        <f t="shared" si="8"/>
        <v>tɐ</v>
      </c>
      <c r="R1071" s="5"/>
      <c r="S1071" s="3" t="s">
        <v>3102</v>
      </c>
      <c r="T1071" s="3" t="s">
        <v>1736</v>
      </c>
      <c r="U1071" s="3" t="s">
        <v>22</v>
      </c>
      <c r="V1071" s="5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</row>
    <row r="1072">
      <c r="A1072" s="3" t="s">
        <v>14</v>
      </c>
      <c r="B1072" s="3" t="s">
        <v>3097</v>
      </c>
      <c r="C1072" s="3" t="s">
        <v>3098</v>
      </c>
      <c r="D1072" s="3" t="s">
        <v>3099</v>
      </c>
      <c r="E1072" s="3" t="s">
        <v>3100</v>
      </c>
      <c r="F1072" s="3" t="s">
        <v>3103</v>
      </c>
      <c r="G1072" s="3" t="s">
        <v>238</v>
      </c>
      <c r="H1072" s="43">
        <f t="shared" ref="H1072:I1072" si="2145">LEN(D1072)-LEN(B1072)+1</f>
        <v>2</v>
      </c>
      <c r="I1072" s="43">
        <f t="shared" si="2145"/>
        <v>2</v>
      </c>
      <c r="J1072" s="4">
        <v>2.0</v>
      </c>
      <c r="K1072" s="4">
        <v>2.0</v>
      </c>
      <c r="L1072" s="5" t="str">
        <f t="shared" ref="L1072:M1072" si="2146">IFS(J1072="-", "-", J1072=H1072, "Final", J1072=1, "Initial", J1072&gt;1, "Medial")</f>
        <v>Final</v>
      </c>
      <c r="M1072" s="44" t="str">
        <f t="shared" si="2146"/>
        <v>Final</v>
      </c>
      <c r="N1072" s="5" t="str">
        <f t="shared" si="5"/>
        <v>ˈpɐ̃</v>
      </c>
      <c r="O1072" s="5">
        <f t="shared" si="6"/>
        <v>2</v>
      </c>
      <c r="P1072" s="5" t="str">
        <f t="shared" si="7"/>
        <v>ˈplɐ̃</v>
      </c>
      <c r="Q1072" s="5">
        <f t="shared" si="8"/>
        <v>2</v>
      </c>
      <c r="R1072" s="5"/>
      <c r="S1072" s="3" t="s">
        <v>3102</v>
      </c>
      <c r="T1072" s="3" t="s">
        <v>1736</v>
      </c>
      <c r="U1072" s="3" t="s">
        <v>22</v>
      </c>
      <c r="V1072" s="5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</row>
    <row r="1073">
      <c r="A1073" s="3" t="s">
        <v>14</v>
      </c>
      <c r="B1073" s="3" t="s">
        <v>3104</v>
      </c>
      <c r="C1073" s="3" t="s">
        <v>3105</v>
      </c>
      <c r="D1073" s="3" t="s">
        <v>3106</v>
      </c>
      <c r="E1073" s="3" t="s">
        <v>3107</v>
      </c>
      <c r="F1073" s="3" t="s">
        <v>848</v>
      </c>
      <c r="G1073" s="3" t="s">
        <v>987</v>
      </c>
      <c r="H1073" s="43">
        <f t="shared" ref="H1073:I1073" si="2147">LEN(D1073)-LEN(B1073)+1</f>
        <v>3</v>
      </c>
      <c r="I1073" s="43">
        <f t="shared" si="2147"/>
        <v>3</v>
      </c>
      <c r="J1073" s="4">
        <v>1.0</v>
      </c>
      <c r="K1073" s="4">
        <v>1.0</v>
      </c>
      <c r="L1073" s="5" t="str">
        <f t="shared" ref="L1073:M1073" si="2148">IFS(J1073="-", "-", J1073=H1073, "Final", J1073=1, "Initial", J1073&gt;1, "Medial")</f>
        <v>Initial</v>
      </c>
      <c r="M1073" s="44" t="str">
        <f t="shared" si="2148"/>
        <v>Initial</v>
      </c>
      <c r="N1073" s="5" t="str">
        <f t="shared" si="5"/>
        <v>0</v>
      </c>
      <c r="O1073" s="5" t="str">
        <f t="shared" si="6"/>
        <v>mɛ̃</v>
      </c>
      <c r="P1073" s="5" t="str">
        <f t="shared" si="7"/>
        <v>0</v>
      </c>
      <c r="Q1073" s="5" t="str">
        <f t="shared" si="8"/>
        <v>ˈmẽ</v>
      </c>
      <c r="R1073" s="5"/>
      <c r="S1073" s="3" t="s">
        <v>3108</v>
      </c>
      <c r="T1073" s="3" t="s">
        <v>3109</v>
      </c>
      <c r="U1073" s="3" t="s">
        <v>22</v>
      </c>
      <c r="V1073" s="5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</row>
    <row r="1074">
      <c r="A1074" s="3" t="s">
        <v>14</v>
      </c>
      <c r="B1074" s="3" t="s">
        <v>3104</v>
      </c>
      <c r="C1074" s="3" t="s">
        <v>3105</v>
      </c>
      <c r="D1074" s="3" t="s">
        <v>3106</v>
      </c>
      <c r="E1074" s="3" t="s">
        <v>3107</v>
      </c>
      <c r="F1074" s="3" t="s">
        <v>3110</v>
      </c>
      <c r="G1074" s="3" t="s">
        <v>3111</v>
      </c>
      <c r="H1074" s="43">
        <f t="shared" ref="H1074:I1074" si="2149">LEN(D1074)-LEN(B1074)+1</f>
        <v>3</v>
      </c>
      <c r="I1074" s="43">
        <f t="shared" si="2149"/>
        <v>3</v>
      </c>
      <c r="J1074" s="4">
        <v>2.0</v>
      </c>
      <c r="K1074" s="4">
        <v>2.0</v>
      </c>
      <c r="L1074" s="5" t="str">
        <f t="shared" ref="L1074:M1074" si="2150">IFS(J1074="-", "-", J1074=H1074, "Final", J1074=1, "Initial", J1074&gt;1, "Medial")</f>
        <v>Medial</v>
      </c>
      <c r="M1074" s="44" t="str">
        <f t="shared" si="2150"/>
        <v>Medial</v>
      </c>
      <c r="N1074" s="5" t="str">
        <f t="shared" si="5"/>
        <v>ʃi</v>
      </c>
      <c r="O1074" s="5" t="str">
        <f t="shared" si="6"/>
        <v>t̠ʃi</v>
      </c>
      <c r="P1074" s="5" t="str">
        <f t="shared" si="7"/>
        <v>sɨ</v>
      </c>
      <c r="Q1074" s="5" t="str">
        <f t="shared" si="8"/>
        <v>tɨ</v>
      </c>
      <c r="R1074" s="5"/>
      <c r="S1074" s="3" t="s">
        <v>3108</v>
      </c>
      <c r="T1074" s="3" t="s">
        <v>3109</v>
      </c>
      <c r="U1074" s="3" t="s">
        <v>22</v>
      </c>
      <c r="V1074" s="5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</row>
    <row r="1075">
      <c r="A1075" s="3" t="s">
        <v>14</v>
      </c>
      <c r="B1075" s="3" t="s">
        <v>3104</v>
      </c>
      <c r="C1075" s="3" t="s">
        <v>3105</v>
      </c>
      <c r="D1075" s="3" t="s">
        <v>3106</v>
      </c>
      <c r="E1075" s="3" t="s">
        <v>3107</v>
      </c>
      <c r="F1075" s="3" t="s">
        <v>55</v>
      </c>
      <c r="G1075" s="3" t="s">
        <v>56</v>
      </c>
      <c r="H1075" s="43">
        <f t="shared" ref="H1075:I1075" si="2151">LEN(D1075)-LEN(B1075)+1</f>
        <v>3</v>
      </c>
      <c r="I1075" s="43">
        <f t="shared" si="2151"/>
        <v>3</v>
      </c>
      <c r="J1075" s="4">
        <v>3.0</v>
      </c>
      <c r="K1075" s="4">
        <v>3.0</v>
      </c>
      <c r="L1075" s="5" t="str">
        <f t="shared" ref="L1075:M1075" si="2152">IFS(J1075="-", "-", J1075=H1075, "Final", J1075=1, "Initial", J1075&gt;1, "Medial")</f>
        <v>Final</v>
      </c>
      <c r="M1075" s="44" t="str">
        <f t="shared" si="2152"/>
        <v>Final</v>
      </c>
      <c r="N1075" s="5" t="str">
        <f t="shared" si="5"/>
        <v>mɛ̃</v>
      </c>
      <c r="O1075" s="5">
        <f t="shared" si="6"/>
        <v>3</v>
      </c>
      <c r="P1075" s="5" t="str">
        <f t="shared" si="7"/>
        <v>ˈmẽ</v>
      </c>
      <c r="Q1075" s="5">
        <f t="shared" si="8"/>
        <v>3</v>
      </c>
      <c r="R1075" s="5"/>
      <c r="S1075" s="3" t="s">
        <v>3108</v>
      </c>
      <c r="T1075" s="3" t="s">
        <v>3109</v>
      </c>
      <c r="U1075" s="3" t="s">
        <v>22</v>
      </c>
      <c r="V1075" s="5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>
      <c r="A1076" s="3" t="s">
        <v>14</v>
      </c>
      <c r="B1076" s="3" t="s">
        <v>3112</v>
      </c>
      <c r="C1076" s="3" t="s">
        <v>3113</v>
      </c>
      <c r="D1076" s="3" t="s">
        <v>3114</v>
      </c>
      <c r="E1076" s="3" t="s">
        <v>3115</v>
      </c>
      <c r="F1076" s="3" t="s">
        <v>362</v>
      </c>
      <c r="G1076" s="3" t="s">
        <v>301</v>
      </c>
      <c r="H1076" s="43">
        <f t="shared" ref="H1076:I1076" si="2153">LEN(D1076)-LEN(B1076)+1</f>
        <v>3</v>
      </c>
      <c r="I1076" s="43">
        <f t="shared" si="2153"/>
        <v>3</v>
      </c>
      <c r="J1076" s="4">
        <v>1.0</v>
      </c>
      <c r="K1076" s="4">
        <v>1.0</v>
      </c>
      <c r="L1076" s="5" t="str">
        <f t="shared" ref="L1076:M1076" si="2154">IFS(J1076="-", "-", J1076=H1076, "Final", J1076=1, "Initial", J1076&gt;1, "Medial")</f>
        <v>Initial</v>
      </c>
      <c r="M1076" s="44" t="str">
        <f t="shared" si="2154"/>
        <v>Initial</v>
      </c>
      <c r="N1076" s="5" t="str">
        <f t="shared" si="5"/>
        <v>0</v>
      </c>
      <c r="O1076" s="5" t="str">
        <f t="shared" si="6"/>
        <v>ˈpi</v>
      </c>
      <c r="P1076" s="5" t="str">
        <f t="shared" si="7"/>
        <v>0</v>
      </c>
      <c r="Q1076" s="5" t="str">
        <f t="shared" si="8"/>
        <v>ˈpi</v>
      </c>
      <c r="R1076" s="5"/>
      <c r="S1076" s="3" t="s">
        <v>3116</v>
      </c>
      <c r="T1076" s="3" t="s">
        <v>479</v>
      </c>
      <c r="U1076" s="3" t="s">
        <v>22</v>
      </c>
      <c r="V1076" s="5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</row>
    <row r="1077">
      <c r="A1077" s="3" t="s">
        <v>14</v>
      </c>
      <c r="B1077" s="3" t="s">
        <v>3112</v>
      </c>
      <c r="C1077" s="3" t="s">
        <v>3113</v>
      </c>
      <c r="D1077" s="3" t="s">
        <v>3114</v>
      </c>
      <c r="E1077" s="3" t="s">
        <v>3115</v>
      </c>
      <c r="F1077" s="3" t="s">
        <v>436</v>
      </c>
      <c r="G1077" s="3" t="s">
        <v>436</v>
      </c>
      <c r="H1077" s="43">
        <f t="shared" ref="H1077:I1077" si="2155">LEN(D1077)-LEN(B1077)+1</f>
        <v>3</v>
      </c>
      <c r="I1077" s="43">
        <f t="shared" si="2155"/>
        <v>3</v>
      </c>
      <c r="J1077" s="4">
        <v>2.0</v>
      </c>
      <c r="K1077" s="4">
        <v>2.0</v>
      </c>
      <c r="L1077" s="5" t="str">
        <f t="shared" ref="L1077:M1077" si="2156">IFS(J1077="-", "-", J1077=H1077, "Final", J1077=1, "Initial", J1077&gt;1, "Medial")</f>
        <v>Medial</v>
      </c>
      <c r="M1077" s="44" t="str">
        <f t="shared" si="2156"/>
        <v>Medial</v>
      </c>
      <c r="N1077" s="5" t="str">
        <f t="shared" si="5"/>
        <v>su</v>
      </c>
      <c r="O1077" s="5" t="str">
        <f t="shared" si="6"/>
        <v>gɐ</v>
      </c>
      <c r="P1077" s="5" t="str">
        <f t="shared" si="7"/>
        <v>ʃ</v>
      </c>
      <c r="Q1077" s="5" t="str">
        <f t="shared" si="8"/>
        <v>gɐ</v>
      </c>
      <c r="R1077" s="5"/>
      <c r="S1077" s="3" t="s">
        <v>3116</v>
      </c>
      <c r="T1077" s="3" t="s">
        <v>479</v>
      </c>
      <c r="U1077" s="3" t="s">
        <v>22</v>
      </c>
      <c r="V1077" s="5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</row>
    <row r="1078">
      <c r="A1078" s="3" t="s">
        <v>14</v>
      </c>
      <c r="B1078" s="3" t="s">
        <v>3112</v>
      </c>
      <c r="C1078" s="3" t="s">
        <v>3113</v>
      </c>
      <c r="D1078" s="3" t="s">
        <v>3114</v>
      </c>
      <c r="E1078" s="3" t="s">
        <v>3115</v>
      </c>
      <c r="F1078" s="3" t="s">
        <v>190</v>
      </c>
      <c r="G1078" s="3" t="s">
        <v>190</v>
      </c>
      <c r="H1078" s="43">
        <f t="shared" ref="H1078:I1078" si="2157">LEN(D1078)-LEN(B1078)+1</f>
        <v>3</v>
      </c>
      <c r="I1078" s="43">
        <f t="shared" si="2157"/>
        <v>3</v>
      </c>
      <c r="J1078" s="4">
        <v>3.0</v>
      </c>
      <c r="K1078" s="4">
        <v>3.0</v>
      </c>
      <c r="L1078" s="5" t="str">
        <f t="shared" ref="L1078:M1078" si="2158">IFS(J1078="-", "-", J1078=H1078, "Final", J1078=1, "Initial", J1078&gt;1, "Medial")</f>
        <v>Final</v>
      </c>
      <c r="M1078" s="44" t="str">
        <f t="shared" si="2158"/>
        <v>Final</v>
      </c>
      <c r="N1078" s="5" t="str">
        <f t="shared" si="5"/>
        <v>ˈpi</v>
      </c>
      <c r="O1078" s="5">
        <f t="shared" si="6"/>
        <v>3</v>
      </c>
      <c r="P1078" s="5" t="str">
        <f t="shared" si="7"/>
        <v>ˈpi</v>
      </c>
      <c r="Q1078" s="5">
        <f t="shared" si="8"/>
        <v>3</v>
      </c>
      <c r="R1078" s="5"/>
      <c r="S1078" s="3" t="s">
        <v>3116</v>
      </c>
      <c r="T1078" s="3" t="s">
        <v>479</v>
      </c>
      <c r="U1078" s="3" t="s">
        <v>22</v>
      </c>
      <c r="V1078" s="5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</row>
    <row r="1079">
      <c r="A1079" s="3" t="s">
        <v>14</v>
      </c>
      <c r="B1079" s="3" t="s">
        <v>3117</v>
      </c>
      <c r="C1079" s="3" t="s">
        <v>3118</v>
      </c>
      <c r="D1079" s="3" t="s">
        <v>3119</v>
      </c>
      <c r="E1079" s="3" t="s">
        <v>3120</v>
      </c>
      <c r="F1079" s="3" t="s">
        <v>128</v>
      </c>
      <c r="G1079" s="3" t="s">
        <v>1113</v>
      </c>
      <c r="H1079" s="43">
        <f t="shared" ref="H1079:I1079" si="2159">LEN(D1079)-LEN(B1079)+1</f>
        <v>3</v>
      </c>
      <c r="I1079" s="43">
        <f t="shared" si="2159"/>
        <v>3</v>
      </c>
      <c r="J1079" s="4">
        <v>1.0</v>
      </c>
      <c r="K1079" s="4">
        <v>1.0</v>
      </c>
      <c r="L1079" s="5" t="str">
        <f t="shared" ref="L1079:M1079" si="2160">IFS(J1079="-", "-", J1079=H1079, "Final", J1079=1, "Initial", J1079&gt;1, "Medial")</f>
        <v>Initial</v>
      </c>
      <c r="M1079" s="44" t="str">
        <f t="shared" si="2160"/>
        <v>Initial</v>
      </c>
      <c r="N1079" s="5" t="str">
        <f t="shared" si="5"/>
        <v>0</v>
      </c>
      <c r="O1079" s="5" t="str">
        <f t="shared" si="6"/>
        <v>ˈba</v>
      </c>
      <c r="P1079" s="5" t="str">
        <f t="shared" si="7"/>
        <v>0</v>
      </c>
      <c r="Q1079" s="5" t="str">
        <f t="shared" si="8"/>
        <v>ˈbaj</v>
      </c>
      <c r="R1079" s="5"/>
      <c r="S1079" s="3" t="s">
        <v>3121</v>
      </c>
      <c r="T1079" s="3" t="s">
        <v>3122</v>
      </c>
      <c r="U1079" s="3" t="s">
        <v>22</v>
      </c>
      <c r="V1079" s="5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</row>
    <row r="1080">
      <c r="A1080" s="3" t="s">
        <v>14</v>
      </c>
      <c r="B1080" s="3" t="s">
        <v>3117</v>
      </c>
      <c r="C1080" s="3" t="s">
        <v>3118</v>
      </c>
      <c r="D1080" s="3" t="s">
        <v>3119</v>
      </c>
      <c r="E1080" s="3" t="s">
        <v>3120</v>
      </c>
      <c r="F1080" s="3" t="s">
        <v>1248</v>
      </c>
      <c r="G1080" s="3" t="s">
        <v>3123</v>
      </c>
      <c r="H1080" s="43">
        <f t="shared" ref="H1080:I1080" si="2161">LEN(D1080)-LEN(B1080)+1</f>
        <v>3</v>
      </c>
      <c r="I1080" s="43">
        <f t="shared" si="2161"/>
        <v>3</v>
      </c>
      <c r="J1080" s="4">
        <v>2.0</v>
      </c>
      <c r="K1080" s="4">
        <v>2.0</v>
      </c>
      <c r="L1080" s="5" t="str">
        <f t="shared" ref="L1080:M1080" si="2162">IFS(J1080="-", "-", J1080=H1080, "Final", J1080=1, "Initial", J1080&gt;1, "Medial")</f>
        <v>Medial</v>
      </c>
      <c r="M1080" s="44" t="str">
        <f t="shared" si="2162"/>
        <v>Medial</v>
      </c>
      <c r="N1080" s="5" t="str">
        <f t="shared" si="5"/>
        <v>u</v>
      </c>
      <c r="O1080" s="5" t="str">
        <f t="shared" si="6"/>
        <v>su</v>
      </c>
      <c r="P1080" s="5" t="str">
        <f t="shared" si="7"/>
        <v>ẽ</v>
      </c>
      <c r="Q1080" s="5" t="str">
        <f t="shared" si="8"/>
        <v>ʃu</v>
      </c>
      <c r="R1080" s="5"/>
      <c r="S1080" s="3" t="s">
        <v>3121</v>
      </c>
      <c r="T1080" s="3" t="s">
        <v>3122</v>
      </c>
      <c r="U1080" s="3" t="s">
        <v>22</v>
      </c>
      <c r="V1080" s="5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>
      <c r="A1081" s="3" t="s">
        <v>14</v>
      </c>
      <c r="B1081" s="3" t="s">
        <v>3117</v>
      </c>
      <c r="C1081" s="3" t="s">
        <v>3118</v>
      </c>
      <c r="D1081" s="3" t="s">
        <v>3119</v>
      </c>
      <c r="E1081" s="3" t="s">
        <v>3120</v>
      </c>
      <c r="F1081" s="3" t="s">
        <v>362</v>
      </c>
      <c r="G1081" s="3" t="s">
        <v>566</v>
      </c>
      <c r="H1081" s="43">
        <f t="shared" ref="H1081:I1081" si="2163">LEN(D1081)-LEN(B1081)+1</f>
        <v>3</v>
      </c>
      <c r="I1081" s="43">
        <f t="shared" si="2163"/>
        <v>3</v>
      </c>
      <c r="J1081" s="4">
        <v>3.0</v>
      </c>
      <c r="K1081" s="4">
        <v>3.0</v>
      </c>
      <c r="L1081" s="5" t="str">
        <f t="shared" ref="L1081:M1081" si="2164">IFS(J1081="-", "-", J1081=H1081, "Final", J1081=1, "Initial", J1081&gt;1, "Medial")</f>
        <v>Final</v>
      </c>
      <c r="M1081" s="44" t="str">
        <f t="shared" si="2164"/>
        <v>Final</v>
      </c>
      <c r="N1081" s="5" t="str">
        <f t="shared" si="5"/>
        <v>ˈba</v>
      </c>
      <c r="O1081" s="5">
        <f t="shared" si="6"/>
        <v>3</v>
      </c>
      <c r="P1081" s="5" t="str">
        <f t="shared" si="7"/>
        <v>ˈbaj</v>
      </c>
      <c r="Q1081" s="5">
        <f t="shared" si="8"/>
        <v>3</v>
      </c>
      <c r="R1081" s="5"/>
      <c r="S1081" s="3" t="s">
        <v>3121</v>
      </c>
      <c r="T1081" s="3" t="s">
        <v>3122</v>
      </c>
      <c r="U1081" s="3" t="s">
        <v>22</v>
      </c>
      <c r="V1081" s="5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</row>
    <row r="1082">
      <c r="A1082" s="15" t="s">
        <v>14</v>
      </c>
      <c r="B1082" s="15" t="s">
        <v>3124</v>
      </c>
      <c r="C1082" s="15" t="s">
        <v>3125</v>
      </c>
      <c r="D1082" s="15" t="s">
        <v>3126</v>
      </c>
      <c r="E1082" s="15" t="s">
        <v>3127</v>
      </c>
      <c r="F1082" s="15" t="s">
        <v>128</v>
      </c>
      <c r="G1082" s="15" t="s">
        <v>36</v>
      </c>
      <c r="H1082" s="43">
        <f t="shared" ref="H1082:I1082" si="2165">LEN(D1082)-LEN(B1082)+1</f>
        <v>3</v>
      </c>
      <c r="I1082" s="43">
        <f t="shared" si="2165"/>
        <v>2</v>
      </c>
      <c r="J1082" s="18">
        <v>1.0</v>
      </c>
      <c r="K1082" s="18" t="s">
        <v>36</v>
      </c>
      <c r="L1082" s="5" t="str">
        <f t="shared" ref="L1082:M1082" si="2166">IFS(J1082="-", "-", J1082=H1082, "Final", J1082=1, "Initial", J1082&gt;1, "Medial")</f>
        <v>Initial</v>
      </c>
      <c r="M1082" s="44" t="str">
        <f t="shared" si="2166"/>
        <v>-</v>
      </c>
      <c r="N1082" s="5" t="str">
        <f t="shared" si="5"/>
        <v>0</v>
      </c>
      <c r="O1082" s="5" t="str">
        <f t="shared" si="6"/>
        <v>ˈdẽ</v>
      </c>
      <c r="P1082" s="5" t="str">
        <f t="shared" si="7"/>
        <v>0</v>
      </c>
      <c r="Q1082" s="5" t="str">
        <f t="shared" si="8"/>
        <v>ˈdẽ</v>
      </c>
      <c r="R1082" s="20"/>
      <c r="S1082" s="15" t="s">
        <v>3128</v>
      </c>
      <c r="T1082" s="15" t="s">
        <v>3129</v>
      </c>
      <c r="U1082" s="15" t="s">
        <v>22</v>
      </c>
      <c r="V1082" s="20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</row>
    <row r="1083">
      <c r="A1083" s="15" t="s">
        <v>14</v>
      </c>
      <c r="B1083" s="15" t="s">
        <v>3124</v>
      </c>
      <c r="C1083" s="15" t="s">
        <v>3125</v>
      </c>
      <c r="D1083" s="15" t="s">
        <v>3126</v>
      </c>
      <c r="E1083" s="15" t="s">
        <v>3127</v>
      </c>
      <c r="F1083" s="15" t="s">
        <v>54</v>
      </c>
      <c r="G1083" s="15" t="s">
        <v>54</v>
      </c>
      <c r="H1083" s="43">
        <f t="shared" ref="H1083:I1083" si="2167">LEN(D1083)-LEN(B1083)+1</f>
        <v>3</v>
      </c>
      <c r="I1083" s="43">
        <f t="shared" si="2167"/>
        <v>2</v>
      </c>
      <c r="J1083" s="18">
        <v>2.0</v>
      </c>
      <c r="K1083" s="18">
        <v>1.0</v>
      </c>
      <c r="L1083" s="5" t="str">
        <f t="shared" ref="L1083:M1083" si="2168">IFS(J1083="-", "-", J1083=H1083, "Final", J1083=1, "Initial", J1083&gt;1, "Medial")</f>
        <v>Medial</v>
      </c>
      <c r="M1083" s="44" t="str">
        <f t="shared" si="2168"/>
        <v>Initial</v>
      </c>
      <c r="N1083" s="5" t="str">
        <f t="shared" si="5"/>
        <v>u</v>
      </c>
      <c r="O1083" s="5" t="str">
        <f t="shared" si="6"/>
        <v>tu</v>
      </c>
      <c r="P1083" s="5" t="str">
        <f t="shared" si="7"/>
        <v>-</v>
      </c>
      <c r="Q1083" s="5" t="str">
        <f t="shared" si="8"/>
        <v>tɾu</v>
      </c>
      <c r="R1083" s="20"/>
      <c r="S1083" s="15" t="s">
        <v>3128</v>
      </c>
      <c r="T1083" s="15" t="s">
        <v>3129</v>
      </c>
      <c r="U1083" s="15" t="s">
        <v>22</v>
      </c>
      <c r="V1083" s="20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</row>
    <row r="1084">
      <c r="A1084" s="15" t="s">
        <v>14</v>
      </c>
      <c r="B1084" s="15" t="s">
        <v>3124</v>
      </c>
      <c r="C1084" s="15" t="s">
        <v>3125</v>
      </c>
      <c r="D1084" s="15" t="s">
        <v>3126</v>
      </c>
      <c r="E1084" s="15" t="s">
        <v>3127</v>
      </c>
      <c r="F1084" s="15" t="s">
        <v>784</v>
      </c>
      <c r="G1084" s="15" t="s">
        <v>2207</v>
      </c>
      <c r="H1084" s="43">
        <f t="shared" ref="H1084:I1084" si="2169">LEN(D1084)-LEN(B1084)+1</f>
        <v>3</v>
      </c>
      <c r="I1084" s="43">
        <f t="shared" si="2169"/>
        <v>2</v>
      </c>
      <c r="J1084" s="18">
        <v>3.0</v>
      </c>
      <c r="K1084" s="18">
        <v>2.0</v>
      </c>
      <c r="L1084" s="5" t="str">
        <f t="shared" ref="L1084:M1084" si="2170">IFS(J1084="-", "-", J1084=H1084, "Final", J1084=1, "Initial", J1084&gt;1, "Medial")</f>
        <v>Final</v>
      </c>
      <c r="M1084" s="44" t="str">
        <f t="shared" si="2170"/>
        <v>Final</v>
      </c>
      <c r="N1084" s="5" t="str">
        <f t="shared" si="5"/>
        <v>ˈdẽ</v>
      </c>
      <c r="O1084" s="5">
        <f t="shared" si="6"/>
        <v>3</v>
      </c>
      <c r="P1084" s="5" t="str">
        <f t="shared" si="7"/>
        <v>ˈdẽ</v>
      </c>
      <c r="Q1084" s="5">
        <f t="shared" si="8"/>
        <v>2</v>
      </c>
      <c r="R1084" s="20"/>
      <c r="S1084" s="15" t="s">
        <v>3128</v>
      </c>
      <c r="T1084" s="15" t="s">
        <v>3129</v>
      </c>
      <c r="U1084" s="15" t="s">
        <v>22</v>
      </c>
      <c r="V1084" s="20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</row>
    <row r="1085">
      <c r="A1085" s="3" t="s">
        <v>14</v>
      </c>
      <c r="B1085" s="3" t="s">
        <v>2500</v>
      </c>
      <c r="C1085" s="3" t="s">
        <v>3130</v>
      </c>
      <c r="D1085" s="3" t="s">
        <v>2500</v>
      </c>
      <c r="E1085" s="3" t="s">
        <v>3131</v>
      </c>
      <c r="F1085" s="3" t="s">
        <v>2500</v>
      </c>
      <c r="G1085" s="3" t="s">
        <v>2500</v>
      </c>
      <c r="H1085" s="43">
        <f t="shared" ref="H1085:I1085" si="2171">LEN(D1085)-LEN(B1085)+1</f>
        <v>1</v>
      </c>
      <c r="I1085" s="43">
        <f t="shared" si="2171"/>
        <v>2</v>
      </c>
      <c r="J1085" s="4">
        <v>1.0</v>
      </c>
      <c r="K1085" s="4">
        <v>1.0</v>
      </c>
      <c r="L1085" s="5" t="str">
        <f t="shared" ref="L1085:M1085" si="2172">IFS(J1085="-", "-", J1085=H1085, "Final", J1085=1, "Initial", J1085&gt;1, "Medial")</f>
        <v>Final</v>
      </c>
      <c r="M1085" s="44" t="str">
        <f t="shared" si="2172"/>
        <v>Initial</v>
      </c>
      <c r="N1085" s="5" t="str">
        <f t="shared" si="5"/>
        <v>0</v>
      </c>
      <c r="O1085" s="5" t="str">
        <f t="shared" si="6"/>
        <v>-</v>
      </c>
      <c r="P1085" s="5" t="str">
        <f t="shared" si="7"/>
        <v>0</v>
      </c>
      <c r="Q1085" s="5" t="str">
        <f t="shared" si="8"/>
        <v>ɾɐ</v>
      </c>
      <c r="R1085" s="3" t="s">
        <v>80</v>
      </c>
      <c r="S1085" s="3" t="s">
        <v>3132</v>
      </c>
      <c r="T1085" s="3" t="s">
        <v>3133</v>
      </c>
      <c r="U1085" s="3" t="s">
        <v>22</v>
      </c>
      <c r="V1085" s="5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>
      <c r="A1086" s="3" t="s">
        <v>14</v>
      </c>
      <c r="B1086" s="3" t="s">
        <v>2500</v>
      </c>
      <c r="C1086" s="3" t="s">
        <v>3130</v>
      </c>
      <c r="D1086" s="3" t="s">
        <v>2500</v>
      </c>
      <c r="E1086" s="3" t="s">
        <v>3131</v>
      </c>
      <c r="F1086" s="3" t="s">
        <v>36</v>
      </c>
      <c r="G1086" s="3" t="s">
        <v>103</v>
      </c>
      <c r="H1086" s="43">
        <f t="shared" ref="H1086:I1086" si="2173">LEN(D1086)-LEN(B1086)+1</f>
        <v>1</v>
      </c>
      <c r="I1086" s="43">
        <f t="shared" si="2173"/>
        <v>2</v>
      </c>
      <c r="J1086" s="4" t="s">
        <v>36</v>
      </c>
      <c r="K1086" s="4">
        <v>2.0</v>
      </c>
      <c r="L1086" s="5" t="str">
        <f t="shared" ref="L1086:M1086" si="2174">IFS(J1086="-", "-", J1086=H1086, "Final", J1086=1, "Initial", J1086&gt;1, "Medial")</f>
        <v>-</v>
      </c>
      <c r="M1086" s="44" t="str">
        <f t="shared" si="2174"/>
        <v>Final</v>
      </c>
      <c r="N1086" s="5" t="str">
        <f t="shared" si="5"/>
        <v>ˈfɔ</v>
      </c>
      <c r="O1086" s="5" t="str">
        <f t="shared" si="6"/>
        <v>-</v>
      </c>
      <c r="P1086" s="5" t="str">
        <f t="shared" si="7"/>
        <v>ˈfɔ</v>
      </c>
      <c r="Q1086" s="5">
        <f t="shared" si="8"/>
        <v>2</v>
      </c>
      <c r="R1086" s="3"/>
      <c r="S1086" s="3" t="s">
        <v>3132</v>
      </c>
      <c r="T1086" s="3" t="s">
        <v>3133</v>
      </c>
      <c r="U1086" s="3" t="s">
        <v>22</v>
      </c>
      <c r="V1086" s="5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>
      <c r="A1087" s="3" t="s">
        <v>14</v>
      </c>
      <c r="B1087" s="3" t="s">
        <v>1608</v>
      </c>
      <c r="C1087" s="3" t="s">
        <v>1608</v>
      </c>
      <c r="D1087" s="3" t="s">
        <v>1608</v>
      </c>
      <c r="E1087" s="3" t="s">
        <v>1608</v>
      </c>
      <c r="F1087" s="8" t="s">
        <v>1425</v>
      </c>
      <c r="G1087" s="8" t="s">
        <v>1425</v>
      </c>
      <c r="H1087" s="43">
        <f t="shared" ref="H1087:I1087" si="2175">LEN(D1087)-LEN(B1087)+1</f>
        <v>1</v>
      </c>
      <c r="I1087" s="43">
        <f t="shared" si="2175"/>
        <v>1</v>
      </c>
      <c r="J1087" s="4">
        <v>1.0</v>
      </c>
      <c r="K1087" s="4">
        <v>1.0</v>
      </c>
      <c r="L1087" s="5" t="str">
        <f t="shared" ref="L1087:M1087" si="2176">IFS(J1087="-", "-", J1087=H1087, "Final", J1087=1, "Initial", J1087&gt;1, "Medial")</f>
        <v>Final</v>
      </c>
      <c r="M1087" s="44" t="str">
        <f t="shared" si="2176"/>
        <v>Final</v>
      </c>
      <c r="N1087" s="5" t="str">
        <f t="shared" si="5"/>
        <v>0</v>
      </c>
      <c r="O1087" s="5">
        <f t="shared" si="6"/>
        <v>1</v>
      </c>
      <c r="P1087" s="5" t="str">
        <f t="shared" si="7"/>
        <v>0</v>
      </c>
      <c r="Q1087" s="5">
        <f t="shared" si="8"/>
        <v>1</v>
      </c>
      <c r="R1087" s="5"/>
      <c r="S1087" s="3" t="s">
        <v>3134</v>
      </c>
      <c r="T1087" s="3" t="s">
        <v>3135</v>
      </c>
      <c r="U1087" s="3" t="s">
        <v>22</v>
      </c>
      <c r="V1087" s="5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</row>
    <row r="1088">
      <c r="A1088" s="3" t="s">
        <v>14</v>
      </c>
      <c r="B1088" s="3" t="s">
        <v>3136</v>
      </c>
      <c r="C1088" s="3" t="s">
        <v>3137</v>
      </c>
      <c r="D1088" s="3" t="s">
        <v>3138</v>
      </c>
      <c r="E1088" s="3" t="s">
        <v>3138</v>
      </c>
      <c r="F1088" s="3" t="s">
        <v>2569</v>
      </c>
      <c r="G1088" s="3" t="s">
        <v>2569</v>
      </c>
      <c r="H1088" s="43">
        <f t="shared" ref="H1088:I1088" si="2177">LEN(D1088)-LEN(B1088)+1</f>
        <v>2</v>
      </c>
      <c r="I1088" s="43">
        <f t="shared" si="2177"/>
        <v>1</v>
      </c>
      <c r="J1088" s="4">
        <v>1.0</v>
      </c>
      <c r="K1088" s="4">
        <v>1.0</v>
      </c>
      <c r="L1088" s="5" t="str">
        <f t="shared" ref="L1088:M1088" si="2178">IFS(J1088="-", "-", J1088=H1088, "Final", J1088=1, "Initial", J1088&gt;1, "Medial")</f>
        <v>Initial</v>
      </c>
      <c r="M1088" s="44" t="str">
        <f t="shared" si="2178"/>
        <v>Final</v>
      </c>
      <c r="N1088" s="5" t="str">
        <f t="shared" si="5"/>
        <v>0</v>
      </c>
      <c r="O1088" s="5" t="str">
        <f t="shared" si="6"/>
        <v>ʒi</v>
      </c>
      <c r="P1088" s="5" t="str">
        <f t="shared" si="7"/>
        <v>0</v>
      </c>
      <c r="Q1088" s="5" t="str">
        <f t="shared" si="8"/>
        <v>ʒi</v>
      </c>
      <c r="R1088" s="5"/>
      <c r="S1088" s="3" t="s">
        <v>3139</v>
      </c>
      <c r="T1088" s="3" t="s">
        <v>3140</v>
      </c>
      <c r="U1088" s="3" t="s">
        <v>22</v>
      </c>
      <c r="V1088" s="5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>
      <c r="A1089" s="3" t="s">
        <v>14</v>
      </c>
      <c r="B1089" s="3" t="s">
        <v>3136</v>
      </c>
      <c r="C1089" s="3" t="s">
        <v>3137</v>
      </c>
      <c r="D1089" s="3" t="s">
        <v>3138</v>
      </c>
      <c r="E1089" s="3" t="s">
        <v>3138</v>
      </c>
      <c r="F1089" s="3" t="s">
        <v>213</v>
      </c>
      <c r="G1089" s="3" t="s">
        <v>213</v>
      </c>
      <c r="H1089" s="43">
        <f t="shared" ref="H1089:I1089" si="2179">LEN(D1089)-LEN(B1089)+1</f>
        <v>2</v>
      </c>
      <c r="I1089" s="43">
        <f t="shared" si="2179"/>
        <v>1</v>
      </c>
      <c r="J1089" s="4">
        <v>2.0</v>
      </c>
      <c r="K1089" s="4">
        <v>2.0</v>
      </c>
      <c r="L1089" s="5" t="str">
        <f t="shared" ref="L1089:M1089" si="2180">IFS(J1089="-", "-", J1089=H1089, "Final", J1089=1, "Initial", J1089&gt;1, "Medial")</f>
        <v>Final</v>
      </c>
      <c r="M1089" s="44" t="str">
        <f t="shared" si="2180"/>
        <v>Medial</v>
      </c>
      <c r="N1089" s="5" t="str">
        <f t="shared" si="5"/>
        <v>ˈlõ</v>
      </c>
      <c r="O1089" s="5">
        <f t="shared" si="6"/>
        <v>2</v>
      </c>
      <c r="P1089" s="5" t="str">
        <f t="shared" si="7"/>
        <v>ˈlõ</v>
      </c>
      <c r="Q1089" s="5">
        <f t="shared" si="8"/>
        <v>2</v>
      </c>
      <c r="R1089" s="5"/>
      <c r="S1089" s="3" t="s">
        <v>3139</v>
      </c>
      <c r="T1089" s="3" t="s">
        <v>3140</v>
      </c>
      <c r="U1089" s="3" t="s">
        <v>22</v>
      </c>
      <c r="V1089" s="5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</row>
    <row r="1090">
      <c r="A1090" s="3" t="s">
        <v>14</v>
      </c>
      <c r="B1090" s="3" t="s">
        <v>3141</v>
      </c>
      <c r="C1090" s="3" t="s">
        <v>3142</v>
      </c>
      <c r="D1090" s="3" t="s">
        <v>3143</v>
      </c>
      <c r="E1090" s="3" t="s">
        <v>3144</v>
      </c>
      <c r="F1090" s="3" t="s">
        <v>469</v>
      </c>
      <c r="G1090" s="3" t="s">
        <v>2693</v>
      </c>
      <c r="H1090" s="43">
        <f t="shared" ref="H1090:I1090" si="2181">LEN(D1090)-LEN(B1090)+1</f>
        <v>2</v>
      </c>
      <c r="I1090" s="43">
        <f t="shared" si="2181"/>
        <v>2</v>
      </c>
      <c r="J1090" s="4">
        <v>1.0</v>
      </c>
      <c r="K1090" s="4">
        <v>1.0</v>
      </c>
      <c r="L1090" s="5" t="str">
        <f t="shared" ref="L1090:M1090" si="2182">IFS(J1090="-", "-", J1090=H1090, "Final", J1090=1, "Initial", J1090&gt;1, "Medial")</f>
        <v>Initial</v>
      </c>
      <c r="M1090" s="44" t="str">
        <f t="shared" si="2182"/>
        <v>Initial</v>
      </c>
      <c r="N1090" s="5" t="str">
        <f t="shared" si="5"/>
        <v>0</v>
      </c>
      <c r="O1090" s="5" t="str">
        <f t="shared" si="6"/>
        <v>tu</v>
      </c>
      <c r="P1090" s="5" t="str">
        <f t="shared" si="7"/>
        <v>0</v>
      </c>
      <c r="Q1090" s="5" t="str">
        <f t="shared" si="8"/>
        <v>tu</v>
      </c>
      <c r="R1090" s="5"/>
      <c r="S1090" s="3" t="s">
        <v>3145</v>
      </c>
      <c r="T1090" s="3" t="s">
        <v>3146</v>
      </c>
      <c r="U1090" s="3" t="s">
        <v>22</v>
      </c>
      <c r="V1090" s="5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>
      <c r="A1091" s="3" t="s">
        <v>14</v>
      </c>
      <c r="B1091" s="3" t="s">
        <v>3141</v>
      </c>
      <c r="C1091" s="3" t="s">
        <v>3142</v>
      </c>
      <c r="D1091" s="3" t="s">
        <v>3143</v>
      </c>
      <c r="E1091" s="3" t="s">
        <v>3144</v>
      </c>
      <c r="F1091" s="3" t="s">
        <v>784</v>
      </c>
      <c r="G1091" s="3" t="s">
        <v>784</v>
      </c>
      <c r="H1091" s="43">
        <f t="shared" ref="H1091:I1091" si="2183">LEN(D1091)-LEN(B1091)+1</f>
        <v>2</v>
      </c>
      <c r="I1091" s="43">
        <f t="shared" si="2183"/>
        <v>2</v>
      </c>
      <c r="J1091" s="4">
        <v>2.0</v>
      </c>
      <c r="K1091" s="4">
        <v>2.0</v>
      </c>
      <c r="L1091" s="5" t="str">
        <f t="shared" ref="L1091:M1091" si="2184">IFS(J1091="-", "-", J1091=H1091, "Final", J1091=1, "Initial", J1091&gt;1, "Medial")</f>
        <v>Final</v>
      </c>
      <c r="M1091" s="44" t="str">
        <f t="shared" si="2184"/>
        <v>Final</v>
      </c>
      <c r="N1091" s="5" t="str">
        <f t="shared" si="5"/>
        <v>ˈpɛ</v>
      </c>
      <c r="O1091" s="5">
        <f t="shared" si="6"/>
        <v>2</v>
      </c>
      <c r="P1091" s="5" t="str">
        <f t="shared" si="7"/>
        <v>ˈpeɾ</v>
      </c>
      <c r="Q1091" s="5">
        <f t="shared" si="8"/>
        <v>2</v>
      </c>
      <c r="R1091" s="5"/>
      <c r="S1091" s="3" t="s">
        <v>3145</v>
      </c>
      <c r="T1091" s="3" t="s">
        <v>3146</v>
      </c>
      <c r="U1091" s="3" t="s">
        <v>22</v>
      </c>
      <c r="V1091" s="5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</row>
    <row r="1092">
      <c r="A1092" s="3" t="s">
        <v>14</v>
      </c>
      <c r="B1092" s="3" t="s">
        <v>3147</v>
      </c>
      <c r="C1092" s="3" t="s">
        <v>3148</v>
      </c>
      <c r="D1092" s="3" t="s">
        <v>3149</v>
      </c>
      <c r="E1092" s="3" t="s">
        <v>3150</v>
      </c>
      <c r="F1092" s="3" t="s">
        <v>848</v>
      </c>
      <c r="G1092" s="3" t="s">
        <v>301</v>
      </c>
      <c r="H1092" s="43">
        <f t="shared" ref="H1092:I1092" si="2185">LEN(D1092)-LEN(B1092)+1</f>
        <v>3</v>
      </c>
      <c r="I1092" s="43">
        <f t="shared" si="2185"/>
        <v>3</v>
      </c>
      <c r="J1092" s="4">
        <v>1.0</v>
      </c>
      <c r="K1092" s="4">
        <v>1.0</v>
      </c>
      <c r="L1092" s="5" t="str">
        <f t="shared" ref="L1092:M1092" si="2186">IFS(J1092="-", "-", J1092=H1092, "Final", J1092=1, "Initial", J1092&gt;1, "Medial")</f>
        <v>Initial</v>
      </c>
      <c r="M1092" s="44" t="str">
        <f t="shared" si="2186"/>
        <v>Initial</v>
      </c>
      <c r="N1092" s="5" t="str">
        <f t="shared" si="5"/>
        <v>0</v>
      </c>
      <c r="O1092" s="5" t="str">
        <f t="shared" si="6"/>
        <v>ˈkɛ</v>
      </c>
      <c r="P1092" s="5" t="str">
        <f t="shared" si="7"/>
        <v>0</v>
      </c>
      <c r="Q1092" s="5" t="str">
        <f t="shared" si="8"/>
        <v>ˈkeɾ</v>
      </c>
      <c r="R1092" s="5"/>
      <c r="S1092" s="3" t="s">
        <v>3151</v>
      </c>
      <c r="T1092" s="3" t="s">
        <v>3152</v>
      </c>
      <c r="U1092" s="3" t="s">
        <v>22</v>
      </c>
      <c r="V1092" s="5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</row>
    <row r="1093">
      <c r="A1093" s="3" t="s">
        <v>14</v>
      </c>
      <c r="B1093" s="3" t="s">
        <v>3147</v>
      </c>
      <c r="C1093" s="3" t="s">
        <v>3148</v>
      </c>
      <c r="D1093" s="3" t="s">
        <v>3149</v>
      </c>
      <c r="E1093" s="3" t="s">
        <v>3150</v>
      </c>
      <c r="F1093" s="3" t="s">
        <v>3153</v>
      </c>
      <c r="G1093" s="3" t="s">
        <v>3154</v>
      </c>
      <c r="H1093" s="43">
        <f t="shared" ref="H1093:I1093" si="2187">LEN(D1093)-LEN(B1093)+1</f>
        <v>3</v>
      </c>
      <c r="I1093" s="43">
        <f t="shared" si="2187"/>
        <v>3</v>
      </c>
      <c r="J1093" s="4">
        <v>2.0</v>
      </c>
      <c r="K1093" s="4">
        <v>2.0</v>
      </c>
      <c r="L1093" s="5" t="str">
        <f t="shared" ref="L1093:M1093" si="2188">IFS(J1093="-", "-", J1093=H1093, "Final", J1093=1, "Initial", J1093&gt;1, "Medial")</f>
        <v>Medial</v>
      </c>
      <c r="M1093" s="44" t="str">
        <f t="shared" si="2188"/>
        <v>Medial</v>
      </c>
      <c r="N1093" s="5" t="str">
        <f t="shared" si="5"/>
        <v>ʃi</v>
      </c>
      <c r="O1093" s="5" t="str">
        <f t="shared" si="6"/>
        <v>dɛ</v>
      </c>
      <c r="P1093" s="5" t="str">
        <f t="shared" si="7"/>
        <v>ʃ</v>
      </c>
      <c r="Q1093" s="5" t="str">
        <f t="shared" si="8"/>
        <v>du</v>
      </c>
      <c r="R1093" s="5"/>
      <c r="S1093" s="3" t="s">
        <v>3151</v>
      </c>
      <c r="T1093" s="3" t="s">
        <v>3152</v>
      </c>
      <c r="U1093" s="3" t="s">
        <v>22</v>
      </c>
      <c r="V1093" s="5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</row>
    <row r="1094">
      <c r="A1094" s="3" t="s">
        <v>14</v>
      </c>
      <c r="B1094" s="3" t="s">
        <v>3147</v>
      </c>
      <c r="C1094" s="3" t="s">
        <v>3148</v>
      </c>
      <c r="D1094" s="3" t="s">
        <v>3149</v>
      </c>
      <c r="E1094" s="3" t="s">
        <v>3150</v>
      </c>
      <c r="F1094" s="3" t="s">
        <v>112</v>
      </c>
      <c r="G1094" s="3" t="s">
        <v>387</v>
      </c>
      <c r="H1094" s="43">
        <f t="shared" ref="H1094:I1094" si="2189">LEN(D1094)-LEN(B1094)+1</f>
        <v>3</v>
      </c>
      <c r="I1094" s="43">
        <f t="shared" si="2189"/>
        <v>3</v>
      </c>
      <c r="J1094" s="4">
        <v>3.0</v>
      </c>
      <c r="K1094" s="4">
        <v>3.0</v>
      </c>
      <c r="L1094" s="5" t="str">
        <f t="shared" ref="L1094:M1094" si="2190">IFS(J1094="-", "-", J1094=H1094, "Final", J1094=1, "Initial", J1094&gt;1, "Medial")</f>
        <v>Final</v>
      </c>
      <c r="M1094" s="44" t="str">
        <f t="shared" si="2190"/>
        <v>Final</v>
      </c>
      <c r="N1094" s="5" t="str">
        <f t="shared" si="5"/>
        <v>ˈkɛ</v>
      </c>
      <c r="O1094" s="5">
        <f t="shared" si="6"/>
        <v>3</v>
      </c>
      <c r="P1094" s="5" t="str">
        <f t="shared" si="7"/>
        <v>ˈkeɾ</v>
      </c>
      <c r="Q1094" s="5">
        <f t="shared" si="8"/>
        <v>3</v>
      </c>
      <c r="R1094" s="5"/>
      <c r="S1094" s="3" t="s">
        <v>3151</v>
      </c>
      <c r="T1094" s="3" t="s">
        <v>3152</v>
      </c>
      <c r="U1094" s="3" t="s">
        <v>22</v>
      </c>
      <c r="V1094" s="5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</row>
    <row r="1095">
      <c r="A1095" s="15" t="s">
        <v>14</v>
      </c>
      <c r="B1095" s="15" t="s">
        <v>3155</v>
      </c>
      <c r="C1095" s="15" t="s">
        <v>3156</v>
      </c>
      <c r="D1095" s="15" t="s">
        <v>3157</v>
      </c>
      <c r="E1095" s="15" t="s">
        <v>3158</v>
      </c>
      <c r="F1095" s="15" t="s">
        <v>1016</v>
      </c>
      <c r="G1095" s="15" t="s">
        <v>1017</v>
      </c>
      <c r="H1095" s="43">
        <f t="shared" ref="H1095:I1095" si="2191">LEN(D1095)-LEN(B1095)+1</f>
        <v>2</v>
      </c>
      <c r="I1095" s="43">
        <f t="shared" si="2191"/>
        <v>3</v>
      </c>
      <c r="J1095" s="18">
        <v>1.0</v>
      </c>
      <c r="K1095" s="18">
        <v>1.0</v>
      </c>
      <c r="L1095" s="5" t="str">
        <f t="shared" ref="L1095:M1095" si="2192">IFS(J1095="-", "-", J1095=H1095, "Final", J1095=1, "Initial", J1095&gt;1, "Medial")</f>
        <v>Initial</v>
      </c>
      <c r="M1095" s="44" t="str">
        <f t="shared" si="2192"/>
        <v>Initial</v>
      </c>
      <c r="N1095" s="5" t="str">
        <f t="shared" si="5"/>
        <v>0</v>
      </c>
      <c r="O1095" s="5" t="str">
        <f t="shared" si="6"/>
        <v>ˈdja</v>
      </c>
      <c r="P1095" s="5" t="str">
        <f t="shared" si="7"/>
        <v>0</v>
      </c>
      <c r="Q1095" s="5" t="str">
        <f t="shared" si="8"/>
        <v>ˈdɐj</v>
      </c>
      <c r="R1095" s="15" t="s">
        <v>80</v>
      </c>
      <c r="S1095" s="15" t="s">
        <v>3159</v>
      </c>
      <c r="T1095" s="15" t="s">
        <v>3160</v>
      </c>
      <c r="U1095" s="15" t="s">
        <v>22</v>
      </c>
      <c r="V1095" s="20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</row>
    <row r="1096">
      <c r="A1096" s="15" t="s">
        <v>14</v>
      </c>
      <c r="B1096" s="15" t="s">
        <v>3155</v>
      </c>
      <c r="C1096" s="15" t="s">
        <v>3156</v>
      </c>
      <c r="D1096" s="15" t="s">
        <v>3157</v>
      </c>
      <c r="E1096" s="15" t="s">
        <v>3158</v>
      </c>
      <c r="F1096" s="15" t="s">
        <v>409</v>
      </c>
      <c r="G1096" s="15" t="s">
        <v>3161</v>
      </c>
      <c r="H1096" s="43">
        <f t="shared" ref="H1096:I1096" si="2193">LEN(D1096)-LEN(B1096)+1</f>
        <v>2</v>
      </c>
      <c r="I1096" s="43">
        <f t="shared" si="2193"/>
        <v>3</v>
      </c>
      <c r="J1096" s="18">
        <v>2.0</v>
      </c>
      <c r="K1096" s="18">
        <v>2.0</v>
      </c>
      <c r="L1096" s="5" t="str">
        <f t="shared" ref="L1096:M1096" si="2194">IFS(J1096="-", "-", J1096=H1096, "Final", J1096=1, "Initial", J1096&gt;1, "Medial")</f>
        <v>Final</v>
      </c>
      <c r="M1096" s="44" t="str">
        <f t="shared" si="2194"/>
        <v>Medial</v>
      </c>
      <c r="N1096" s="5" t="str">
        <f t="shared" si="5"/>
        <v>bɐ̃</v>
      </c>
      <c r="O1096" s="5" t="str">
        <f t="shared" si="6"/>
        <v>-</v>
      </c>
      <c r="P1096" s="5" t="str">
        <f t="shared" si="7"/>
        <v>bɐ̃w̃</v>
      </c>
      <c r="Q1096" s="5" t="str">
        <f t="shared" si="8"/>
        <v>ɾɐ</v>
      </c>
      <c r="R1096" s="15"/>
      <c r="S1096" s="15" t="s">
        <v>3159</v>
      </c>
      <c r="T1096" s="15" t="s">
        <v>3160</v>
      </c>
      <c r="U1096" s="15" t="s">
        <v>22</v>
      </c>
      <c r="V1096" s="20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</row>
    <row r="1097">
      <c r="A1097" s="15" t="s">
        <v>14</v>
      </c>
      <c r="B1097" s="15" t="s">
        <v>3155</v>
      </c>
      <c r="C1097" s="15" t="s">
        <v>3156</v>
      </c>
      <c r="D1097" s="15" t="s">
        <v>3157</v>
      </c>
      <c r="E1097" s="15" t="s">
        <v>3158</v>
      </c>
      <c r="F1097" s="15" t="s">
        <v>36</v>
      </c>
      <c r="G1097" s="15" t="s">
        <v>103</v>
      </c>
      <c r="H1097" s="43">
        <f t="shared" ref="H1097:I1097" si="2195">LEN(D1097)-LEN(B1097)+1</f>
        <v>2</v>
      </c>
      <c r="I1097" s="43">
        <f t="shared" si="2195"/>
        <v>3</v>
      </c>
      <c r="J1097" s="18" t="s">
        <v>36</v>
      </c>
      <c r="K1097" s="18">
        <v>3.0</v>
      </c>
      <c r="L1097" s="5" t="str">
        <f t="shared" ref="L1097:M1097" si="2196">IFS(J1097="-", "-", J1097=H1097, "Final", J1097=1, "Initial", J1097&gt;1, "Medial")</f>
        <v>-</v>
      </c>
      <c r="M1097" s="44" t="str">
        <f t="shared" si="2196"/>
        <v>Final</v>
      </c>
      <c r="N1097" s="5" t="str">
        <f t="shared" si="5"/>
        <v>ˈdja</v>
      </c>
      <c r="O1097" s="5" t="str">
        <f t="shared" si="6"/>
        <v>-</v>
      </c>
      <c r="P1097" s="5" t="str">
        <f t="shared" si="7"/>
        <v>ˈdɐj</v>
      </c>
      <c r="Q1097" s="5">
        <f t="shared" si="8"/>
        <v>3</v>
      </c>
      <c r="R1097" s="20"/>
      <c r="S1097" s="15" t="s">
        <v>3159</v>
      </c>
      <c r="T1097" s="15" t="s">
        <v>3160</v>
      </c>
      <c r="U1097" s="15" t="s">
        <v>22</v>
      </c>
      <c r="V1097" s="20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</row>
    <row r="1098">
      <c r="A1098" s="3" t="s">
        <v>14</v>
      </c>
      <c r="B1098" s="3" t="s">
        <v>3162</v>
      </c>
      <c r="C1098" s="3" t="s">
        <v>3163</v>
      </c>
      <c r="D1098" s="3" t="s">
        <v>3164</v>
      </c>
      <c r="E1098" s="3" t="s">
        <v>3165</v>
      </c>
      <c r="F1098" s="3" t="s">
        <v>128</v>
      </c>
      <c r="G1098" s="3" t="s">
        <v>70</v>
      </c>
      <c r="H1098" s="43">
        <f t="shared" ref="H1098:I1098" si="2197">LEN(D1098)-LEN(B1098)+1</f>
        <v>3</v>
      </c>
      <c r="I1098" s="43">
        <f t="shared" si="2197"/>
        <v>2</v>
      </c>
      <c r="J1098" s="4">
        <v>1.0</v>
      </c>
      <c r="K1098" s="4">
        <v>1.0</v>
      </c>
      <c r="L1098" s="5" t="str">
        <f t="shared" ref="L1098:M1098" si="2198">IFS(J1098="-", "-", J1098=H1098, "Final", J1098=1, "Initial", J1098&gt;1, "Medial")</f>
        <v>Initial</v>
      </c>
      <c r="M1098" s="44" t="str">
        <f t="shared" si="2198"/>
        <v>Initial</v>
      </c>
      <c r="N1098" s="5" t="str">
        <f t="shared" si="5"/>
        <v>0</v>
      </c>
      <c r="O1098" s="5" t="str">
        <f t="shared" si="6"/>
        <v>ˈbɐ̃</v>
      </c>
      <c r="P1098" s="5" t="str">
        <f t="shared" si="7"/>
        <v>0</v>
      </c>
      <c r="Q1098" s="5" t="str">
        <f t="shared" si="8"/>
        <v>-</v>
      </c>
      <c r="R1098" s="5"/>
      <c r="S1098" s="3" t="s">
        <v>3166</v>
      </c>
      <c r="T1098" s="3" t="s">
        <v>3167</v>
      </c>
      <c r="U1098" s="3" t="s">
        <v>22</v>
      </c>
      <c r="V1098" s="5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</row>
    <row r="1099">
      <c r="A1099" s="3" t="s">
        <v>14</v>
      </c>
      <c r="B1099" s="3" t="s">
        <v>3162</v>
      </c>
      <c r="C1099" s="3" t="s">
        <v>3163</v>
      </c>
      <c r="D1099" s="3" t="s">
        <v>3164</v>
      </c>
      <c r="E1099" s="3" t="s">
        <v>3165</v>
      </c>
      <c r="F1099" s="3" t="s">
        <v>70</v>
      </c>
      <c r="G1099" s="3" t="s">
        <v>36</v>
      </c>
      <c r="H1099" s="43">
        <f t="shared" ref="H1099:I1099" si="2199">LEN(D1099)-LEN(B1099)+1</f>
        <v>3</v>
      </c>
      <c r="I1099" s="43">
        <f t="shared" si="2199"/>
        <v>2</v>
      </c>
      <c r="J1099" s="4">
        <v>2.0</v>
      </c>
      <c r="K1099" s="4" t="s">
        <v>36</v>
      </c>
      <c r="L1099" s="5" t="str">
        <f t="shared" ref="L1099:M1099" si="2200">IFS(J1099="-", "-", J1099=H1099, "Final", J1099=1, "Initial", J1099&gt;1, "Medial")</f>
        <v>Medial</v>
      </c>
      <c r="M1099" s="44" t="str">
        <f t="shared" si="2200"/>
        <v>-</v>
      </c>
      <c r="N1099" s="5" t="str">
        <f t="shared" si="5"/>
        <v>u</v>
      </c>
      <c r="O1099" s="5" t="str">
        <f t="shared" si="6"/>
        <v>ku</v>
      </c>
      <c r="P1099" s="5" t="str">
        <f t="shared" si="7"/>
        <v>ˈbɐ̃</v>
      </c>
      <c r="Q1099" s="5" t="str">
        <f t="shared" si="8"/>
        <v>ku</v>
      </c>
      <c r="R1099" s="5"/>
      <c r="S1099" s="3" t="s">
        <v>3166</v>
      </c>
      <c r="T1099" s="3" t="s">
        <v>3167</v>
      </c>
      <c r="U1099" s="3" t="s">
        <v>22</v>
      </c>
      <c r="V1099" s="5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</row>
    <row r="1100">
      <c r="A1100" s="3" t="s">
        <v>14</v>
      </c>
      <c r="B1100" s="3" t="s">
        <v>3162</v>
      </c>
      <c r="C1100" s="3" t="s">
        <v>3163</v>
      </c>
      <c r="D1100" s="3" t="s">
        <v>3164</v>
      </c>
      <c r="E1100" s="3" t="s">
        <v>3165</v>
      </c>
      <c r="F1100" s="3" t="s">
        <v>425</v>
      </c>
      <c r="G1100" s="3" t="s">
        <v>425</v>
      </c>
      <c r="H1100" s="43">
        <f t="shared" ref="H1100:I1100" si="2201">LEN(D1100)-LEN(B1100)+1</f>
        <v>3</v>
      </c>
      <c r="I1100" s="43">
        <f t="shared" si="2201"/>
        <v>2</v>
      </c>
      <c r="J1100" s="4">
        <v>3.0</v>
      </c>
      <c r="K1100" s="4">
        <v>2.0</v>
      </c>
      <c r="L1100" s="5" t="str">
        <f t="shared" ref="L1100:M1100" si="2202">IFS(J1100="-", "-", J1100=H1100, "Final", J1100=1, "Initial", J1100&gt;1, "Medial")</f>
        <v>Final</v>
      </c>
      <c r="M1100" s="44" t="str">
        <f t="shared" si="2202"/>
        <v>Final</v>
      </c>
      <c r="N1100" s="5" t="str">
        <f t="shared" si="5"/>
        <v>ˈbɐ̃</v>
      </c>
      <c r="O1100" s="5">
        <f t="shared" si="6"/>
        <v>3</v>
      </c>
      <c r="P1100" s="5" t="str">
        <f t="shared" si="7"/>
        <v>-</v>
      </c>
      <c r="Q1100" s="5">
        <f t="shared" si="8"/>
        <v>2</v>
      </c>
      <c r="R1100" s="5"/>
      <c r="S1100" s="3" t="s">
        <v>3166</v>
      </c>
      <c r="T1100" s="3" t="s">
        <v>3167</v>
      </c>
      <c r="U1100" s="3" t="s">
        <v>22</v>
      </c>
      <c r="V1100" s="5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</row>
    <row r="1101">
      <c r="A1101" s="3" t="s">
        <v>14</v>
      </c>
      <c r="B1101" s="3" t="s">
        <v>3168</v>
      </c>
      <c r="C1101" s="3" t="s">
        <v>3168</v>
      </c>
      <c r="D1101" s="3" t="s">
        <v>3169</v>
      </c>
      <c r="E1101" s="3" t="s">
        <v>3169</v>
      </c>
      <c r="F1101" s="3" t="s">
        <v>1248</v>
      </c>
      <c r="G1101" s="3" t="s">
        <v>1248</v>
      </c>
      <c r="H1101" s="43">
        <f t="shared" ref="H1101:I1101" si="2203">LEN(D1101)-LEN(B1101)+1</f>
        <v>2</v>
      </c>
      <c r="I1101" s="43">
        <f t="shared" si="2203"/>
        <v>2</v>
      </c>
      <c r="J1101" s="4">
        <v>1.0</v>
      </c>
      <c r="K1101" s="4">
        <v>1.0</v>
      </c>
      <c r="L1101" s="5" t="str">
        <f t="shared" ref="L1101:M1101" si="2204">IFS(J1101="-", "-", J1101=H1101, "Final", J1101=1, "Initial", J1101&gt;1, "Medial")</f>
        <v>Initial</v>
      </c>
      <c r="M1101" s="44" t="str">
        <f t="shared" si="2204"/>
        <v>Initial</v>
      </c>
      <c r="N1101" s="5" t="str">
        <f t="shared" si="5"/>
        <v>0</v>
      </c>
      <c r="O1101" s="5" t="str">
        <f t="shared" si="6"/>
        <v>ʀɐ</v>
      </c>
      <c r="P1101" s="5" t="str">
        <f t="shared" si="7"/>
        <v>0</v>
      </c>
      <c r="Q1101" s="5" t="str">
        <f t="shared" si="8"/>
        <v>ʀɐ</v>
      </c>
      <c r="R1101" s="5"/>
      <c r="S1101" s="3" t="s">
        <v>3170</v>
      </c>
      <c r="T1101" s="3" t="s">
        <v>3171</v>
      </c>
      <c r="U1101" s="3" t="s">
        <v>22</v>
      </c>
      <c r="V1101" s="5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</row>
    <row r="1102">
      <c r="A1102" s="3" t="s">
        <v>14</v>
      </c>
      <c r="B1102" s="3" t="s">
        <v>3168</v>
      </c>
      <c r="C1102" s="3" t="s">
        <v>3168</v>
      </c>
      <c r="D1102" s="3" t="s">
        <v>3169</v>
      </c>
      <c r="E1102" s="3" t="s">
        <v>3169</v>
      </c>
      <c r="F1102" s="3" t="s">
        <v>668</v>
      </c>
      <c r="G1102" s="3" t="s">
        <v>668</v>
      </c>
      <c r="H1102" s="43">
        <f t="shared" ref="H1102:I1102" si="2205">LEN(D1102)-LEN(B1102)+1</f>
        <v>2</v>
      </c>
      <c r="I1102" s="43">
        <f t="shared" si="2205"/>
        <v>2</v>
      </c>
      <c r="J1102" s="4">
        <v>2.0</v>
      </c>
      <c r="K1102" s="4">
        <v>2.0</v>
      </c>
      <c r="L1102" s="5" t="str">
        <f t="shared" ref="L1102:M1102" si="2206">IFS(J1102="-", "-", J1102=H1102, "Final", J1102=1, "Initial", J1102&gt;1, "Medial")</f>
        <v>Final</v>
      </c>
      <c r="M1102" s="44" t="str">
        <f t="shared" si="2206"/>
        <v>Final</v>
      </c>
      <c r="N1102" s="5" t="str">
        <f t="shared" si="5"/>
        <v>ˈba</v>
      </c>
      <c r="O1102" s="5">
        <f t="shared" si="6"/>
        <v>2</v>
      </c>
      <c r="P1102" s="5" t="str">
        <f t="shared" si="7"/>
        <v>ˈba</v>
      </c>
      <c r="Q1102" s="5">
        <f t="shared" si="8"/>
        <v>2</v>
      </c>
      <c r="R1102" s="5"/>
      <c r="S1102" s="3" t="s">
        <v>3170</v>
      </c>
      <c r="T1102" s="3" t="s">
        <v>3171</v>
      </c>
      <c r="U1102" s="3" t="s">
        <v>22</v>
      </c>
      <c r="V1102" s="5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</row>
    <row r="1103">
      <c r="A1103" s="15" t="s">
        <v>14</v>
      </c>
      <c r="B1103" s="15" t="s">
        <v>3172</v>
      </c>
      <c r="C1103" s="15" t="s">
        <v>3173</v>
      </c>
      <c r="D1103" s="15" t="s">
        <v>3174</v>
      </c>
      <c r="E1103" s="15" t="s">
        <v>3175</v>
      </c>
      <c r="F1103" s="15" t="s">
        <v>599</v>
      </c>
      <c r="G1103" s="15" t="s">
        <v>724</v>
      </c>
      <c r="H1103" s="43">
        <f t="shared" ref="H1103:I1103" si="2207">LEN(D1103)-LEN(B1103)+1</f>
        <v>2</v>
      </c>
      <c r="I1103" s="43">
        <f t="shared" si="2207"/>
        <v>3</v>
      </c>
      <c r="J1103" s="18">
        <v>1.0</v>
      </c>
      <c r="K1103" s="18">
        <v>1.0</v>
      </c>
      <c r="L1103" s="5" t="str">
        <f t="shared" ref="L1103:M1103" si="2208">IFS(J1103="-", "-", J1103=H1103, "Final", J1103=1, "Initial", J1103&gt;1, "Medial")</f>
        <v>Initial</v>
      </c>
      <c r="M1103" s="44" t="str">
        <f t="shared" si="2208"/>
        <v>Initial</v>
      </c>
      <c r="N1103" s="5" t="str">
        <f t="shared" si="5"/>
        <v>0</v>
      </c>
      <c r="O1103" s="5" t="str">
        <f t="shared" si="6"/>
        <v>ˈswa</v>
      </c>
      <c r="P1103" s="5" t="str">
        <f t="shared" si="7"/>
        <v>0</v>
      </c>
      <c r="Q1103" s="5" t="str">
        <f t="shared" si="8"/>
        <v>ˈso</v>
      </c>
      <c r="R1103" s="15" t="s">
        <v>80</v>
      </c>
      <c r="S1103" s="15" t="s">
        <v>3176</v>
      </c>
      <c r="T1103" s="15" t="s">
        <v>3177</v>
      </c>
      <c r="U1103" s="15" t="s">
        <v>22</v>
      </c>
      <c r="V1103" s="20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</row>
    <row r="1104">
      <c r="A1104" s="15" t="s">
        <v>14</v>
      </c>
      <c r="B1104" s="15" t="s">
        <v>3172</v>
      </c>
      <c r="C1104" s="15" t="s">
        <v>3173</v>
      </c>
      <c r="D1104" s="15" t="s">
        <v>3174</v>
      </c>
      <c r="E1104" s="15" t="s">
        <v>3175</v>
      </c>
      <c r="F1104" s="15" t="s">
        <v>1777</v>
      </c>
      <c r="G1104" s="15" t="s">
        <v>251</v>
      </c>
      <c r="H1104" s="43">
        <f t="shared" ref="H1104:I1104" si="2209">LEN(D1104)-LEN(B1104)+1</f>
        <v>2</v>
      </c>
      <c r="I1104" s="43">
        <f t="shared" si="2209"/>
        <v>3</v>
      </c>
      <c r="J1104" s="18">
        <v>2.0</v>
      </c>
      <c r="K1104" s="18">
        <v>2.0</v>
      </c>
      <c r="L1104" s="5" t="str">
        <f t="shared" ref="L1104:M1104" si="2210">IFS(J1104="-", "-", J1104=H1104, "Final", J1104=1, "Initial", J1104&gt;1, "Medial")</f>
        <v>Final</v>
      </c>
      <c r="M1104" s="44" t="str">
        <f t="shared" si="2210"/>
        <v>Medial</v>
      </c>
      <c r="N1104" s="5" t="str">
        <f t="shared" si="5"/>
        <v>bɔ</v>
      </c>
      <c r="O1104" s="5" t="str">
        <f t="shared" si="6"/>
        <v>-</v>
      </c>
      <c r="P1104" s="5" t="str">
        <f t="shared" si="7"/>
        <v>vɐ</v>
      </c>
      <c r="Q1104" s="5" t="str">
        <f t="shared" si="8"/>
        <v>ɾɐ</v>
      </c>
      <c r="R1104" s="15"/>
      <c r="S1104" s="15" t="s">
        <v>3176</v>
      </c>
      <c r="T1104" s="15" t="s">
        <v>3177</v>
      </c>
      <c r="U1104" s="15" t="s">
        <v>22</v>
      </c>
      <c r="V1104" s="20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</row>
    <row r="1105">
      <c r="A1105" s="15" t="s">
        <v>14</v>
      </c>
      <c r="B1105" s="15" t="s">
        <v>3172</v>
      </c>
      <c r="C1105" s="15" t="s">
        <v>3173</v>
      </c>
      <c r="D1105" s="15" t="s">
        <v>3174</v>
      </c>
      <c r="E1105" s="15" t="s">
        <v>3175</v>
      </c>
      <c r="F1105" s="15" t="s">
        <v>36</v>
      </c>
      <c r="G1105" s="15" t="s">
        <v>103</v>
      </c>
      <c r="H1105" s="43">
        <f t="shared" ref="H1105:I1105" si="2211">LEN(D1105)-LEN(B1105)+1</f>
        <v>2</v>
      </c>
      <c r="I1105" s="43">
        <f t="shared" si="2211"/>
        <v>3</v>
      </c>
      <c r="J1105" s="18" t="s">
        <v>36</v>
      </c>
      <c r="K1105" s="18">
        <v>3.0</v>
      </c>
      <c r="L1105" s="5" t="str">
        <f t="shared" ref="L1105:M1105" si="2212">IFS(J1105="-", "-", J1105=H1105, "Final", J1105=1, "Initial", J1105&gt;1, "Medial")</f>
        <v>-</v>
      </c>
      <c r="M1105" s="44" t="str">
        <f t="shared" si="2212"/>
        <v>Final</v>
      </c>
      <c r="N1105" s="5" t="str">
        <f t="shared" si="5"/>
        <v>ˈswa</v>
      </c>
      <c r="O1105" s="5" t="str">
        <f t="shared" si="6"/>
        <v>-</v>
      </c>
      <c r="P1105" s="5" t="str">
        <f t="shared" si="7"/>
        <v>ˈso</v>
      </c>
      <c r="Q1105" s="5">
        <f t="shared" si="8"/>
        <v>3</v>
      </c>
      <c r="R1105" s="20"/>
      <c r="S1105" s="15" t="s">
        <v>3176</v>
      </c>
      <c r="T1105" s="15" t="s">
        <v>3177</v>
      </c>
      <c r="U1105" s="15" t="s">
        <v>22</v>
      </c>
      <c r="V1105" s="20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</row>
    <row r="1106">
      <c r="A1106" s="3" t="s">
        <v>14</v>
      </c>
      <c r="B1106" s="3" t="s">
        <v>3178</v>
      </c>
      <c r="C1106" s="3" t="s">
        <v>3179</v>
      </c>
      <c r="D1106" s="3" t="s">
        <v>3180</v>
      </c>
      <c r="E1106" s="3" t="s">
        <v>3181</v>
      </c>
      <c r="F1106" s="3" t="s">
        <v>143</v>
      </c>
      <c r="G1106" s="3" t="s">
        <v>143</v>
      </c>
      <c r="H1106" s="43">
        <f t="shared" ref="H1106:I1106" si="2213">LEN(D1106)-LEN(B1106)+1</f>
        <v>2</v>
      </c>
      <c r="I1106" s="43">
        <f t="shared" si="2213"/>
        <v>2</v>
      </c>
      <c r="J1106" s="4">
        <v>1.0</v>
      </c>
      <c r="K1106" s="4">
        <v>1.0</v>
      </c>
      <c r="L1106" s="5" t="str">
        <f t="shared" ref="L1106:M1106" si="2214">IFS(J1106="-", "-", J1106=H1106, "Final", J1106=1, "Initial", J1106&gt;1, "Medial")</f>
        <v>Initial</v>
      </c>
      <c r="M1106" s="44" t="str">
        <f t="shared" si="2214"/>
        <v>Initial</v>
      </c>
      <c r="N1106" s="5" t="str">
        <f t="shared" si="5"/>
        <v>0</v>
      </c>
      <c r="O1106" s="5" t="str">
        <f t="shared" si="6"/>
        <v>ˈtɐ̃</v>
      </c>
      <c r="P1106" s="5" t="str">
        <f t="shared" si="7"/>
        <v>0</v>
      </c>
      <c r="Q1106" s="5" t="str">
        <f t="shared" si="8"/>
        <v>ˈtɐ̃w̃</v>
      </c>
      <c r="R1106" s="3" t="s">
        <v>72</v>
      </c>
      <c r="S1106" s="3" t="s">
        <v>3182</v>
      </c>
      <c r="T1106" s="3" t="s">
        <v>3183</v>
      </c>
      <c r="U1106" s="3" t="s">
        <v>22</v>
      </c>
      <c r="V1106" s="5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</row>
    <row r="1107">
      <c r="A1107" s="3" t="s">
        <v>14</v>
      </c>
      <c r="B1107" s="3" t="s">
        <v>3178</v>
      </c>
      <c r="C1107" s="3" t="s">
        <v>3179</v>
      </c>
      <c r="D1107" s="3" t="s">
        <v>3180</v>
      </c>
      <c r="E1107" s="3" t="s">
        <v>3181</v>
      </c>
      <c r="F1107" s="3" t="s">
        <v>2003</v>
      </c>
      <c r="G1107" s="3" t="s">
        <v>2004</v>
      </c>
      <c r="H1107" s="43">
        <f t="shared" ref="H1107:I1107" si="2215">LEN(D1107)-LEN(B1107)+1</f>
        <v>2</v>
      </c>
      <c r="I1107" s="43">
        <f t="shared" si="2215"/>
        <v>2</v>
      </c>
      <c r="J1107" s="4">
        <v>2.0</v>
      </c>
      <c r="K1107" s="4">
        <v>2.0</v>
      </c>
      <c r="L1107" s="5" t="str">
        <f t="shared" ref="L1107:M1107" si="2216">IFS(J1107="-", "-", J1107=H1107, "Final", J1107=1, "Initial", J1107&gt;1, "Medial")</f>
        <v>Final</v>
      </c>
      <c r="M1107" s="44" t="str">
        <f t="shared" si="2216"/>
        <v>Final</v>
      </c>
      <c r="N1107" s="5" t="str">
        <f t="shared" si="5"/>
        <v>bu</v>
      </c>
      <c r="O1107" s="5">
        <f t="shared" si="6"/>
        <v>2</v>
      </c>
      <c r="P1107" s="5" t="str">
        <f t="shared" si="7"/>
        <v>bu</v>
      </c>
      <c r="Q1107" s="5">
        <f t="shared" si="8"/>
        <v>2</v>
      </c>
      <c r="R1107" s="3"/>
      <c r="S1107" s="3" t="s">
        <v>3182</v>
      </c>
      <c r="T1107" s="3" t="s">
        <v>3183</v>
      </c>
      <c r="U1107" s="3" t="s">
        <v>22</v>
      </c>
      <c r="V1107" s="5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</row>
    <row r="1108">
      <c r="A1108" s="15" t="s">
        <v>14</v>
      </c>
      <c r="B1108" s="15" t="s">
        <v>3184</v>
      </c>
      <c r="C1108" s="15" t="s">
        <v>3185</v>
      </c>
      <c r="D1108" s="15" t="s">
        <v>3186</v>
      </c>
      <c r="E1108" s="15" t="s">
        <v>3187</v>
      </c>
      <c r="F1108" s="15" t="s">
        <v>128</v>
      </c>
      <c r="G1108" s="15" t="s">
        <v>36</v>
      </c>
      <c r="H1108" s="43">
        <f t="shared" ref="H1108:I1108" si="2217">LEN(D1108)-LEN(B1108)+1</f>
        <v>3</v>
      </c>
      <c r="I1108" s="43">
        <f t="shared" si="2217"/>
        <v>2</v>
      </c>
      <c r="J1108" s="18">
        <v>1.0</v>
      </c>
      <c r="K1108" s="18" t="s">
        <v>36</v>
      </c>
      <c r="L1108" s="5" t="str">
        <f t="shared" ref="L1108:M1108" si="2218">IFS(J1108="-", "-", J1108=H1108, "Final", J1108=1, "Initial", J1108&gt;1, "Medial")</f>
        <v>Initial</v>
      </c>
      <c r="M1108" s="44" t="str">
        <f t="shared" si="2218"/>
        <v>-</v>
      </c>
      <c r="N1108" s="5" t="str">
        <f t="shared" si="5"/>
        <v>0</v>
      </c>
      <c r="O1108" s="5" t="str">
        <f t="shared" si="6"/>
        <v>ˈfa</v>
      </c>
      <c r="P1108" s="5" t="str">
        <f t="shared" si="7"/>
        <v>0</v>
      </c>
      <c r="Q1108" s="5" t="str">
        <f t="shared" si="8"/>
        <v>ˈfa</v>
      </c>
      <c r="R1108" s="20"/>
      <c r="S1108" s="15" t="s">
        <v>3188</v>
      </c>
      <c r="T1108" s="15" t="s">
        <v>3189</v>
      </c>
      <c r="U1108" s="15" t="s">
        <v>22</v>
      </c>
      <c r="V1108" s="20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</row>
    <row r="1109">
      <c r="A1109" s="15" t="s">
        <v>14</v>
      </c>
      <c r="B1109" s="15" t="s">
        <v>3184</v>
      </c>
      <c r="C1109" s="15" t="s">
        <v>3185</v>
      </c>
      <c r="D1109" s="15" t="s">
        <v>3186</v>
      </c>
      <c r="E1109" s="15" t="s">
        <v>3187</v>
      </c>
      <c r="F1109" s="15" t="s">
        <v>3190</v>
      </c>
      <c r="G1109" s="15" t="s">
        <v>3190</v>
      </c>
      <c r="H1109" s="43">
        <f t="shared" ref="H1109:I1109" si="2219">LEN(D1109)-LEN(B1109)+1</f>
        <v>3</v>
      </c>
      <c r="I1109" s="43">
        <f t="shared" si="2219"/>
        <v>2</v>
      </c>
      <c r="J1109" s="18">
        <v>2.0</v>
      </c>
      <c r="K1109" s="18">
        <v>1.0</v>
      </c>
      <c r="L1109" s="5" t="str">
        <f t="shared" ref="L1109:M1109" si="2220">IFS(J1109="-", "-", J1109=H1109, "Final", J1109=1, "Initial", J1109&gt;1, "Medial")</f>
        <v>Medial</v>
      </c>
      <c r="M1109" s="44" t="str">
        <f t="shared" si="2220"/>
        <v>Initial</v>
      </c>
      <c r="N1109" s="5" t="str">
        <f t="shared" si="5"/>
        <v>u</v>
      </c>
      <c r="O1109" s="5" t="str">
        <f t="shared" si="6"/>
        <v>kɐ</v>
      </c>
      <c r="P1109" s="5" t="str">
        <f t="shared" si="7"/>
        <v>-</v>
      </c>
      <c r="Q1109" s="5" t="str">
        <f t="shared" si="8"/>
        <v>kɐ</v>
      </c>
      <c r="R1109" s="20"/>
      <c r="S1109" s="15" t="s">
        <v>3188</v>
      </c>
      <c r="T1109" s="15" t="s">
        <v>3189</v>
      </c>
      <c r="U1109" s="15" t="s">
        <v>22</v>
      </c>
      <c r="V1109" s="20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</row>
    <row r="1110">
      <c r="A1110" s="15" t="s">
        <v>14</v>
      </c>
      <c r="B1110" s="15" t="s">
        <v>3184</v>
      </c>
      <c r="C1110" s="15" t="s">
        <v>3185</v>
      </c>
      <c r="D1110" s="15" t="s">
        <v>3186</v>
      </c>
      <c r="E1110" s="15" t="s">
        <v>3187</v>
      </c>
      <c r="F1110" s="15" t="s">
        <v>175</v>
      </c>
      <c r="G1110" s="15" t="s">
        <v>175</v>
      </c>
      <c r="H1110" s="43">
        <f t="shared" ref="H1110:I1110" si="2221">LEN(D1110)-LEN(B1110)+1</f>
        <v>3</v>
      </c>
      <c r="I1110" s="43">
        <f t="shared" si="2221"/>
        <v>2</v>
      </c>
      <c r="J1110" s="18">
        <v>3.0</v>
      </c>
      <c r="K1110" s="18">
        <v>2.0</v>
      </c>
      <c r="L1110" s="5" t="str">
        <f t="shared" ref="L1110:M1110" si="2222">IFS(J1110="-", "-", J1110=H1110, "Final", J1110=1, "Initial", J1110&gt;1, "Medial")</f>
        <v>Final</v>
      </c>
      <c r="M1110" s="44" t="str">
        <f t="shared" si="2222"/>
        <v>Final</v>
      </c>
      <c r="N1110" s="5" t="str">
        <f t="shared" si="5"/>
        <v>ˈfa</v>
      </c>
      <c r="O1110" s="5">
        <f t="shared" si="6"/>
        <v>3</v>
      </c>
      <c r="P1110" s="5" t="str">
        <f t="shared" si="7"/>
        <v>ˈfa</v>
      </c>
      <c r="Q1110" s="5">
        <f t="shared" si="8"/>
        <v>2</v>
      </c>
      <c r="R1110" s="20"/>
      <c r="S1110" s="15" t="s">
        <v>3188</v>
      </c>
      <c r="T1110" s="15" t="s">
        <v>3189</v>
      </c>
      <c r="U1110" s="15" t="s">
        <v>22</v>
      </c>
      <c r="V1110" s="20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</row>
    <row r="1111">
      <c r="A1111" s="26" t="s">
        <v>14</v>
      </c>
      <c r="B1111" s="26" t="s">
        <v>3191</v>
      </c>
      <c r="C1111" s="26" t="s">
        <v>3192</v>
      </c>
      <c r="D1111" s="26" t="s">
        <v>3193</v>
      </c>
      <c r="E1111" s="26" t="s">
        <v>3194</v>
      </c>
      <c r="F1111" s="26" t="s">
        <v>36</v>
      </c>
      <c r="G1111" s="26" t="s">
        <v>3059</v>
      </c>
      <c r="H1111" s="43">
        <f t="shared" ref="H1111:I1111" si="2223">LEN(D1111)-LEN(B1111)+1</f>
        <v>3</v>
      </c>
      <c r="I1111" s="43">
        <f t="shared" si="2223"/>
        <v>4</v>
      </c>
      <c r="J1111" s="27" t="s">
        <v>36</v>
      </c>
      <c r="K1111" s="27">
        <v>1.0</v>
      </c>
      <c r="L1111" s="5" t="str">
        <f t="shared" ref="L1111:M1111" si="2224">IFS(J1111="-", "-", J1111=H1111, "Final", J1111=1, "Initial", J1111&gt;1, "Medial")</f>
        <v>-</v>
      </c>
      <c r="M1111" s="44" t="str">
        <f t="shared" si="2224"/>
        <v>Initial</v>
      </c>
      <c r="N1111" s="5" t="str">
        <f t="shared" si="5"/>
        <v>0</v>
      </c>
      <c r="O1111" s="5" t="str">
        <f t="shared" si="6"/>
        <v>fi</v>
      </c>
      <c r="P1111" s="5" t="str">
        <f t="shared" si="7"/>
        <v>0</v>
      </c>
      <c r="Q1111" s="5" t="str">
        <f t="shared" si="8"/>
        <v>fi</v>
      </c>
      <c r="R1111" s="26" t="s">
        <v>80</v>
      </c>
      <c r="S1111" s="26" t="s">
        <v>3195</v>
      </c>
      <c r="T1111" s="26" t="s">
        <v>1579</v>
      </c>
      <c r="U1111" s="26" t="s">
        <v>22</v>
      </c>
      <c r="V1111" s="28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</row>
    <row r="1112">
      <c r="A1112" s="26" t="s">
        <v>14</v>
      </c>
      <c r="B1112" s="26" t="s">
        <v>3191</v>
      </c>
      <c r="C1112" s="26" t="s">
        <v>3192</v>
      </c>
      <c r="D1112" s="26" t="s">
        <v>3193</v>
      </c>
      <c r="E1112" s="26" t="s">
        <v>3194</v>
      </c>
      <c r="F1112" s="26" t="s">
        <v>1186</v>
      </c>
      <c r="G1112" s="26" t="s">
        <v>1186</v>
      </c>
      <c r="H1112" s="43">
        <f t="shared" ref="H1112:I1112" si="2225">LEN(D1112)-LEN(B1112)+1</f>
        <v>3</v>
      </c>
      <c r="I1112" s="43">
        <f t="shared" si="2225"/>
        <v>4</v>
      </c>
      <c r="J1112" s="27">
        <v>1.0</v>
      </c>
      <c r="K1112" s="27">
        <v>2.0</v>
      </c>
      <c r="L1112" s="5" t="str">
        <f t="shared" ref="L1112:M1112" si="2226">IFS(J1112="-", "-", J1112=H1112, "Final", J1112=1, "Initial", J1112&gt;1, "Medial")</f>
        <v>Initial</v>
      </c>
      <c r="M1112" s="44" t="str">
        <f t="shared" si="2226"/>
        <v>Medial</v>
      </c>
      <c r="N1112" s="5" t="str">
        <f t="shared" si="5"/>
        <v>-</v>
      </c>
      <c r="O1112" s="5" t="str">
        <f t="shared" si="6"/>
        <v>ˈne</v>
      </c>
      <c r="P1112" s="5" t="str">
        <f t="shared" si="7"/>
        <v>al</v>
      </c>
      <c r="Q1112" s="5" t="str">
        <f t="shared" si="8"/>
        <v>ˈne</v>
      </c>
      <c r="R1112" s="28"/>
      <c r="S1112" s="26" t="s">
        <v>3195</v>
      </c>
      <c r="T1112" s="26" t="s">
        <v>1579</v>
      </c>
      <c r="U1112" s="26" t="s">
        <v>22</v>
      </c>
      <c r="V1112" s="28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</row>
    <row r="1113">
      <c r="A1113" s="26" t="s">
        <v>14</v>
      </c>
      <c r="B1113" s="26" t="s">
        <v>3191</v>
      </c>
      <c r="C1113" s="26" t="s">
        <v>3192</v>
      </c>
      <c r="D1113" s="26" t="s">
        <v>3193</v>
      </c>
      <c r="E1113" s="26" t="s">
        <v>3194</v>
      </c>
      <c r="F1113" s="26" t="s">
        <v>3196</v>
      </c>
      <c r="G1113" s="26" t="s">
        <v>3196</v>
      </c>
      <c r="H1113" s="43">
        <f t="shared" ref="H1113:I1113" si="2227">LEN(D1113)-LEN(B1113)+1</f>
        <v>3</v>
      </c>
      <c r="I1113" s="43">
        <f t="shared" si="2227"/>
        <v>4</v>
      </c>
      <c r="J1113" s="27">
        <v>2.0</v>
      </c>
      <c r="K1113" s="27">
        <v>3.0</v>
      </c>
      <c r="L1113" s="5" t="str">
        <f t="shared" ref="L1113:M1113" si="2228">IFS(J1113="-", "-", J1113=H1113, "Final", J1113=1, "Initial", J1113&gt;1, "Medial")</f>
        <v>Medial</v>
      </c>
      <c r="M1113" s="44" t="str">
        <f t="shared" si="2228"/>
        <v>Medial</v>
      </c>
      <c r="N1113" s="5" t="str">
        <f t="shared" si="5"/>
        <v>fi</v>
      </c>
      <c r="O1113" s="5" t="str">
        <f t="shared" si="6"/>
        <v>te</v>
      </c>
      <c r="P1113" s="5" t="str">
        <f t="shared" si="7"/>
        <v>fi</v>
      </c>
      <c r="Q1113" s="5" t="str">
        <f t="shared" si="8"/>
        <v>tɨ</v>
      </c>
      <c r="R1113" s="26"/>
      <c r="S1113" s="26" t="s">
        <v>3195</v>
      </c>
      <c r="T1113" s="26" t="s">
        <v>1579</v>
      </c>
      <c r="U1113" s="26" t="s">
        <v>22</v>
      </c>
      <c r="V1113" s="28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</row>
    <row r="1114">
      <c r="A1114" s="26" t="s">
        <v>14</v>
      </c>
      <c r="B1114" s="26" t="s">
        <v>3191</v>
      </c>
      <c r="C1114" s="26" t="s">
        <v>3192</v>
      </c>
      <c r="D1114" s="26" t="s">
        <v>3193</v>
      </c>
      <c r="E1114" s="26" t="s">
        <v>3194</v>
      </c>
      <c r="F1114" s="26" t="s">
        <v>152</v>
      </c>
      <c r="G1114" s="26" t="s">
        <v>56</v>
      </c>
      <c r="H1114" s="43">
        <f t="shared" ref="H1114:I1114" si="2229">LEN(D1114)-LEN(B1114)+1</f>
        <v>3</v>
      </c>
      <c r="I1114" s="43">
        <f t="shared" si="2229"/>
        <v>4</v>
      </c>
      <c r="J1114" s="27">
        <v>3.0</v>
      </c>
      <c r="K1114" s="27">
        <v>4.0</v>
      </c>
      <c r="L1114" s="5" t="str">
        <f t="shared" ref="L1114:M1114" si="2230">IFS(J1114="-", "-", J1114=H1114, "Final", J1114=1, "Initial", J1114&gt;1, "Medial")</f>
        <v>Final</v>
      </c>
      <c r="M1114" s="44" t="str">
        <f t="shared" si="2230"/>
        <v>Final</v>
      </c>
      <c r="N1114" s="5" t="str">
        <f t="shared" si="5"/>
        <v>ˈne</v>
      </c>
      <c r="O1114" s="5">
        <f t="shared" si="6"/>
        <v>3</v>
      </c>
      <c r="P1114" s="5" t="str">
        <f t="shared" si="7"/>
        <v>ˈne</v>
      </c>
      <c r="Q1114" s="5">
        <f t="shared" si="8"/>
        <v>4</v>
      </c>
      <c r="R1114" s="28"/>
      <c r="S1114" s="26" t="s">
        <v>3195</v>
      </c>
      <c r="T1114" s="26" t="s">
        <v>1579</v>
      </c>
      <c r="U1114" s="26" t="s">
        <v>22</v>
      </c>
      <c r="V1114" s="28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</row>
    <row r="1115">
      <c r="A1115" s="3" t="s">
        <v>14</v>
      </c>
      <c r="B1115" s="3" t="s">
        <v>3197</v>
      </c>
      <c r="C1115" s="3" t="s">
        <v>3198</v>
      </c>
      <c r="D1115" s="3" t="s">
        <v>3199</v>
      </c>
      <c r="E1115" s="3" t="s">
        <v>3200</v>
      </c>
      <c r="F1115" s="3" t="s">
        <v>386</v>
      </c>
      <c r="G1115" s="3" t="s">
        <v>190</v>
      </c>
      <c r="H1115" s="43">
        <f t="shared" ref="H1115:I1115" si="2231">LEN(D1115)-LEN(B1115)+1</f>
        <v>3</v>
      </c>
      <c r="I1115" s="43">
        <f t="shared" si="2231"/>
        <v>3</v>
      </c>
      <c r="J1115" s="4">
        <v>1.0</v>
      </c>
      <c r="K1115" s="4">
        <v>1.0</v>
      </c>
      <c r="L1115" s="5" t="str">
        <f t="shared" ref="L1115:M1115" si="2232">IFS(J1115="-", "-", J1115=H1115, "Final", J1115=1, "Initial", J1115&gt;1, "Medial")</f>
        <v>Initial</v>
      </c>
      <c r="M1115" s="44" t="str">
        <f t="shared" si="2232"/>
        <v>Initial</v>
      </c>
      <c r="N1115" s="5" t="str">
        <f t="shared" si="5"/>
        <v>0</v>
      </c>
      <c r="O1115" s="5" t="str">
        <f t="shared" si="6"/>
        <v>ˈra</v>
      </c>
      <c r="P1115" s="5" t="str">
        <f t="shared" si="7"/>
        <v>0</v>
      </c>
      <c r="Q1115" s="5" t="str">
        <f t="shared" si="8"/>
        <v>ˈʀa</v>
      </c>
      <c r="R1115" s="5"/>
      <c r="S1115" s="3" t="s">
        <v>3201</v>
      </c>
      <c r="T1115" s="3" t="s">
        <v>3202</v>
      </c>
      <c r="U1115" s="3" t="s">
        <v>22</v>
      </c>
      <c r="V1115" s="5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</row>
    <row r="1116">
      <c r="A1116" s="3" t="s">
        <v>14</v>
      </c>
      <c r="B1116" s="3" t="s">
        <v>3197</v>
      </c>
      <c r="C1116" s="3" t="s">
        <v>3198</v>
      </c>
      <c r="D1116" s="3" t="s">
        <v>3199</v>
      </c>
      <c r="E1116" s="3" t="s">
        <v>3200</v>
      </c>
      <c r="F1116" s="3" t="s">
        <v>326</v>
      </c>
      <c r="G1116" s="3" t="s">
        <v>327</v>
      </c>
      <c r="H1116" s="43">
        <f t="shared" ref="H1116:I1116" si="2233">LEN(D1116)-LEN(B1116)+1</f>
        <v>3</v>
      </c>
      <c r="I1116" s="43">
        <f t="shared" si="2233"/>
        <v>3</v>
      </c>
      <c r="J1116" s="4">
        <v>2.0</v>
      </c>
      <c r="K1116" s="4">
        <v>2.0</v>
      </c>
      <c r="L1116" s="5" t="str">
        <f t="shared" ref="L1116:M1116" si="2234">IFS(J1116="-", "-", J1116=H1116, "Final", J1116=1, "Initial", J1116&gt;1, "Medial")</f>
        <v>Medial</v>
      </c>
      <c r="M1116" s="44" t="str">
        <f t="shared" si="2234"/>
        <v>Medial</v>
      </c>
      <c r="N1116" s="5" t="str">
        <f t="shared" si="5"/>
        <v>ga</v>
      </c>
      <c r="O1116" s="5" t="str">
        <f t="shared" si="6"/>
        <v>fɐ</v>
      </c>
      <c r="P1116" s="5" t="str">
        <f t="shared" si="7"/>
        <v>gɐ</v>
      </c>
      <c r="Q1116" s="5" t="str">
        <f t="shared" si="8"/>
        <v>fɐ</v>
      </c>
      <c r="R1116" s="5"/>
      <c r="S1116" s="3" t="s">
        <v>3201</v>
      </c>
      <c r="T1116" s="3" t="s">
        <v>3202</v>
      </c>
      <c r="U1116" s="3" t="s">
        <v>22</v>
      </c>
      <c r="V1116" s="5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>
      <c r="A1117" s="3" t="s">
        <v>14</v>
      </c>
      <c r="B1117" s="3" t="s">
        <v>3197</v>
      </c>
      <c r="C1117" s="3" t="s">
        <v>3198</v>
      </c>
      <c r="D1117" s="3" t="s">
        <v>3199</v>
      </c>
      <c r="E1117" s="3" t="s">
        <v>3200</v>
      </c>
      <c r="F1117" s="3" t="s">
        <v>79</v>
      </c>
      <c r="G1117" s="3" t="s">
        <v>79</v>
      </c>
      <c r="H1117" s="43">
        <f t="shared" ref="H1117:I1117" si="2235">LEN(D1117)-LEN(B1117)+1</f>
        <v>3</v>
      </c>
      <c r="I1117" s="43">
        <f t="shared" si="2235"/>
        <v>3</v>
      </c>
      <c r="J1117" s="4">
        <v>3.0</v>
      </c>
      <c r="K1117" s="4">
        <v>3.0</v>
      </c>
      <c r="L1117" s="5" t="str">
        <f t="shared" ref="L1117:M1117" si="2236">IFS(J1117="-", "-", J1117=H1117, "Final", J1117=1, "Initial", J1117&gt;1, "Medial")</f>
        <v>Final</v>
      </c>
      <c r="M1117" s="44" t="str">
        <f t="shared" si="2236"/>
        <v>Final</v>
      </c>
      <c r="N1117" s="5" t="str">
        <f t="shared" si="5"/>
        <v>ˈra</v>
      </c>
      <c r="O1117" s="5">
        <f t="shared" si="6"/>
        <v>3</v>
      </c>
      <c r="P1117" s="5" t="str">
        <f t="shared" si="7"/>
        <v>ˈʀa</v>
      </c>
      <c r="Q1117" s="5">
        <f t="shared" si="8"/>
        <v>3</v>
      </c>
      <c r="R1117" s="5"/>
      <c r="S1117" s="3" t="s">
        <v>3201</v>
      </c>
      <c r="T1117" s="3" t="s">
        <v>3202</v>
      </c>
      <c r="U1117" s="3" t="s">
        <v>22</v>
      </c>
      <c r="V1117" s="5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</row>
    <row r="1118">
      <c r="A1118" s="15" t="s">
        <v>14</v>
      </c>
      <c r="B1118" s="15" t="s">
        <v>3203</v>
      </c>
      <c r="C1118" s="15" t="s">
        <v>3204</v>
      </c>
      <c r="D1118" s="15" t="s">
        <v>3205</v>
      </c>
      <c r="E1118" s="15" t="s">
        <v>3206</v>
      </c>
      <c r="F1118" s="15" t="s">
        <v>128</v>
      </c>
      <c r="G1118" s="15" t="s">
        <v>36</v>
      </c>
      <c r="H1118" s="43">
        <f t="shared" ref="H1118:I1118" si="2237">LEN(D1118)-LEN(B1118)+1</f>
        <v>3</v>
      </c>
      <c r="I1118" s="43">
        <f t="shared" si="2237"/>
        <v>2</v>
      </c>
      <c r="J1118" s="18">
        <v>1.0</v>
      </c>
      <c r="K1118" s="18" t="s">
        <v>36</v>
      </c>
      <c r="L1118" s="5" t="str">
        <f t="shared" ref="L1118:M1118" si="2238">IFS(J1118="-", "-", J1118=H1118, "Final", J1118=1, "Initial", J1118&gt;1, "Medial")</f>
        <v>Initial</v>
      </c>
      <c r="M1118" s="44" t="str">
        <f t="shared" si="2238"/>
        <v>-</v>
      </c>
      <c r="N1118" s="5" t="str">
        <f t="shared" si="5"/>
        <v>0</v>
      </c>
      <c r="O1118" s="5" t="str">
        <f t="shared" si="6"/>
        <v>ˈga</v>
      </c>
      <c r="P1118" s="5" t="str">
        <f t="shared" si="7"/>
        <v>0</v>
      </c>
      <c r="Q1118" s="5" t="str">
        <f t="shared" si="8"/>
        <v>ˈgaɾ</v>
      </c>
      <c r="R1118" s="20"/>
      <c r="S1118" s="15" t="s">
        <v>3207</v>
      </c>
      <c r="T1118" s="15" t="s">
        <v>3208</v>
      </c>
      <c r="U1118" s="15" t="s">
        <v>22</v>
      </c>
      <c r="V1118" s="20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</row>
    <row r="1119">
      <c r="A1119" s="15" t="s">
        <v>14</v>
      </c>
      <c r="B1119" s="15" t="s">
        <v>3203</v>
      </c>
      <c r="C1119" s="15" t="s">
        <v>3204</v>
      </c>
      <c r="D1119" s="15" t="s">
        <v>3205</v>
      </c>
      <c r="E1119" s="15" t="s">
        <v>3206</v>
      </c>
      <c r="F1119" s="15" t="s">
        <v>629</v>
      </c>
      <c r="G1119" s="15" t="s">
        <v>630</v>
      </c>
      <c r="H1119" s="43">
        <f t="shared" ref="H1119:I1119" si="2239">LEN(D1119)-LEN(B1119)+1</f>
        <v>3</v>
      </c>
      <c r="I1119" s="43">
        <f t="shared" si="2239"/>
        <v>2</v>
      </c>
      <c r="J1119" s="18">
        <v>2.0</v>
      </c>
      <c r="K1119" s="18">
        <v>1.0</v>
      </c>
      <c r="L1119" s="5" t="str">
        <f t="shared" ref="L1119:M1119" si="2240">IFS(J1119="-", "-", J1119=H1119, "Final", J1119=1, "Initial", J1119&gt;1, "Medial")</f>
        <v>Medial</v>
      </c>
      <c r="M1119" s="44" t="str">
        <f t="shared" si="2240"/>
        <v>Initial</v>
      </c>
      <c r="N1119" s="5" t="str">
        <f t="shared" si="5"/>
        <v>u</v>
      </c>
      <c r="O1119" s="5" t="str">
        <f t="shared" si="6"/>
        <v>fu</v>
      </c>
      <c r="P1119" s="5" t="str">
        <f t="shared" si="7"/>
        <v>-</v>
      </c>
      <c r="Q1119" s="5" t="str">
        <f t="shared" si="8"/>
        <v>fu</v>
      </c>
      <c r="R1119" s="20"/>
      <c r="S1119" s="15" t="s">
        <v>3207</v>
      </c>
      <c r="T1119" s="15" t="s">
        <v>3208</v>
      </c>
      <c r="U1119" s="15" t="s">
        <v>22</v>
      </c>
      <c r="V1119" s="20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</row>
    <row r="1120">
      <c r="A1120" s="15" t="s">
        <v>14</v>
      </c>
      <c r="B1120" s="15" t="s">
        <v>3203</v>
      </c>
      <c r="C1120" s="15" t="s">
        <v>3204</v>
      </c>
      <c r="D1120" s="15" t="s">
        <v>3205</v>
      </c>
      <c r="E1120" s="15" t="s">
        <v>3206</v>
      </c>
      <c r="F1120" s="15" t="s">
        <v>1210</v>
      </c>
      <c r="G1120" s="15" t="s">
        <v>1210</v>
      </c>
      <c r="H1120" s="43">
        <f t="shared" ref="H1120:I1120" si="2241">LEN(D1120)-LEN(B1120)+1</f>
        <v>3</v>
      </c>
      <c r="I1120" s="43">
        <f t="shared" si="2241"/>
        <v>2</v>
      </c>
      <c r="J1120" s="18">
        <v>3.0</v>
      </c>
      <c r="K1120" s="18">
        <v>2.0</v>
      </c>
      <c r="L1120" s="5" t="str">
        <f t="shared" ref="L1120:M1120" si="2242">IFS(J1120="-", "-", J1120=H1120, "Final", J1120=1, "Initial", J1120&gt;1, "Medial")</f>
        <v>Final</v>
      </c>
      <c r="M1120" s="44" t="str">
        <f t="shared" si="2242"/>
        <v>Final</v>
      </c>
      <c r="N1120" s="5" t="str">
        <f t="shared" si="5"/>
        <v>ˈga</v>
      </c>
      <c r="O1120" s="5">
        <f t="shared" si="6"/>
        <v>3</v>
      </c>
      <c r="P1120" s="5" t="str">
        <f t="shared" si="7"/>
        <v>ˈgaɾ</v>
      </c>
      <c r="Q1120" s="5">
        <f t="shared" si="8"/>
        <v>2</v>
      </c>
      <c r="R1120" s="20"/>
      <c r="S1120" s="15" t="s">
        <v>3207</v>
      </c>
      <c r="T1120" s="15" t="s">
        <v>3208</v>
      </c>
      <c r="U1120" s="15" t="s">
        <v>22</v>
      </c>
      <c r="V1120" s="20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</row>
    <row r="1121">
      <c r="A1121" s="3" t="s">
        <v>14</v>
      </c>
      <c r="B1121" s="3" t="s">
        <v>3209</v>
      </c>
      <c r="C1121" s="3" t="s">
        <v>3210</v>
      </c>
      <c r="D1121" s="6" t="s">
        <v>3211</v>
      </c>
      <c r="E1121" s="3" t="s">
        <v>3212</v>
      </c>
      <c r="F1121" s="6" t="s">
        <v>3213</v>
      </c>
      <c r="G1121" s="3" t="s">
        <v>301</v>
      </c>
      <c r="H1121" s="43">
        <f t="shared" ref="H1121:I1121" si="2243">LEN(D1121)-LEN(B1121)+1</f>
        <v>2</v>
      </c>
      <c r="I1121" s="43">
        <f t="shared" si="2243"/>
        <v>3</v>
      </c>
      <c r="J1121" s="4">
        <v>1.0</v>
      </c>
      <c r="K1121" s="4">
        <v>1.0</v>
      </c>
      <c r="L1121" s="5" t="str">
        <f t="shared" ref="L1121:M1121" si="2244">IFS(J1121="-", "-", J1121=H1121, "Final", J1121=1, "Initial", J1121&gt;1, "Medial")</f>
        <v>Initial</v>
      </c>
      <c r="M1121" s="44" t="str">
        <f t="shared" si="2244"/>
        <v>Initial</v>
      </c>
      <c r="N1121" s="5" t="str">
        <f t="shared" si="5"/>
        <v>0</v>
      </c>
      <c r="O1121" s="5" t="str">
        <f t="shared" si="6"/>
        <v>-</v>
      </c>
      <c r="P1121" s="5" t="str">
        <f t="shared" si="7"/>
        <v>0</v>
      </c>
      <c r="Q1121" s="5" t="str">
        <f t="shared" si="8"/>
        <v>ˈta</v>
      </c>
      <c r="R1121" s="3" t="s">
        <v>80</v>
      </c>
      <c r="S1121" s="3" t="s">
        <v>3214</v>
      </c>
      <c r="T1121" s="3" t="s">
        <v>3215</v>
      </c>
      <c r="U1121" s="3" t="s">
        <v>22</v>
      </c>
      <c r="V1121" s="5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</row>
    <row r="1122">
      <c r="A1122" s="3" t="s">
        <v>14</v>
      </c>
      <c r="B1122" s="3" t="s">
        <v>3209</v>
      </c>
      <c r="C1122" s="3" t="s">
        <v>3210</v>
      </c>
      <c r="D1122" s="6" t="s">
        <v>3211</v>
      </c>
      <c r="E1122" s="3" t="s">
        <v>3212</v>
      </c>
      <c r="F1122" s="6" t="s">
        <v>36</v>
      </c>
      <c r="G1122" s="3" t="s">
        <v>1075</v>
      </c>
      <c r="H1122" s="43">
        <f t="shared" ref="H1122:I1122" si="2245">LEN(D1122)-LEN(B1122)+1</f>
        <v>2</v>
      </c>
      <c r="I1122" s="43">
        <f t="shared" si="2245"/>
        <v>3</v>
      </c>
      <c r="J1122" s="4" t="s">
        <v>36</v>
      </c>
      <c r="K1122" s="4">
        <v>2.0</v>
      </c>
      <c r="L1122" s="5" t="str">
        <f t="shared" ref="L1122:M1122" si="2246">IFS(J1122="-", "-", J1122=H1122, "Final", J1122=1, "Initial", J1122&gt;1, "Medial")</f>
        <v>-</v>
      </c>
      <c r="M1122" s="44" t="str">
        <f t="shared" si="2246"/>
        <v>Medial</v>
      </c>
      <c r="N1122" s="5" t="str">
        <f t="shared" si="5"/>
        <v>ˈʃta</v>
      </c>
      <c r="O1122" s="5" t="str">
        <f t="shared" si="6"/>
        <v>kɐ</v>
      </c>
      <c r="P1122" s="5" t="str">
        <f t="shared" si="7"/>
        <v>ʃ</v>
      </c>
      <c r="Q1122" s="5" t="str">
        <f t="shared" si="8"/>
        <v>kɐ</v>
      </c>
      <c r="R1122" s="3"/>
      <c r="S1122" s="3" t="s">
        <v>3214</v>
      </c>
      <c r="T1122" s="3" t="s">
        <v>3215</v>
      </c>
      <c r="U1122" s="3" t="s">
        <v>22</v>
      </c>
      <c r="V1122" s="5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</row>
    <row r="1123">
      <c r="A1123" s="3" t="s">
        <v>14</v>
      </c>
      <c r="B1123" s="3" t="s">
        <v>3209</v>
      </c>
      <c r="C1123" s="3" t="s">
        <v>3210</v>
      </c>
      <c r="D1123" s="6" t="s">
        <v>3211</v>
      </c>
      <c r="E1123" s="3" t="s">
        <v>3212</v>
      </c>
      <c r="F1123" s="6" t="s">
        <v>175</v>
      </c>
      <c r="G1123" s="3" t="s">
        <v>175</v>
      </c>
      <c r="H1123" s="43">
        <f t="shared" ref="H1123:I1123" si="2247">LEN(D1123)-LEN(B1123)+1</f>
        <v>2</v>
      </c>
      <c r="I1123" s="43">
        <f t="shared" si="2247"/>
        <v>3</v>
      </c>
      <c r="J1123" s="4">
        <v>2.0</v>
      </c>
      <c r="K1123" s="4">
        <v>3.0</v>
      </c>
      <c r="L1123" s="5" t="str">
        <f t="shared" ref="L1123:M1123" si="2248">IFS(J1123="-", "-", J1123=H1123, "Final", J1123=1, "Initial", J1123&gt;1, "Medial")</f>
        <v>Final</v>
      </c>
      <c r="M1123" s="44" t="str">
        <f t="shared" si="2248"/>
        <v>Final</v>
      </c>
      <c r="N1123" s="5" t="str">
        <f t="shared" si="5"/>
        <v>-</v>
      </c>
      <c r="O1123" s="5">
        <f t="shared" si="6"/>
        <v>2</v>
      </c>
      <c r="P1123" s="5" t="str">
        <f t="shared" si="7"/>
        <v>ˈta</v>
      </c>
      <c r="Q1123" s="5">
        <f t="shared" si="8"/>
        <v>3</v>
      </c>
      <c r="R1123" s="5"/>
      <c r="S1123" s="3" t="s">
        <v>3214</v>
      </c>
      <c r="T1123" s="3" t="s">
        <v>3215</v>
      </c>
      <c r="U1123" s="3" t="s">
        <v>22</v>
      </c>
      <c r="V1123" s="5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>
      <c r="A1124" s="3" t="s">
        <v>14</v>
      </c>
      <c r="B1124" s="3" t="s">
        <v>3216</v>
      </c>
      <c r="C1124" s="3" t="s">
        <v>3216</v>
      </c>
      <c r="D1124" s="3" t="s">
        <v>3217</v>
      </c>
      <c r="E1124" s="3" t="s">
        <v>3217</v>
      </c>
      <c r="F1124" s="3" t="s">
        <v>596</v>
      </c>
      <c r="G1124" s="3" t="s">
        <v>596</v>
      </c>
      <c r="H1124" s="43">
        <f t="shared" ref="H1124:I1124" si="2249">LEN(D1124)-LEN(B1124)+1</f>
        <v>2</v>
      </c>
      <c r="I1124" s="43">
        <f t="shared" si="2249"/>
        <v>2</v>
      </c>
      <c r="J1124" s="4">
        <v>1.0</v>
      </c>
      <c r="K1124" s="4">
        <v>1.0</v>
      </c>
      <c r="L1124" s="5" t="str">
        <f t="shared" ref="L1124:M1124" si="2250">IFS(J1124="-", "-", J1124=H1124, "Final", J1124=1, "Initial", J1124&gt;1, "Medial")</f>
        <v>Initial</v>
      </c>
      <c r="M1124" s="44" t="str">
        <f t="shared" si="2250"/>
        <v>Initial</v>
      </c>
      <c r="N1124" s="5" t="str">
        <f t="shared" si="5"/>
        <v>0</v>
      </c>
      <c r="O1124" s="5" t="str">
        <f t="shared" si="6"/>
        <v>pu</v>
      </c>
      <c r="P1124" s="5" t="str">
        <f t="shared" si="7"/>
        <v>0</v>
      </c>
      <c r="Q1124" s="5" t="str">
        <f t="shared" si="8"/>
        <v>pu</v>
      </c>
      <c r="R1124" s="5"/>
      <c r="S1124" s="3" t="s">
        <v>3218</v>
      </c>
      <c r="T1124" s="3" t="s">
        <v>3219</v>
      </c>
      <c r="U1124" s="3" t="s">
        <v>22</v>
      </c>
      <c r="V1124" s="5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</row>
    <row r="1125">
      <c r="A1125" s="3" t="s">
        <v>14</v>
      </c>
      <c r="B1125" s="3" t="s">
        <v>3216</v>
      </c>
      <c r="C1125" s="3" t="s">
        <v>3216</v>
      </c>
      <c r="D1125" s="3" t="s">
        <v>3217</v>
      </c>
      <c r="E1125" s="3" t="s">
        <v>3217</v>
      </c>
      <c r="F1125" s="3" t="s">
        <v>437</v>
      </c>
      <c r="G1125" s="3" t="s">
        <v>437</v>
      </c>
      <c r="H1125" s="43">
        <f t="shared" ref="H1125:I1125" si="2251">LEN(D1125)-LEN(B1125)+1</f>
        <v>2</v>
      </c>
      <c r="I1125" s="43">
        <f t="shared" si="2251"/>
        <v>2</v>
      </c>
      <c r="J1125" s="4">
        <v>2.0</v>
      </c>
      <c r="K1125" s="4">
        <v>2.0</v>
      </c>
      <c r="L1125" s="5" t="str">
        <f t="shared" ref="L1125:M1125" si="2252">IFS(J1125="-", "-", J1125=H1125, "Final", J1125=1, "Initial", J1125&gt;1, "Medial")</f>
        <v>Final</v>
      </c>
      <c r="M1125" s="44" t="str">
        <f t="shared" si="2252"/>
        <v>Final</v>
      </c>
      <c r="N1125" s="5" t="str">
        <f t="shared" si="5"/>
        <v>ˈkɔ</v>
      </c>
      <c r="O1125" s="5">
        <f t="shared" si="6"/>
        <v>2</v>
      </c>
      <c r="P1125" s="5" t="str">
        <f t="shared" si="7"/>
        <v>ˈkɔ</v>
      </c>
      <c r="Q1125" s="5">
        <f t="shared" si="8"/>
        <v>2</v>
      </c>
      <c r="R1125" s="5"/>
      <c r="S1125" s="3" t="s">
        <v>3218</v>
      </c>
      <c r="T1125" s="3" t="s">
        <v>3219</v>
      </c>
      <c r="U1125" s="3" t="s">
        <v>22</v>
      </c>
      <c r="V1125" s="5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</row>
    <row r="1126">
      <c r="A1126" s="3" t="s">
        <v>14</v>
      </c>
      <c r="B1126" s="3" t="s">
        <v>3220</v>
      </c>
      <c r="C1126" s="3" t="s">
        <v>3221</v>
      </c>
      <c r="D1126" s="3" t="s">
        <v>3220</v>
      </c>
      <c r="E1126" s="3" t="s">
        <v>3222</v>
      </c>
      <c r="F1126" s="3" t="s">
        <v>3220</v>
      </c>
      <c r="G1126" s="3" t="s">
        <v>3223</v>
      </c>
      <c r="H1126" s="43">
        <f t="shared" ref="H1126:I1126" si="2253">LEN(D1126)-LEN(B1126)+1</f>
        <v>1</v>
      </c>
      <c r="I1126" s="43">
        <f t="shared" si="2253"/>
        <v>2</v>
      </c>
      <c r="J1126" s="4">
        <v>1.0</v>
      </c>
      <c r="K1126" s="4">
        <v>1.0</v>
      </c>
      <c r="L1126" s="5" t="str">
        <f t="shared" ref="L1126:M1126" si="2254">IFS(J1126="-", "-", J1126=H1126, "Final", J1126=1, "Initial", J1126&gt;1, "Medial")</f>
        <v>Final</v>
      </c>
      <c r="M1126" s="44" t="str">
        <f t="shared" si="2254"/>
        <v>Initial</v>
      </c>
      <c r="N1126" s="5" t="str">
        <f t="shared" si="5"/>
        <v>0</v>
      </c>
      <c r="O1126" s="5" t="str">
        <f t="shared" si="6"/>
        <v>-</v>
      </c>
      <c r="P1126" s="5" t="str">
        <f t="shared" si="7"/>
        <v>0</v>
      </c>
      <c r="Q1126" s="5" t="str">
        <f t="shared" si="8"/>
        <v>dɐ</v>
      </c>
      <c r="R1126" s="3" t="s">
        <v>80</v>
      </c>
      <c r="S1126" s="3" t="s">
        <v>3224</v>
      </c>
      <c r="T1126" s="3" t="s">
        <v>3225</v>
      </c>
      <c r="U1126" s="3" t="s">
        <v>22</v>
      </c>
      <c r="V1126" s="5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</row>
    <row r="1127">
      <c r="A1127" s="3" t="s">
        <v>14</v>
      </c>
      <c r="B1127" s="3" t="s">
        <v>3220</v>
      </c>
      <c r="C1127" s="3" t="s">
        <v>3221</v>
      </c>
      <c r="D1127" s="3" t="s">
        <v>3220</v>
      </c>
      <c r="E1127" s="3" t="s">
        <v>3222</v>
      </c>
      <c r="F1127" s="3" t="s">
        <v>36</v>
      </c>
      <c r="G1127" s="3" t="s">
        <v>116</v>
      </c>
      <c r="H1127" s="43">
        <f t="shared" ref="H1127:I1127" si="2255">LEN(D1127)-LEN(B1127)+1</f>
        <v>1</v>
      </c>
      <c r="I1127" s="43">
        <f t="shared" si="2255"/>
        <v>2</v>
      </c>
      <c r="J1127" s="4" t="s">
        <v>36</v>
      </c>
      <c r="K1127" s="4">
        <v>2.0</v>
      </c>
      <c r="L1127" s="5" t="str">
        <f t="shared" ref="L1127:M1127" si="2256">IFS(J1127="-", "-", J1127=H1127, "Final", J1127=1, "Initial", J1127&gt;1, "Medial")</f>
        <v>-</v>
      </c>
      <c r="M1127" s="44" t="str">
        <f t="shared" si="2256"/>
        <v>Final</v>
      </c>
      <c r="N1127" s="5" t="str">
        <f t="shared" si="5"/>
        <v>ˈkwa:</v>
      </c>
      <c r="O1127" s="5" t="str">
        <f t="shared" si="6"/>
        <v>-</v>
      </c>
      <c r="P1127" s="5" t="str">
        <f t="shared" si="7"/>
        <v>ˈkɔɾ</v>
      </c>
      <c r="Q1127" s="5">
        <f t="shared" si="8"/>
        <v>2</v>
      </c>
      <c r="R1127" s="3"/>
      <c r="S1127" s="3" t="s">
        <v>3224</v>
      </c>
      <c r="T1127" s="3" t="s">
        <v>3225</v>
      </c>
      <c r="U1127" s="3" t="s">
        <v>22</v>
      </c>
      <c r="V1127" s="5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</row>
    <row r="1128">
      <c r="A1128" s="3" t="s">
        <v>14</v>
      </c>
      <c r="B1128" s="3" t="s">
        <v>3226</v>
      </c>
      <c r="C1128" s="3" t="s">
        <v>3227</v>
      </c>
      <c r="D1128" s="3" t="s">
        <v>3228</v>
      </c>
      <c r="E1128" s="3" t="s">
        <v>3229</v>
      </c>
      <c r="F1128" s="3" t="s">
        <v>3230</v>
      </c>
      <c r="G1128" s="3" t="s">
        <v>425</v>
      </c>
      <c r="H1128" s="43">
        <f t="shared" ref="H1128:I1128" si="2257">LEN(D1128)-LEN(B1128)+1</f>
        <v>2</v>
      </c>
      <c r="I1128" s="43">
        <f t="shared" si="2257"/>
        <v>3</v>
      </c>
      <c r="J1128" s="4">
        <v>1.0</v>
      </c>
      <c r="K1128" s="4">
        <v>1.0</v>
      </c>
      <c r="L1128" s="5" t="str">
        <f t="shared" ref="L1128:M1128" si="2258">IFS(J1128="-", "-", J1128=H1128, "Final", J1128=1, "Initial", J1128&gt;1, "Medial")</f>
        <v>Initial</v>
      </c>
      <c r="M1128" s="44" t="str">
        <f t="shared" si="2258"/>
        <v>Initial</v>
      </c>
      <c r="N1128" s="5" t="str">
        <f t="shared" si="5"/>
        <v>0</v>
      </c>
      <c r="O1128" s="5" t="str">
        <f t="shared" si="6"/>
        <v>-</v>
      </c>
      <c r="P1128" s="5" t="str">
        <f t="shared" si="7"/>
        <v>0</v>
      </c>
      <c r="Q1128" s="5" t="str">
        <f t="shared" si="8"/>
        <v>ɐ</v>
      </c>
      <c r="R1128" s="3" t="s">
        <v>80</v>
      </c>
      <c r="S1128" s="3" t="s">
        <v>3231</v>
      </c>
      <c r="T1128" s="3" t="s">
        <v>3232</v>
      </c>
      <c r="U1128" s="3" t="s">
        <v>22</v>
      </c>
      <c r="V1128" s="5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>
      <c r="A1129" s="3" t="s">
        <v>14</v>
      </c>
      <c r="B1129" s="3" t="s">
        <v>3226</v>
      </c>
      <c r="C1129" s="3" t="s">
        <v>3227</v>
      </c>
      <c r="D1129" s="3" t="s">
        <v>3228</v>
      </c>
      <c r="E1129" s="3" t="s">
        <v>3229</v>
      </c>
      <c r="F1129" s="3" t="s">
        <v>36</v>
      </c>
      <c r="G1129" s="3" t="s">
        <v>49</v>
      </c>
      <c r="H1129" s="43">
        <f t="shared" ref="H1129:I1129" si="2259">LEN(D1129)-LEN(B1129)+1</f>
        <v>2</v>
      </c>
      <c r="I1129" s="43">
        <f t="shared" si="2259"/>
        <v>3</v>
      </c>
      <c r="J1129" s="4" t="s">
        <v>36</v>
      </c>
      <c r="K1129" s="4">
        <v>2.0</v>
      </c>
      <c r="L1129" s="5" t="str">
        <f t="shared" ref="L1129:M1129" si="2260">IFS(J1129="-", "-", J1129=H1129, "Final", J1129=1, "Initial", J1129&gt;1, "Medial")</f>
        <v>-</v>
      </c>
      <c r="M1129" s="44" t="str">
        <f t="shared" si="2260"/>
        <v>Medial</v>
      </c>
      <c r="N1129" s="5" t="str">
        <f t="shared" si="5"/>
        <v>kwa</v>
      </c>
      <c r="O1129" s="5" t="str">
        <f t="shared" si="6"/>
        <v>ˈdo</v>
      </c>
      <c r="P1129" s="5" t="str">
        <f t="shared" si="7"/>
        <v>ku</v>
      </c>
      <c r="Q1129" s="5" t="str">
        <f t="shared" si="8"/>
        <v>ˈdoɾ</v>
      </c>
      <c r="R1129" s="3"/>
      <c r="S1129" s="3" t="s">
        <v>3231</v>
      </c>
      <c r="T1129" s="3" t="s">
        <v>3232</v>
      </c>
      <c r="U1129" s="3" t="s">
        <v>22</v>
      </c>
      <c r="V1129" s="5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</row>
    <row r="1130">
      <c r="A1130" s="3" t="s">
        <v>14</v>
      </c>
      <c r="B1130" s="3" t="s">
        <v>3226</v>
      </c>
      <c r="C1130" s="3" t="s">
        <v>3227</v>
      </c>
      <c r="D1130" s="3" t="s">
        <v>3228</v>
      </c>
      <c r="E1130" s="3" t="s">
        <v>3229</v>
      </c>
      <c r="F1130" s="3" t="s">
        <v>878</v>
      </c>
      <c r="G1130" s="3" t="s">
        <v>879</v>
      </c>
      <c r="H1130" s="43">
        <f t="shared" ref="H1130:I1130" si="2261">LEN(D1130)-LEN(B1130)+1</f>
        <v>2</v>
      </c>
      <c r="I1130" s="43">
        <f t="shared" si="2261"/>
        <v>3</v>
      </c>
      <c r="J1130" s="4">
        <v>2.0</v>
      </c>
      <c r="K1130" s="4">
        <v>3.0</v>
      </c>
      <c r="L1130" s="5" t="str">
        <f t="shared" ref="L1130:M1130" si="2262">IFS(J1130="-", "-", J1130=H1130, "Final", J1130=1, "Initial", J1130&gt;1, "Medial")</f>
        <v>Final</v>
      </c>
      <c r="M1130" s="44" t="str">
        <f t="shared" si="2262"/>
        <v>Final</v>
      </c>
      <c r="N1130" s="5" t="str">
        <f t="shared" si="5"/>
        <v>-</v>
      </c>
      <c r="O1130" s="5">
        <f t="shared" si="6"/>
        <v>2</v>
      </c>
      <c r="P1130" s="5" t="str">
        <f t="shared" si="7"/>
        <v>ɐ</v>
      </c>
      <c r="Q1130" s="5">
        <f t="shared" si="8"/>
        <v>3</v>
      </c>
      <c r="R1130" s="5"/>
      <c r="S1130" s="3" t="s">
        <v>3231</v>
      </c>
      <c r="T1130" s="3" t="s">
        <v>3232</v>
      </c>
      <c r="U1130" s="3" t="s">
        <v>22</v>
      </c>
      <c r="V1130" s="5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</row>
    <row r="1131">
      <c r="A1131" s="3" t="s">
        <v>14</v>
      </c>
      <c r="B1131" s="3" t="s">
        <v>3233</v>
      </c>
      <c r="C1131" s="3" t="s">
        <v>3234</v>
      </c>
      <c r="D1131" s="3" t="s">
        <v>3235</v>
      </c>
      <c r="E1131" s="3" t="s">
        <v>3236</v>
      </c>
      <c r="F1131" s="3" t="s">
        <v>1435</v>
      </c>
      <c r="G1131" s="3" t="s">
        <v>1435</v>
      </c>
      <c r="H1131" s="43">
        <f t="shared" ref="H1131:I1131" si="2263">LEN(D1131)-LEN(B1131)+1</f>
        <v>2</v>
      </c>
      <c r="I1131" s="43">
        <f t="shared" si="2263"/>
        <v>3</v>
      </c>
      <c r="J1131" s="4">
        <v>1.0</v>
      </c>
      <c r="K1131" s="4">
        <v>1.0</v>
      </c>
      <c r="L1131" s="5" t="str">
        <f t="shared" ref="L1131:M1131" si="2264">IFS(J1131="-", "-", J1131=H1131, "Final", J1131=1, "Initial", J1131&gt;1, "Medial")</f>
        <v>Initial</v>
      </c>
      <c r="M1131" s="44" t="str">
        <f t="shared" si="2264"/>
        <v>Initial</v>
      </c>
      <c r="N1131" s="5" t="str">
        <f t="shared" si="5"/>
        <v>0</v>
      </c>
      <c r="O1131" s="5" t="str">
        <f t="shared" si="6"/>
        <v>-</v>
      </c>
      <c r="P1131" s="5" t="str">
        <f t="shared" si="7"/>
        <v>0</v>
      </c>
      <c r="Q1131" s="5" t="str">
        <f t="shared" si="8"/>
        <v>pi</v>
      </c>
      <c r="R1131" s="3" t="s">
        <v>72</v>
      </c>
      <c r="S1131" s="3" t="s">
        <v>3237</v>
      </c>
      <c r="T1131" s="3" t="s">
        <v>3238</v>
      </c>
      <c r="U1131" s="3" t="s">
        <v>22</v>
      </c>
      <c r="V1131" s="5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</row>
    <row r="1132">
      <c r="A1132" s="3" t="s">
        <v>14</v>
      </c>
      <c r="B1132" s="3" t="s">
        <v>3233</v>
      </c>
      <c r="C1132" s="3" t="s">
        <v>3234</v>
      </c>
      <c r="D1132" s="3" t="s">
        <v>3235</v>
      </c>
      <c r="E1132" s="3" t="s">
        <v>3236</v>
      </c>
      <c r="F1132" s="3" t="s">
        <v>36</v>
      </c>
      <c r="G1132" s="3" t="s">
        <v>233</v>
      </c>
      <c r="H1132" s="43">
        <f t="shared" ref="H1132:I1132" si="2265">LEN(D1132)-LEN(B1132)+1</f>
        <v>2</v>
      </c>
      <c r="I1132" s="43">
        <f t="shared" si="2265"/>
        <v>3</v>
      </c>
      <c r="J1132" s="4" t="s">
        <v>36</v>
      </c>
      <c r="K1132" s="4">
        <v>2.0</v>
      </c>
      <c r="L1132" s="5" t="str">
        <f t="shared" ref="L1132:M1132" si="2266">IFS(J1132="-", "-", J1132=H1132, "Final", J1132=1, "Initial", J1132&gt;1, "Medial")</f>
        <v>-</v>
      </c>
      <c r="M1132" s="44" t="str">
        <f t="shared" si="2266"/>
        <v>Medial</v>
      </c>
      <c r="N1132" s="5" t="str">
        <f t="shared" si="5"/>
        <v>lɐ̃</v>
      </c>
      <c r="O1132" s="5" t="str">
        <f t="shared" si="6"/>
        <v>ˈpjɐ̃</v>
      </c>
      <c r="P1132" s="5" t="str">
        <f t="shared" si="7"/>
        <v>lɐ̃</v>
      </c>
      <c r="Q1132" s="5" t="str">
        <f t="shared" si="8"/>
        <v>ˈɐ̃w̃</v>
      </c>
      <c r="R1132" s="3"/>
      <c r="S1132" s="3" t="s">
        <v>3237</v>
      </c>
      <c r="T1132" s="3" t="s">
        <v>3238</v>
      </c>
      <c r="U1132" s="3" t="s">
        <v>22</v>
      </c>
      <c r="V1132" s="5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</row>
    <row r="1133">
      <c r="A1133" s="3" t="s">
        <v>14</v>
      </c>
      <c r="B1133" s="3" t="s">
        <v>3233</v>
      </c>
      <c r="C1133" s="3" t="s">
        <v>3234</v>
      </c>
      <c r="D1133" s="3" t="s">
        <v>3235</v>
      </c>
      <c r="E1133" s="3" t="s">
        <v>3236</v>
      </c>
      <c r="F1133" s="3" t="s">
        <v>3239</v>
      </c>
      <c r="G1133" s="3" t="s">
        <v>3240</v>
      </c>
      <c r="H1133" s="43">
        <f t="shared" ref="H1133:I1133" si="2267">LEN(D1133)-LEN(B1133)+1</f>
        <v>2</v>
      </c>
      <c r="I1133" s="43">
        <f t="shared" si="2267"/>
        <v>3</v>
      </c>
      <c r="J1133" s="4">
        <v>2.0</v>
      </c>
      <c r="K1133" s="4">
        <v>3.0</v>
      </c>
      <c r="L1133" s="5" t="str">
        <f t="shared" ref="L1133:M1133" si="2268">IFS(J1133="-", "-", J1133=H1133, "Final", J1133=1, "Initial", J1133&gt;1, "Medial")</f>
        <v>Final</v>
      </c>
      <c r="M1133" s="44" t="str">
        <f t="shared" si="2268"/>
        <v>Final</v>
      </c>
      <c r="N1133" s="5" t="str">
        <f t="shared" si="5"/>
        <v>-</v>
      </c>
      <c r="O1133" s="5">
        <f t="shared" si="6"/>
        <v>2</v>
      </c>
      <c r="P1133" s="5" t="str">
        <f t="shared" si="7"/>
        <v>pi</v>
      </c>
      <c r="Q1133" s="5">
        <f t="shared" si="8"/>
        <v>3</v>
      </c>
      <c r="R1133" s="3"/>
      <c r="S1133" s="3" t="s">
        <v>3237</v>
      </c>
      <c r="T1133" s="3" t="s">
        <v>3238</v>
      </c>
      <c r="U1133" s="3" t="s">
        <v>22</v>
      </c>
      <c r="V1133" s="5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>
      <c r="A1134" s="3" t="s">
        <v>14</v>
      </c>
      <c r="B1134" s="3" t="s">
        <v>3241</v>
      </c>
      <c r="C1134" s="3" t="s">
        <v>1439</v>
      </c>
      <c r="D1134" s="3" t="s">
        <v>3242</v>
      </c>
      <c r="E1134" s="3" t="s">
        <v>1441</v>
      </c>
      <c r="F1134" s="3" t="s">
        <v>3243</v>
      </c>
      <c r="G1134" s="3" t="s">
        <v>1435</v>
      </c>
      <c r="H1134" s="43">
        <f t="shared" ref="H1134:I1134" si="2269">LEN(D1134)-LEN(B1134)+1</f>
        <v>2</v>
      </c>
      <c r="I1134" s="43">
        <f t="shared" si="2269"/>
        <v>2</v>
      </c>
      <c r="J1134" s="4">
        <v>1.0</v>
      </c>
      <c r="K1134" s="4">
        <v>1.0</v>
      </c>
      <c r="L1134" s="5" t="str">
        <f t="shared" ref="L1134:M1134" si="2270">IFS(J1134="-", "-", J1134=H1134, "Final", J1134=1, "Initial", J1134&gt;1, "Medial")</f>
        <v>Initial</v>
      </c>
      <c r="M1134" s="44" t="str">
        <f t="shared" si="2270"/>
        <v>Initial</v>
      </c>
      <c r="N1134" s="5" t="str">
        <f t="shared" si="5"/>
        <v>0</v>
      </c>
      <c r="O1134" s="5" t="str">
        <f t="shared" si="6"/>
        <v>sɐ</v>
      </c>
      <c r="P1134" s="5" t="str">
        <f t="shared" si="7"/>
        <v>0</v>
      </c>
      <c r="Q1134" s="5" t="str">
        <f t="shared" si="8"/>
        <v>ˈsaɾ</v>
      </c>
      <c r="R1134" s="5"/>
      <c r="S1134" s="3" t="s">
        <v>3244</v>
      </c>
      <c r="T1134" s="3" t="s">
        <v>3245</v>
      </c>
      <c r="U1134" s="3" t="s">
        <v>22</v>
      </c>
      <c r="V1134" s="5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</row>
    <row r="1135">
      <c r="A1135" s="3" t="s">
        <v>14</v>
      </c>
      <c r="B1135" s="3" t="s">
        <v>3241</v>
      </c>
      <c r="C1135" s="3" t="s">
        <v>1439</v>
      </c>
      <c r="D1135" s="3" t="s">
        <v>3242</v>
      </c>
      <c r="E1135" s="3" t="s">
        <v>1441</v>
      </c>
      <c r="F1135" s="3" t="s">
        <v>402</v>
      </c>
      <c r="G1135" s="3" t="s">
        <v>1129</v>
      </c>
      <c r="H1135" s="43">
        <f t="shared" ref="H1135:I1135" si="2271">LEN(D1135)-LEN(B1135)+1</f>
        <v>2</v>
      </c>
      <c r="I1135" s="43">
        <f t="shared" si="2271"/>
        <v>2</v>
      </c>
      <c r="J1135" s="4">
        <v>2.0</v>
      </c>
      <c r="K1135" s="4">
        <v>2.0</v>
      </c>
      <c r="L1135" s="5" t="str">
        <f t="shared" ref="L1135:M1135" si="2272">IFS(J1135="-", "-", J1135=H1135, "Final", J1135=1, "Initial", J1135&gt;1, "Medial")</f>
        <v>Final</v>
      </c>
      <c r="M1135" s="44" t="str">
        <f t="shared" si="2272"/>
        <v>Final</v>
      </c>
      <c r="N1135" s="5" t="str">
        <f t="shared" si="5"/>
        <v>ˈlɐ̃</v>
      </c>
      <c r="O1135" s="5">
        <f t="shared" si="6"/>
        <v>2</v>
      </c>
      <c r="P1135" s="5" t="str">
        <f t="shared" si="7"/>
        <v>lɐ̃</v>
      </c>
      <c r="Q1135" s="5">
        <f t="shared" si="8"/>
        <v>2</v>
      </c>
      <c r="R1135" s="5"/>
      <c r="S1135" s="3" t="s">
        <v>3244</v>
      </c>
      <c r="T1135" s="3" t="s">
        <v>3245</v>
      </c>
      <c r="U1135" s="3" t="s">
        <v>22</v>
      </c>
      <c r="V1135" s="5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</row>
    <row r="1136">
      <c r="A1136" s="3" t="s">
        <v>14</v>
      </c>
      <c r="B1136" s="3" t="s">
        <v>3246</v>
      </c>
      <c r="C1136" s="3" t="s">
        <v>3247</v>
      </c>
      <c r="D1136" s="3" t="s">
        <v>3248</v>
      </c>
      <c r="E1136" s="3" t="s">
        <v>3249</v>
      </c>
      <c r="F1136" s="3" t="s">
        <v>157</v>
      </c>
      <c r="G1136" s="3" t="s">
        <v>3250</v>
      </c>
      <c r="H1136" s="43">
        <f t="shared" ref="H1136:I1136" si="2273">LEN(D1136)-LEN(B1136)+1</f>
        <v>3</v>
      </c>
      <c r="I1136" s="43">
        <f t="shared" si="2273"/>
        <v>3</v>
      </c>
      <c r="J1136" s="4">
        <v>1.0</v>
      </c>
      <c r="K1136" s="4">
        <v>1.0</v>
      </c>
      <c r="L1136" s="5" t="str">
        <f t="shared" ref="L1136:M1136" si="2274">IFS(J1136="-", "-", J1136=H1136, "Final", J1136=1, "Initial", J1136&gt;1, "Medial")</f>
        <v>Initial</v>
      </c>
      <c r="M1136" s="44" t="str">
        <f t="shared" si="2274"/>
        <v>Initial</v>
      </c>
      <c r="N1136" s="5" t="str">
        <f t="shared" si="5"/>
        <v>0</v>
      </c>
      <c r="O1136" s="5" t="str">
        <f t="shared" si="6"/>
        <v>ˈtɛ</v>
      </c>
      <c r="P1136" s="5" t="str">
        <f t="shared" si="7"/>
        <v>0</v>
      </c>
      <c r="Q1136" s="5" t="str">
        <f t="shared" si="8"/>
        <v>ˈte</v>
      </c>
      <c r="R1136" s="5"/>
      <c r="S1136" s="3" t="s">
        <v>3251</v>
      </c>
      <c r="T1136" s="3" t="s">
        <v>3252</v>
      </c>
      <c r="U1136" s="3" t="s">
        <v>22</v>
      </c>
      <c r="V1136" s="5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</row>
    <row r="1137">
      <c r="A1137" s="3" t="s">
        <v>14</v>
      </c>
      <c r="B1137" s="3" t="s">
        <v>3246</v>
      </c>
      <c r="C1137" s="3" t="s">
        <v>3247</v>
      </c>
      <c r="D1137" s="3" t="s">
        <v>3248</v>
      </c>
      <c r="E1137" s="3" t="s">
        <v>3249</v>
      </c>
      <c r="F1137" s="3" t="s">
        <v>2023</v>
      </c>
      <c r="G1137" s="3" t="s">
        <v>1040</v>
      </c>
      <c r="H1137" s="43">
        <f t="shared" ref="H1137:I1137" si="2275">LEN(D1137)-LEN(B1137)+1</f>
        <v>3</v>
      </c>
      <c r="I1137" s="43">
        <f t="shared" si="2275"/>
        <v>3</v>
      </c>
      <c r="J1137" s="4">
        <v>2.0</v>
      </c>
      <c r="K1137" s="4">
        <v>2.0</v>
      </c>
      <c r="L1137" s="5" t="str">
        <f t="shared" ref="L1137:M1137" si="2276">IFS(J1137="-", "-", J1137=H1137, "Final", J1137=1, "Initial", J1137&gt;1, "Medial")</f>
        <v>Medial</v>
      </c>
      <c r="M1137" s="44" t="str">
        <f t="shared" si="2276"/>
        <v>Medial</v>
      </c>
      <c r="N1137" s="5" t="str">
        <f t="shared" si="5"/>
        <v>ma</v>
      </c>
      <c r="O1137" s="5" t="str">
        <f t="shared" si="6"/>
        <v>lu</v>
      </c>
      <c r="P1137" s="5" t="str">
        <f t="shared" si="7"/>
        <v>maɾ</v>
      </c>
      <c r="Q1137" s="5" t="str">
        <f t="shared" si="8"/>
        <v>lu</v>
      </c>
      <c r="R1137" s="5"/>
      <c r="S1137" s="3" t="s">
        <v>3251</v>
      </c>
      <c r="T1137" s="3" t="s">
        <v>3252</v>
      </c>
      <c r="U1137" s="3" t="s">
        <v>22</v>
      </c>
      <c r="V1137" s="5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</row>
    <row r="1138">
      <c r="A1138" s="3" t="s">
        <v>14</v>
      </c>
      <c r="B1138" s="3" t="s">
        <v>3246</v>
      </c>
      <c r="C1138" s="3" t="s">
        <v>3247</v>
      </c>
      <c r="D1138" s="3" t="s">
        <v>3248</v>
      </c>
      <c r="E1138" s="3" t="s">
        <v>3249</v>
      </c>
      <c r="F1138" s="3" t="s">
        <v>245</v>
      </c>
      <c r="G1138" s="3" t="s">
        <v>245</v>
      </c>
      <c r="H1138" s="43">
        <f t="shared" ref="H1138:I1138" si="2277">LEN(D1138)-LEN(B1138)+1</f>
        <v>3</v>
      </c>
      <c r="I1138" s="43">
        <f t="shared" si="2277"/>
        <v>3</v>
      </c>
      <c r="J1138" s="4">
        <v>3.0</v>
      </c>
      <c r="K1138" s="4">
        <v>3.0</v>
      </c>
      <c r="L1138" s="5" t="str">
        <f t="shared" ref="L1138:M1138" si="2278">IFS(J1138="-", "-", J1138=H1138, "Final", J1138=1, "Initial", J1138&gt;1, "Medial")</f>
        <v>Final</v>
      </c>
      <c r="M1138" s="44" t="str">
        <f t="shared" si="2278"/>
        <v>Final</v>
      </c>
      <c r="N1138" s="5" t="str">
        <f t="shared" si="5"/>
        <v>ˈtɛ</v>
      </c>
      <c r="O1138" s="5">
        <f t="shared" si="6"/>
        <v>3</v>
      </c>
      <c r="P1138" s="5" t="str">
        <f t="shared" si="7"/>
        <v>ˈte</v>
      </c>
      <c r="Q1138" s="5">
        <f t="shared" si="8"/>
        <v>3</v>
      </c>
      <c r="R1138" s="5"/>
      <c r="S1138" s="3" t="s">
        <v>3251</v>
      </c>
      <c r="T1138" s="3" t="s">
        <v>3252</v>
      </c>
      <c r="U1138" s="3" t="s">
        <v>22</v>
      </c>
      <c r="V1138" s="5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>
      <c r="A1139" s="3" t="s">
        <v>14</v>
      </c>
      <c r="B1139" s="3" t="s">
        <v>3253</v>
      </c>
      <c r="C1139" s="3" t="s">
        <v>3254</v>
      </c>
      <c r="D1139" s="3" t="s">
        <v>3255</v>
      </c>
      <c r="E1139" s="3" t="s">
        <v>3256</v>
      </c>
      <c r="F1139" s="3" t="s">
        <v>157</v>
      </c>
      <c r="G1139" s="3" t="s">
        <v>158</v>
      </c>
      <c r="H1139" s="43">
        <f t="shared" ref="H1139:I1139" si="2279">LEN(D1139)-LEN(B1139)+1</f>
        <v>3</v>
      </c>
      <c r="I1139" s="43">
        <f t="shared" si="2279"/>
        <v>3</v>
      </c>
      <c r="J1139" s="4">
        <v>1.0</v>
      </c>
      <c r="K1139" s="4">
        <v>1.0</v>
      </c>
      <c r="L1139" s="5" t="str">
        <f t="shared" ref="L1139:M1139" si="2280">IFS(J1139="-", "-", J1139=H1139, "Final", J1139=1, "Initial", J1139&gt;1, "Medial")</f>
        <v>Initial</v>
      </c>
      <c r="M1139" s="44" t="str">
        <f t="shared" si="2280"/>
        <v>Initial</v>
      </c>
      <c r="N1139" s="5" t="str">
        <f t="shared" si="5"/>
        <v>0</v>
      </c>
      <c r="O1139" s="5" t="str">
        <f t="shared" si="6"/>
        <v>ˈsa</v>
      </c>
      <c r="P1139" s="5" t="str">
        <f t="shared" si="7"/>
        <v>0</v>
      </c>
      <c r="Q1139" s="5" t="str">
        <f t="shared" si="8"/>
        <v>ˈʃa</v>
      </c>
      <c r="R1139" s="5"/>
      <c r="S1139" s="3" t="s">
        <v>3257</v>
      </c>
      <c r="T1139" s="3" t="s">
        <v>3258</v>
      </c>
      <c r="U1139" s="3" t="s">
        <v>22</v>
      </c>
      <c r="V1139" s="5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</row>
    <row r="1140">
      <c r="A1140" s="3" t="s">
        <v>14</v>
      </c>
      <c r="B1140" s="3" t="s">
        <v>3253</v>
      </c>
      <c r="C1140" s="3" t="s">
        <v>3254</v>
      </c>
      <c r="D1140" s="3" t="s">
        <v>3255</v>
      </c>
      <c r="E1140" s="3" t="s">
        <v>3256</v>
      </c>
      <c r="F1140" s="3" t="s">
        <v>1032</v>
      </c>
      <c r="G1140" s="3" t="s">
        <v>3259</v>
      </c>
      <c r="H1140" s="43">
        <f t="shared" ref="H1140:I1140" si="2281">LEN(D1140)-LEN(B1140)+1</f>
        <v>3</v>
      </c>
      <c r="I1140" s="43">
        <f t="shared" si="2281"/>
        <v>3</v>
      </c>
      <c r="J1140" s="4">
        <v>2.0</v>
      </c>
      <c r="K1140" s="4">
        <v>2.0</v>
      </c>
      <c r="L1140" s="5" t="str">
        <f t="shared" ref="L1140:M1140" si="2282">IFS(J1140="-", "-", J1140=H1140, "Final", J1140=1, "Initial", J1140&gt;1, "Medial")</f>
        <v>Medial</v>
      </c>
      <c r="M1140" s="44" t="str">
        <f t="shared" si="2282"/>
        <v>Medial</v>
      </c>
      <c r="N1140" s="5" t="str">
        <f t="shared" si="5"/>
        <v>ma</v>
      </c>
      <c r="O1140" s="5" t="str">
        <f t="shared" si="6"/>
        <v>du</v>
      </c>
      <c r="P1140" s="5" t="str">
        <f t="shared" si="7"/>
        <v>mɐ</v>
      </c>
      <c r="Q1140" s="5" t="str">
        <f t="shared" si="8"/>
        <v>du</v>
      </c>
      <c r="R1140" s="5"/>
      <c r="S1140" s="3" t="s">
        <v>3257</v>
      </c>
      <c r="T1140" s="3" t="s">
        <v>3258</v>
      </c>
      <c r="U1140" s="3" t="s">
        <v>22</v>
      </c>
      <c r="V1140" s="5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</row>
    <row r="1141">
      <c r="A1141" s="3" t="s">
        <v>14</v>
      </c>
      <c r="B1141" s="3" t="s">
        <v>3253</v>
      </c>
      <c r="C1141" s="3" t="s">
        <v>3254</v>
      </c>
      <c r="D1141" s="3" t="s">
        <v>3255</v>
      </c>
      <c r="E1141" s="3" t="s">
        <v>3256</v>
      </c>
      <c r="F1141" s="3" t="s">
        <v>387</v>
      </c>
      <c r="G1141" s="3" t="s">
        <v>387</v>
      </c>
      <c r="H1141" s="43">
        <f t="shared" ref="H1141:I1141" si="2283">LEN(D1141)-LEN(B1141)+1</f>
        <v>3</v>
      </c>
      <c r="I1141" s="43">
        <f t="shared" si="2283"/>
        <v>3</v>
      </c>
      <c r="J1141" s="4">
        <v>3.0</v>
      </c>
      <c r="K1141" s="4">
        <v>3.0</v>
      </c>
      <c r="L1141" s="5" t="str">
        <f t="shared" ref="L1141:M1141" si="2284">IFS(J1141="-", "-", J1141=H1141, "Final", J1141=1, "Initial", J1141&gt;1, "Medial")</f>
        <v>Final</v>
      </c>
      <c r="M1141" s="44" t="str">
        <f t="shared" si="2284"/>
        <v>Final</v>
      </c>
      <c r="N1141" s="5" t="str">
        <f t="shared" si="5"/>
        <v>ˈsa</v>
      </c>
      <c r="O1141" s="5">
        <f t="shared" si="6"/>
        <v>3</v>
      </c>
      <c r="P1141" s="5" t="str">
        <f t="shared" si="7"/>
        <v>ˈʃa</v>
      </c>
      <c r="Q1141" s="5">
        <f t="shared" si="8"/>
        <v>3</v>
      </c>
      <c r="R1141" s="5"/>
      <c r="S1141" s="3" t="s">
        <v>3257</v>
      </c>
      <c r="T1141" s="3" t="s">
        <v>3258</v>
      </c>
      <c r="U1141" s="3" t="s">
        <v>22</v>
      </c>
      <c r="V1141" s="5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</row>
    <row r="1142">
      <c r="A1142" s="3" t="s">
        <v>14</v>
      </c>
      <c r="B1142" s="3" t="s">
        <v>3260</v>
      </c>
      <c r="C1142" s="3" t="s">
        <v>3261</v>
      </c>
      <c r="D1142" s="3" t="s">
        <v>3262</v>
      </c>
      <c r="E1142" s="3" t="s">
        <v>3263</v>
      </c>
      <c r="F1142" s="3" t="s">
        <v>3264</v>
      </c>
      <c r="G1142" s="3" t="s">
        <v>610</v>
      </c>
      <c r="H1142" s="43">
        <f t="shared" ref="H1142:I1142" si="2285">LEN(D1142)-LEN(B1142)+1</f>
        <v>2</v>
      </c>
      <c r="I1142" s="43">
        <f t="shared" si="2285"/>
        <v>3</v>
      </c>
      <c r="J1142" s="4">
        <v>1.0</v>
      </c>
      <c r="K1142" s="4">
        <v>1.0</v>
      </c>
      <c r="L1142" s="5" t="str">
        <f t="shared" ref="L1142:M1142" si="2286">IFS(J1142="-", "-", J1142=H1142, "Final", J1142=1, "Initial", J1142&gt;1, "Medial")</f>
        <v>Initial</v>
      </c>
      <c r="M1142" s="44" t="str">
        <f t="shared" si="2286"/>
        <v>Initial</v>
      </c>
      <c r="N1142" s="5" t="str">
        <f t="shared" si="5"/>
        <v>0</v>
      </c>
      <c r="O1142" s="5" t="str">
        <f t="shared" si="6"/>
        <v>-</v>
      </c>
      <c r="P1142" s="5" t="str">
        <f t="shared" si="7"/>
        <v>0</v>
      </c>
      <c r="Q1142" s="5" t="str">
        <f t="shared" si="8"/>
        <v>ˈe</v>
      </c>
      <c r="R1142" s="3" t="s">
        <v>80</v>
      </c>
      <c r="S1142" s="3" t="s">
        <v>3265</v>
      </c>
      <c r="T1142" s="3" t="s">
        <v>3266</v>
      </c>
      <c r="U1142" s="3" t="s">
        <v>22</v>
      </c>
      <c r="V1142" s="5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</row>
    <row r="1143">
      <c r="A1143" s="3" t="s">
        <v>14</v>
      </c>
      <c r="B1143" s="3" t="s">
        <v>3260</v>
      </c>
      <c r="C1143" s="3" t="s">
        <v>3261</v>
      </c>
      <c r="D1143" s="3" t="s">
        <v>3262</v>
      </c>
      <c r="E1143" s="3" t="s">
        <v>3263</v>
      </c>
      <c r="F1143" s="3" t="s">
        <v>36</v>
      </c>
      <c r="G1143" s="3" t="s">
        <v>2352</v>
      </c>
      <c r="H1143" s="43">
        <f t="shared" ref="H1143:I1143" si="2287">LEN(D1143)-LEN(B1143)+1</f>
        <v>2</v>
      </c>
      <c r="I1143" s="43">
        <f t="shared" si="2287"/>
        <v>3</v>
      </c>
      <c r="J1143" s="4" t="s">
        <v>36</v>
      </c>
      <c r="K1143" s="4">
        <v>2.0</v>
      </c>
      <c r="L1143" s="5" t="str">
        <f t="shared" ref="L1143:M1143" si="2288">IFS(J1143="-", "-", J1143=H1143, "Final", J1143=1, "Initial", J1143&gt;1, "Medial")</f>
        <v>-</v>
      </c>
      <c r="M1143" s="44" t="str">
        <f t="shared" si="2288"/>
        <v>Medial</v>
      </c>
      <c r="N1143" s="5" t="str">
        <f t="shared" si="5"/>
        <v>ˈmwɛ</v>
      </c>
      <c r="O1143" s="5" t="str">
        <f t="shared" si="6"/>
        <v>dɐ</v>
      </c>
      <c r="P1143" s="5" t="str">
        <f t="shared" si="7"/>
        <v>mu</v>
      </c>
      <c r="Q1143" s="5" t="str">
        <f t="shared" si="8"/>
        <v>dɐ</v>
      </c>
      <c r="R1143" s="3"/>
      <c r="S1143" s="3" t="s">
        <v>3265</v>
      </c>
      <c r="T1143" s="3" t="s">
        <v>3266</v>
      </c>
      <c r="U1143" s="3" t="s">
        <v>22</v>
      </c>
      <c r="V1143" s="5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>
      <c r="A1144" s="3" t="s">
        <v>14</v>
      </c>
      <c r="B1144" s="3" t="s">
        <v>3260</v>
      </c>
      <c r="C1144" s="3" t="s">
        <v>3261</v>
      </c>
      <c r="D1144" s="3" t="s">
        <v>3262</v>
      </c>
      <c r="E1144" s="3" t="s">
        <v>3263</v>
      </c>
      <c r="F1144" s="3" t="s">
        <v>116</v>
      </c>
      <c r="G1144" s="3" t="s">
        <v>116</v>
      </c>
      <c r="H1144" s="43">
        <f t="shared" ref="H1144:I1144" si="2289">LEN(D1144)-LEN(B1144)+1</f>
        <v>2</v>
      </c>
      <c r="I1144" s="43">
        <f t="shared" si="2289"/>
        <v>3</v>
      </c>
      <c r="J1144" s="4">
        <v>2.0</v>
      </c>
      <c r="K1144" s="4">
        <v>3.0</v>
      </c>
      <c r="L1144" s="5" t="str">
        <f t="shared" ref="L1144:M1144" si="2290">IFS(J1144="-", "-", J1144=H1144, "Final", J1144=1, "Initial", J1144&gt;1, "Medial")</f>
        <v>Final</v>
      </c>
      <c r="M1144" s="44" t="str">
        <f t="shared" si="2290"/>
        <v>Final</v>
      </c>
      <c r="N1144" s="5" t="str">
        <f t="shared" si="5"/>
        <v>-</v>
      </c>
      <c r="O1144" s="5">
        <f t="shared" si="6"/>
        <v>2</v>
      </c>
      <c r="P1144" s="5" t="str">
        <f t="shared" si="7"/>
        <v>ˈe</v>
      </c>
      <c r="Q1144" s="5">
        <f t="shared" si="8"/>
        <v>3</v>
      </c>
      <c r="R1144" s="5"/>
      <c r="S1144" s="3" t="s">
        <v>3265</v>
      </c>
      <c r="T1144" s="3" t="s">
        <v>3266</v>
      </c>
      <c r="U1144" s="3" t="s">
        <v>22</v>
      </c>
      <c r="V1144" s="5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</row>
    <row r="1145">
      <c r="A1145" s="3" t="s">
        <v>14</v>
      </c>
      <c r="B1145" s="3" t="s">
        <v>3267</v>
      </c>
      <c r="C1145" s="3" t="s">
        <v>3268</v>
      </c>
      <c r="D1145" s="3" t="s">
        <v>3269</v>
      </c>
      <c r="E1145" s="3" t="s">
        <v>3270</v>
      </c>
      <c r="F1145" s="3" t="s">
        <v>1541</v>
      </c>
      <c r="G1145" s="3" t="s">
        <v>254</v>
      </c>
      <c r="H1145" s="43">
        <f t="shared" ref="H1145:I1145" si="2291">LEN(D1145)-LEN(B1145)+1</f>
        <v>3</v>
      </c>
      <c r="I1145" s="43">
        <f t="shared" si="2291"/>
        <v>3</v>
      </c>
      <c r="J1145" s="4">
        <v>1.0</v>
      </c>
      <c r="K1145" s="4">
        <v>1.0</v>
      </c>
      <c r="L1145" s="5" t="str">
        <f t="shared" ref="L1145:M1145" si="2292">IFS(J1145="-", "-", J1145=H1145, "Final", J1145=1, "Initial", J1145&gt;1, "Medial")</f>
        <v>Initial</v>
      </c>
      <c r="M1145" s="44" t="str">
        <f t="shared" si="2292"/>
        <v>Initial</v>
      </c>
      <c r="N1145" s="5" t="str">
        <f t="shared" si="5"/>
        <v>0</v>
      </c>
      <c r="O1145" s="5" t="str">
        <f t="shared" si="6"/>
        <v>ˈnɛ</v>
      </c>
      <c r="P1145" s="5" t="str">
        <f t="shared" si="7"/>
        <v>0</v>
      </c>
      <c r="Q1145" s="5" t="str">
        <f t="shared" si="8"/>
        <v>ˈne</v>
      </c>
      <c r="R1145" s="5"/>
      <c r="S1145" s="3" t="s">
        <v>3271</v>
      </c>
      <c r="T1145" s="3" t="s">
        <v>3272</v>
      </c>
      <c r="U1145" s="3" t="s">
        <v>22</v>
      </c>
      <c r="V1145" s="5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</row>
    <row r="1146">
      <c r="A1146" s="3" t="s">
        <v>14</v>
      </c>
      <c r="B1146" s="3" t="s">
        <v>3267</v>
      </c>
      <c r="C1146" s="3" t="s">
        <v>3268</v>
      </c>
      <c r="D1146" s="3" t="s">
        <v>3269</v>
      </c>
      <c r="E1146" s="3" t="s">
        <v>3270</v>
      </c>
      <c r="F1146" s="3" t="s">
        <v>3273</v>
      </c>
      <c r="G1146" s="3" t="s">
        <v>3196</v>
      </c>
      <c r="H1146" s="43">
        <f t="shared" ref="H1146:I1146" si="2293">LEN(D1146)-LEN(B1146)+1</f>
        <v>3</v>
      </c>
      <c r="I1146" s="43">
        <f t="shared" si="2293"/>
        <v>3</v>
      </c>
      <c r="J1146" s="4">
        <v>2.0</v>
      </c>
      <c r="K1146" s="4">
        <v>2.0</v>
      </c>
      <c r="L1146" s="5" t="str">
        <f t="shared" ref="L1146:M1146" si="2294">IFS(J1146="-", "-", J1146=H1146, "Final", J1146=1, "Initial", J1146&gt;1, "Medial")</f>
        <v>Medial</v>
      </c>
      <c r="M1146" s="44" t="str">
        <f t="shared" si="2294"/>
        <v>Medial</v>
      </c>
      <c r="N1146" s="5" t="str">
        <f t="shared" si="5"/>
        <v>pa</v>
      </c>
      <c r="O1146" s="5" t="str">
        <f t="shared" si="6"/>
        <v>lɐ</v>
      </c>
      <c r="P1146" s="5" t="str">
        <f t="shared" si="7"/>
        <v>pɐ</v>
      </c>
      <c r="Q1146" s="5" t="str">
        <f t="shared" si="8"/>
        <v>lɐ</v>
      </c>
      <c r="R1146" s="5"/>
      <c r="S1146" s="3" t="s">
        <v>3271</v>
      </c>
      <c r="T1146" s="3" t="s">
        <v>3272</v>
      </c>
      <c r="U1146" s="3" t="s">
        <v>22</v>
      </c>
      <c r="V1146" s="5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</row>
    <row r="1147">
      <c r="A1147" s="3" t="s">
        <v>14</v>
      </c>
      <c r="B1147" s="3" t="s">
        <v>3267</v>
      </c>
      <c r="C1147" s="3" t="s">
        <v>3268</v>
      </c>
      <c r="D1147" s="3" t="s">
        <v>3269</v>
      </c>
      <c r="E1147" s="3" t="s">
        <v>3270</v>
      </c>
      <c r="F1147" s="3" t="s">
        <v>1426</v>
      </c>
      <c r="G1147" s="3" t="s">
        <v>1426</v>
      </c>
      <c r="H1147" s="43">
        <f t="shared" ref="H1147:I1147" si="2295">LEN(D1147)-LEN(B1147)+1</f>
        <v>3</v>
      </c>
      <c r="I1147" s="43">
        <f t="shared" si="2295"/>
        <v>3</v>
      </c>
      <c r="J1147" s="4">
        <v>3.0</v>
      </c>
      <c r="K1147" s="4">
        <v>3.0</v>
      </c>
      <c r="L1147" s="5" t="str">
        <f t="shared" ref="L1147:M1147" si="2296">IFS(J1147="-", "-", J1147=H1147, "Final", J1147=1, "Initial", J1147&gt;1, "Medial")</f>
        <v>Final</v>
      </c>
      <c r="M1147" s="44" t="str">
        <f t="shared" si="2296"/>
        <v>Final</v>
      </c>
      <c r="N1147" s="5" t="str">
        <f t="shared" si="5"/>
        <v>ˈnɛ</v>
      </c>
      <c r="O1147" s="5">
        <f t="shared" si="6"/>
        <v>3</v>
      </c>
      <c r="P1147" s="5" t="str">
        <f t="shared" si="7"/>
        <v>ˈne</v>
      </c>
      <c r="Q1147" s="5">
        <f t="shared" si="8"/>
        <v>3</v>
      </c>
      <c r="R1147" s="5"/>
      <c r="S1147" s="3" t="s">
        <v>3271</v>
      </c>
      <c r="T1147" s="3" t="s">
        <v>3272</v>
      </c>
      <c r="U1147" s="3" t="s">
        <v>22</v>
      </c>
      <c r="V1147" s="5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</row>
    <row r="1148">
      <c r="A1148" s="3" t="s">
        <v>14</v>
      </c>
      <c r="B1148" s="3" t="s">
        <v>3274</v>
      </c>
      <c r="C1148" s="3" t="s">
        <v>3275</v>
      </c>
      <c r="D1148" s="3" t="s">
        <v>3276</v>
      </c>
      <c r="E1148" s="3" t="s">
        <v>3277</v>
      </c>
      <c r="F1148" s="3" t="s">
        <v>3278</v>
      </c>
      <c r="G1148" s="3" t="s">
        <v>3278</v>
      </c>
      <c r="H1148" s="43">
        <f t="shared" ref="H1148:I1148" si="2297">LEN(D1148)-LEN(B1148)+1</f>
        <v>2</v>
      </c>
      <c r="I1148" s="43">
        <f t="shared" si="2297"/>
        <v>2</v>
      </c>
      <c r="J1148" s="4">
        <v>1.0</v>
      </c>
      <c r="K1148" s="4">
        <v>1.0</v>
      </c>
      <c r="L1148" s="5" t="str">
        <f t="shared" ref="L1148:M1148" si="2298">IFS(J1148="-", "-", J1148=H1148, "Final", J1148=1, "Initial", J1148&gt;1, "Medial")</f>
        <v>Initial</v>
      </c>
      <c r="M1148" s="44" t="str">
        <f t="shared" si="2298"/>
        <v>Initial</v>
      </c>
      <c r="N1148" s="5" t="str">
        <f t="shared" si="5"/>
        <v>0</v>
      </c>
      <c r="O1148" s="5" t="str">
        <f t="shared" si="6"/>
        <v>te</v>
      </c>
      <c r="P1148" s="5" t="str">
        <f t="shared" si="7"/>
        <v>0</v>
      </c>
      <c r="Q1148" s="5" t="str">
        <f t="shared" si="8"/>
        <v>tɨ</v>
      </c>
      <c r="R1148" s="3"/>
      <c r="S1148" s="3" t="s">
        <v>3279</v>
      </c>
      <c r="T1148" s="3" t="s">
        <v>3280</v>
      </c>
      <c r="U1148" s="3" t="s">
        <v>22</v>
      </c>
      <c r="V1148" s="5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</row>
    <row r="1149">
      <c r="A1149" s="3" t="s">
        <v>14</v>
      </c>
      <c r="B1149" s="3" t="s">
        <v>3274</v>
      </c>
      <c r="C1149" s="3" t="s">
        <v>3275</v>
      </c>
      <c r="D1149" s="3" t="s">
        <v>3276</v>
      </c>
      <c r="E1149" s="3" t="s">
        <v>3277</v>
      </c>
      <c r="F1149" s="3" t="s">
        <v>152</v>
      </c>
      <c r="G1149" s="3" t="s">
        <v>56</v>
      </c>
      <c r="H1149" s="43">
        <f t="shared" ref="H1149:I1149" si="2299">LEN(D1149)-LEN(B1149)+1</f>
        <v>2</v>
      </c>
      <c r="I1149" s="43">
        <f t="shared" si="2299"/>
        <v>2</v>
      </c>
      <c r="J1149" s="4">
        <v>2.0</v>
      </c>
      <c r="K1149" s="4">
        <v>2.0</v>
      </c>
      <c r="L1149" s="5" t="str">
        <f t="shared" ref="L1149:M1149" si="2300">IFS(J1149="-", "-", J1149=H1149, "Final", J1149=1, "Initial", J1149&gt;1, "Medial")</f>
        <v>Final</v>
      </c>
      <c r="M1149" s="44" t="str">
        <f t="shared" si="2300"/>
        <v>Final</v>
      </c>
      <c r="N1149" s="5" t="str">
        <f t="shared" si="5"/>
        <v>ˈpẽ</v>
      </c>
      <c r="O1149" s="5">
        <f t="shared" si="6"/>
        <v>2</v>
      </c>
      <c r="P1149" s="5" t="str">
        <f t="shared" si="7"/>
        <v>ˈpẽ</v>
      </c>
      <c r="Q1149" s="5">
        <f t="shared" si="8"/>
        <v>2</v>
      </c>
      <c r="R1149" s="3"/>
      <c r="S1149" s="3" t="s">
        <v>3279</v>
      </c>
      <c r="T1149" s="3" t="s">
        <v>3280</v>
      </c>
      <c r="U1149" s="3" t="s">
        <v>22</v>
      </c>
      <c r="V1149" s="5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>
      <c r="A1150" s="3" t="s">
        <v>14</v>
      </c>
      <c r="B1150" s="3" t="s">
        <v>3281</v>
      </c>
      <c r="C1150" s="3" t="s">
        <v>3282</v>
      </c>
      <c r="D1150" s="3" t="s">
        <v>3283</v>
      </c>
      <c r="E1150" s="3" t="s">
        <v>3284</v>
      </c>
      <c r="F1150" s="3" t="s">
        <v>233</v>
      </c>
      <c r="G1150" s="3" t="s">
        <v>1234</v>
      </c>
      <c r="H1150" s="43">
        <f t="shared" ref="H1150:I1150" si="2301">LEN(D1150)-LEN(B1150)+1</f>
        <v>3</v>
      </c>
      <c r="I1150" s="43">
        <f t="shared" si="2301"/>
        <v>3</v>
      </c>
      <c r="J1150" s="4">
        <v>1.0</v>
      </c>
      <c r="K1150" s="4">
        <v>1.0</v>
      </c>
      <c r="L1150" s="5" t="str">
        <f t="shared" ref="L1150:M1150" si="2302">IFS(J1150="-", "-", J1150=H1150, "Final", J1150=1, "Initial", J1150&gt;1, "Medial")</f>
        <v>Initial</v>
      </c>
      <c r="M1150" s="44" t="str">
        <f t="shared" si="2302"/>
        <v>Initial</v>
      </c>
      <c r="N1150" s="5" t="str">
        <f t="shared" si="5"/>
        <v>0</v>
      </c>
      <c r="O1150" s="5" t="str">
        <f t="shared" si="6"/>
        <v>ˈnɛ</v>
      </c>
      <c r="P1150" s="5" t="str">
        <f t="shared" si="7"/>
        <v>0</v>
      </c>
      <c r="Q1150" s="5" t="str">
        <f t="shared" si="8"/>
        <v>ˈnɐj</v>
      </c>
      <c r="R1150" s="5"/>
      <c r="S1150" s="3" t="s">
        <v>3285</v>
      </c>
      <c r="T1150" s="3" t="s">
        <v>3286</v>
      </c>
      <c r="U1150" s="3" t="s">
        <v>22</v>
      </c>
      <c r="V1150" s="5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>
      <c r="A1151" s="3" t="s">
        <v>14</v>
      </c>
      <c r="B1151" s="3" t="s">
        <v>3281</v>
      </c>
      <c r="C1151" s="3" t="s">
        <v>3282</v>
      </c>
      <c r="D1151" s="3" t="s">
        <v>3283</v>
      </c>
      <c r="E1151" s="3" t="s">
        <v>3284</v>
      </c>
      <c r="F1151" s="3" t="s">
        <v>3273</v>
      </c>
      <c r="G1151" s="3" t="s">
        <v>3287</v>
      </c>
      <c r="H1151" s="43">
        <f t="shared" ref="H1151:I1151" si="2303">LEN(D1151)-LEN(B1151)+1</f>
        <v>3</v>
      </c>
      <c r="I1151" s="43">
        <f t="shared" si="2303"/>
        <v>3</v>
      </c>
      <c r="J1151" s="4">
        <v>2.0</v>
      </c>
      <c r="K1151" s="4">
        <v>2.0</v>
      </c>
      <c r="L1151" s="5" t="str">
        <f t="shared" ref="L1151:M1151" si="2304">IFS(J1151="-", "-", J1151=H1151, "Final", J1151=1, "Initial", J1151&gt;1, "Medial")</f>
        <v>Medial</v>
      </c>
      <c r="M1151" s="44" t="str">
        <f t="shared" si="2304"/>
        <v>Medial</v>
      </c>
      <c r="N1151" s="5" t="str">
        <f t="shared" si="5"/>
        <v>pi</v>
      </c>
      <c r="O1151" s="5" t="str">
        <f t="shared" si="6"/>
        <v>ʀɐ</v>
      </c>
      <c r="P1151" s="5" t="str">
        <f t="shared" si="7"/>
        <v>pɨ</v>
      </c>
      <c r="Q1151" s="5" t="str">
        <f t="shared" si="8"/>
        <v>ɾɐ</v>
      </c>
      <c r="R1151" s="5"/>
      <c r="S1151" s="3" t="s">
        <v>3285</v>
      </c>
      <c r="T1151" s="3" t="s">
        <v>3286</v>
      </c>
      <c r="U1151" s="3" t="s">
        <v>22</v>
      </c>
      <c r="V1151" s="5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</row>
    <row r="1152">
      <c r="A1152" s="3" t="s">
        <v>14</v>
      </c>
      <c r="B1152" s="3" t="s">
        <v>3281</v>
      </c>
      <c r="C1152" s="3" t="s">
        <v>3282</v>
      </c>
      <c r="D1152" s="3" t="s">
        <v>3283</v>
      </c>
      <c r="E1152" s="3" t="s">
        <v>3284</v>
      </c>
      <c r="F1152" s="3" t="s">
        <v>668</v>
      </c>
      <c r="G1152" s="3" t="s">
        <v>103</v>
      </c>
      <c r="H1152" s="43">
        <f t="shared" ref="H1152:I1152" si="2305">LEN(D1152)-LEN(B1152)+1</f>
        <v>3</v>
      </c>
      <c r="I1152" s="43">
        <f t="shared" si="2305"/>
        <v>3</v>
      </c>
      <c r="J1152" s="4">
        <v>3.0</v>
      </c>
      <c r="K1152" s="4">
        <v>3.0</v>
      </c>
      <c r="L1152" s="5" t="str">
        <f t="shared" ref="L1152:M1152" si="2306">IFS(J1152="-", "-", J1152=H1152, "Final", J1152=1, "Initial", J1152&gt;1, "Medial")</f>
        <v>Final</v>
      </c>
      <c r="M1152" s="44" t="str">
        <f t="shared" si="2306"/>
        <v>Final</v>
      </c>
      <c r="N1152" s="5" t="str">
        <f t="shared" si="5"/>
        <v>ˈnɛ</v>
      </c>
      <c r="O1152" s="5">
        <f t="shared" si="6"/>
        <v>3</v>
      </c>
      <c r="P1152" s="5" t="str">
        <f t="shared" si="7"/>
        <v>ˈnɐj</v>
      </c>
      <c r="Q1152" s="5">
        <f t="shared" si="8"/>
        <v>3</v>
      </c>
      <c r="R1152" s="5"/>
      <c r="S1152" s="3" t="s">
        <v>3285</v>
      </c>
      <c r="T1152" s="3" t="s">
        <v>3286</v>
      </c>
      <c r="U1152" s="3" t="s">
        <v>22</v>
      </c>
      <c r="V1152" s="5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</row>
    <row r="1153">
      <c r="A1153" s="3" t="s">
        <v>14</v>
      </c>
      <c r="B1153" s="3" t="s">
        <v>3288</v>
      </c>
      <c r="C1153" s="3" t="s">
        <v>3289</v>
      </c>
      <c r="D1153" s="3" t="s">
        <v>3290</v>
      </c>
      <c r="E1153" s="3" t="s">
        <v>3291</v>
      </c>
      <c r="F1153" s="3" t="s">
        <v>976</v>
      </c>
      <c r="G1153" s="3" t="s">
        <v>977</v>
      </c>
      <c r="H1153" s="43">
        <f t="shared" ref="H1153:I1153" si="2307">LEN(D1153)-LEN(B1153)+1</f>
        <v>2</v>
      </c>
      <c r="I1153" s="43">
        <f t="shared" si="2307"/>
        <v>2</v>
      </c>
      <c r="J1153" s="4">
        <v>1.0</v>
      </c>
      <c r="K1153" s="4">
        <v>1.0</v>
      </c>
      <c r="L1153" s="5" t="str">
        <f t="shared" ref="L1153:M1153" si="2308">IFS(J1153="-", "-", J1153=H1153, "Final", J1153=1, "Initial", J1153&gt;1, "Medial")</f>
        <v>Initial</v>
      </c>
      <c r="M1153" s="44" t="str">
        <f t="shared" si="2308"/>
        <v>Initial</v>
      </c>
      <c r="N1153" s="5" t="str">
        <f t="shared" si="5"/>
        <v>0</v>
      </c>
      <c r="O1153" s="5" t="str">
        <f t="shared" si="6"/>
        <v>tu</v>
      </c>
      <c r="P1153" s="5" t="str">
        <f t="shared" si="7"/>
        <v>0</v>
      </c>
      <c r="Q1153" s="5" t="str">
        <f t="shared" si="8"/>
        <v>tu</v>
      </c>
      <c r="R1153" s="5"/>
      <c r="S1153" s="3" t="s">
        <v>3292</v>
      </c>
      <c r="T1153" s="3" t="s">
        <v>3293</v>
      </c>
      <c r="U1153" s="3" t="s">
        <v>22</v>
      </c>
      <c r="V1153" s="5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>
      <c r="A1154" s="3" t="s">
        <v>14</v>
      </c>
      <c r="B1154" s="3" t="s">
        <v>3288</v>
      </c>
      <c r="C1154" s="3" t="s">
        <v>3289</v>
      </c>
      <c r="D1154" s="3" t="s">
        <v>3290</v>
      </c>
      <c r="E1154" s="3" t="s">
        <v>3291</v>
      </c>
      <c r="F1154" s="3" t="s">
        <v>784</v>
      </c>
      <c r="G1154" s="3" t="s">
        <v>784</v>
      </c>
      <c r="H1154" s="43">
        <f t="shared" ref="H1154:I1154" si="2309">LEN(D1154)-LEN(B1154)+1</f>
        <v>2</v>
      </c>
      <c r="I1154" s="43">
        <f t="shared" si="2309"/>
        <v>2</v>
      </c>
      <c r="J1154" s="4">
        <v>2.0</v>
      </c>
      <c r="K1154" s="4">
        <v>2.0</v>
      </c>
      <c r="L1154" s="5" t="str">
        <f t="shared" ref="L1154:M1154" si="2310">IFS(J1154="-", "-", J1154=H1154, "Final", J1154=1, "Initial", J1154&gt;1, "Medial")</f>
        <v>Final</v>
      </c>
      <c r="M1154" s="44" t="str">
        <f t="shared" si="2310"/>
        <v>Final</v>
      </c>
      <c r="N1154" s="5" t="str">
        <f t="shared" si="5"/>
        <v>ˈpa:</v>
      </c>
      <c r="O1154" s="5">
        <f t="shared" si="6"/>
        <v>2</v>
      </c>
      <c r="P1154" s="5" t="str">
        <f t="shared" si="7"/>
        <v>ˈpɾa</v>
      </c>
      <c r="Q1154" s="5">
        <f t="shared" si="8"/>
        <v>2</v>
      </c>
      <c r="R1154" s="5"/>
      <c r="S1154" s="3" t="s">
        <v>3292</v>
      </c>
      <c r="T1154" s="3" t="s">
        <v>3293</v>
      </c>
      <c r="U1154" s="3" t="s">
        <v>22</v>
      </c>
      <c r="V1154" s="5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</row>
    <row r="1155">
      <c r="A1155" s="3" t="s">
        <v>14</v>
      </c>
      <c r="B1155" s="3" t="s">
        <v>3294</v>
      </c>
      <c r="C1155" s="3" t="s">
        <v>3295</v>
      </c>
      <c r="D1155" s="3" t="s">
        <v>3296</v>
      </c>
      <c r="E1155" s="3" t="s">
        <v>3297</v>
      </c>
      <c r="F1155" s="3" t="s">
        <v>780</v>
      </c>
      <c r="G1155" s="3" t="s">
        <v>781</v>
      </c>
      <c r="H1155" s="43">
        <f t="shared" ref="H1155:I1155" si="2311">LEN(D1155)-LEN(B1155)+1</f>
        <v>2</v>
      </c>
      <c r="I1155" s="43">
        <f t="shared" si="2311"/>
        <v>2</v>
      </c>
      <c r="J1155" s="4">
        <v>1.0</v>
      </c>
      <c r="K1155" s="4">
        <v>1.0</v>
      </c>
      <c r="L1155" s="5" t="str">
        <f t="shared" ref="L1155:M1155" si="2312">IFS(J1155="-", "-", J1155=H1155, "Final", J1155=1, "Initial", J1155&gt;1, "Medial")</f>
        <v>Initial</v>
      </c>
      <c r="M1155" s="44" t="str">
        <f t="shared" si="2312"/>
        <v>Initial</v>
      </c>
      <c r="N1155" s="5" t="str">
        <f t="shared" si="5"/>
        <v>0</v>
      </c>
      <c r="O1155" s="5" t="str">
        <f t="shared" si="6"/>
        <v>gu</v>
      </c>
      <c r="P1155" s="5" t="str">
        <f t="shared" si="7"/>
        <v>0</v>
      </c>
      <c r="Q1155" s="5" t="str">
        <f t="shared" si="8"/>
        <v>gu</v>
      </c>
      <c r="R1155" s="5"/>
      <c r="S1155" s="3" t="s">
        <v>3298</v>
      </c>
      <c r="T1155" s="3" t="s">
        <v>548</v>
      </c>
      <c r="U1155" s="3" t="s">
        <v>22</v>
      </c>
      <c r="V1155" s="5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</row>
    <row r="1156">
      <c r="A1156" s="3" t="s">
        <v>14</v>
      </c>
      <c r="B1156" s="3" t="s">
        <v>3294</v>
      </c>
      <c r="C1156" s="3" t="s">
        <v>3295</v>
      </c>
      <c r="D1156" s="3" t="s">
        <v>3296</v>
      </c>
      <c r="E1156" s="3" t="s">
        <v>3297</v>
      </c>
      <c r="F1156" s="3" t="s">
        <v>98</v>
      </c>
      <c r="G1156" s="3" t="s">
        <v>98</v>
      </c>
      <c r="H1156" s="43">
        <f t="shared" ref="H1156:I1156" si="2313">LEN(D1156)-LEN(B1156)+1</f>
        <v>2</v>
      </c>
      <c r="I1156" s="43">
        <f t="shared" si="2313"/>
        <v>2</v>
      </c>
      <c r="J1156" s="4">
        <v>2.0</v>
      </c>
      <c r="K1156" s="4">
        <v>2.0</v>
      </c>
      <c r="L1156" s="5" t="str">
        <f t="shared" ref="L1156:M1156" si="2314">IFS(J1156="-", "-", J1156=H1156, "Final", J1156=1, "Initial", J1156&gt;1, "Medial")</f>
        <v>Final</v>
      </c>
      <c r="M1156" s="44" t="str">
        <f t="shared" si="2314"/>
        <v>Final</v>
      </c>
      <c r="N1156" s="5" t="str">
        <f t="shared" si="5"/>
        <v>ˈpɛ:</v>
      </c>
      <c r="O1156" s="5">
        <f t="shared" si="6"/>
        <v>2</v>
      </c>
      <c r="P1156" s="5" t="str">
        <f t="shared" si="7"/>
        <v>ˈpɾe</v>
      </c>
      <c r="Q1156" s="5">
        <f t="shared" si="8"/>
        <v>2</v>
      </c>
      <c r="R1156" s="5"/>
      <c r="S1156" s="3" t="s">
        <v>3298</v>
      </c>
      <c r="T1156" s="3" t="s">
        <v>548</v>
      </c>
      <c r="U1156" s="3" t="s">
        <v>22</v>
      </c>
      <c r="V1156" s="5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</row>
    <row r="1157">
      <c r="A1157" s="3" t="s">
        <v>14</v>
      </c>
      <c r="B1157" s="3" t="s">
        <v>3299</v>
      </c>
      <c r="C1157" s="3" t="s">
        <v>3300</v>
      </c>
      <c r="D1157" s="3" t="s">
        <v>3301</v>
      </c>
      <c r="E1157" s="3" t="s">
        <v>3302</v>
      </c>
      <c r="F1157" s="3" t="s">
        <v>789</v>
      </c>
      <c r="G1157" s="3" t="s">
        <v>790</v>
      </c>
      <c r="H1157" s="43">
        <f t="shared" ref="H1157:I1157" si="2315">LEN(D1157)-LEN(B1157)+1</f>
        <v>2</v>
      </c>
      <c r="I1157" s="43">
        <f t="shared" si="2315"/>
        <v>2</v>
      </c>
      <c r="J1157" s="4">
        <v>1.0</v>
      </c>
      <c r="K1157" s="4">
        <v>1.0</v>
      </c>
      <c r="L1157" s="5" t="str">
        <f t="shared" ref="L1157:M1157" si="2316">IFS(J1157="-", "-", J1157=H1157, "Final", J1157=1, "Initial", J1157&gt;1, "Medial")</f>
        <v>Initial</v>
      </c>
      <c r="M1157" s="44" t="str">
        <f t="shared" si="2316"/>
        <v>Initial</v>
      </c>
      <c r="N1157" s="5" t="str">
        <f t="shared" si="5"/>
        <v>0</v>
      </c>
      <c r="O1157" s="5" t="str">
        <f t="shared" si="6"/>
        <v>dɐ</v>
      </c>
      <c r="P1157" s="5" t="str">
        <f t="shared" si="7"/>
        <v>0</v>
      </c>
      <c r="Q1157" s="5" t="str">
        <f t="shared" si="8"/>
        <v>dɐ</v>
      </c>
      <c r="R1157" s="5"/>
      <c r="S1157" s="3" t="s">
        <v>3303</v>
      </c>
      <c r="T1157" s="3" t="s">
        <v>3304</v>
      </c>
      <c r="U1157" s="3" t="s">
        <v>22</v>
      </c>
      <c r="V1157" s="5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</row>
    <row r="1158">
      <c r="A1158" s="3" t="s">
        <v>14</v>
      </c>
      <c r="B1158" s="3" t="s">
        <v>3299</v>
      </c>
      <c r="C1158" s="3" t="s">
        <v>3300</v>
      </c>
      <c r="D1158" s="3" t="s">
        <v>3301</v>
      </c>
      <c r="E1158" s="3" t="s">
        <v>3302</v>
      </c>
      <c r="F1158" s="3" t="s">
        <v>116</v>
      </c>
      <c r="G1158" s="3" t="s">
        <v>116</v>
      </c>
      <c r="H1158" s="43">
        <f t="shared" ref="H1158:I1158" si="2317">LEN(D1158)-LEN(B1158)+1</f>
        <v>2</v>
      </c>
      <c r="I1158" s="43">
        <f t="shared" si="2317"/>
        <v>2</v>
      </c>
      <c r="J1158" s="4">
        <v>2.0</v>
      </c>
      <c r="K1158" s="4">
        <v>2.0</v>
      </c>
      <c r="L1158" s="5" t="str">
        <f t="shared" ref="L1158:M1158" si="2318">IFS(J1158="-", "-", J1158=H1158, "Final", J1158=1, "Initial", J1158&gt;1, "Medial")</f>
        <v>Final</v>
      </c>
      <c r="M1158" s="44" t="str">
        <f t="shared" si="2318"/>
        <v>Final</v>
      </c>
      <c r="N1158" s="5" t="str">
        <f t="shared" si="5"/>
        <v>ˈrɔ</v>
      </c>
      <c r="O1158" s="5">
        <f t="shared" si="6"/>
        <v>2</v>
      </c>
      <c r="P1158" s="5" t="str">
        <f t="shared" si="7"/>
        <v>ˈʀo</v>
      </c>
      <c r="Q1158" s="5">
        <f t="shared" si="8"/>
        <v>2</v>
      </c>
      <c r="R1158" s="5"/>
      <c r="S1158" s="3" t="s">
        <v>3303</v>
      </c>
      <c r="T1158" s="3" t="s">
        <v>3304</v>
      </c>
      <c r="U1158" s="3" t="s">
        <v>22</v>
      </c>
      <c r="V1158" s="5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</row>
    <row r="1159">
      <c r="A1159" s="3" t="s">
        <v>14</v>
      </c>
      <c r="B1159" s="3" t="s">
        <v>3305</v>
      </c>
      <c r="C1159" s="3" t="s">
        <v>3306</v>
      </c>
      <c r="D1159" s="3" t="s">
        <v>3307</v>
      </c>
      <c r="E1159" s="3" t="s">
        <v>3308</v>
      </c>
      <c r="F1159" s="3" t="s">
        <v>2175</v>
      </c>
      <c r="G1159" s="3" t="s">
        <v>1137</v>
      </c>
      <c r="H1159" s="43">
        <f t="shared" ref="H1159:I1159" si="2319">LEN(D1159)-LEN(B1159)+1</f>
        <v>3</v>
      </c>
      <c r="I1159" s="43">
        <f t="shared" si="2319"/>
        <v>3</v>
      </c>
      <c r="J1159" s="4">
        <v>1.0</v>
      </c>
      <c r="K1159" s="4">
        <v>1.0</v>
      </c>
      <c r="L1159" s="5" t="str">
        <f t="shared" ref="L1159:M1159" si="2320">IFS(J1159="-", "-", J1159=H1159, "Final", J1159=1, "Initial", J1159&gt;1, "Medial")</f>
        <v>Initial</v>
      </c>
      <c r="M1159" s="44" t="str">
        <f t="shared" si="2320"/>
        <v>Initial</v>
      </c>
      <c r="N1159" s="5" t="str">
        <f t="shared" si="5"/>
        <v>0</v>
      </c>
      <c r="O1159" s="5" t="str">
        <f t="shared" si="6"/>
        <v>ˈdɔ</v>
      </c>
      <c r="P1159" s="5" t="str">
        <f t="shared" si="7"/>
        <v>0</v>
      </c>
      <c r="Q1159" s="5" t="str">
        <f t="shared" si="8"/>
        <v>ˈdo</v>
      </c>
      <c r="R1159" s="5"/>
      <c r="S1159" s="3" t="s">
        <v>3309</v>
      </c>
      <c r="T1159" s="3" t="s">
        <v>3202</v>
      </c>
      <c r="U1159" s="3" t="s">
        <v>22</v>
      </c>
      <c r="V1159" s="5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>
      <c r="A1160" s="3" t="s">
        <v>14</v>
      </c>
      <c r="B1160" s="3" t="s">
        <v>3305</v>
      </c>
      <c r="C1160" s="3" t="s">
        <v>3306</v>
      </c>
      <c r="D1160" s="3" t="s">
        <v>3307</v>
      </c>
      <c r="E1160" s="3" t="s">
        <v>3308</v>
      </c>
      <c r="F1160" s="3" t="s">
        <v>3310</v>
      </c>
      <c r="G1160" s="3" t="s">
        <v>878</v>
      </c>
      <c r="H1160" s="43">
        <f t="shared" ref="H1160:I1160" si="2321">LEN(D1160)-LEN(B1160)+1</f>
        <v>3</v>
      </c>
      <c r="I1160" s="43">
        <f t="shared" si="2321"/>
        <v>3</v>
      </c>
      <c r="J1160" s="4">
        <v>2.0</v>
      </c>
      <c r="K1160" s="4">
        <v>2.0</v>
      </c>
      <c r="L1160" s="5" t="str">
        <f t="shared" ref="L1160:M1160" si="2322">IFS(J1160="-", "-", J1160=H1160, "Final", J1160=1, "Initial", J1160&gt;1, "Medial")</f>
        <v>Medial</v>
      </c>
      <c r="M1160" s="44" t="str">
        <f t="shared" si="2322"/>
        <v>Medial</v>
      </c>
      <c r="N1160" s="5" t="str">
        <f t="shared" si="5"/>
        <v>rɔ</v>
      </c>
      <c r="O1160" s="5" t="str">
        <f t="shared" si="6"/>
        <v>mɐ</v>
      </c>
      <c r="P1160" s="5" t="str">
        <f t="shared" si="7"/>
        <v>ʀɨ</v>
      </c>
      <c r="Q1160" s="5" t="str">
        <f t="shared" si="8"/>
        <v>mɐ</v>
      </c>
      <c r="R1160" s="5"/>
      <c r="S1160" s="3" t="s">
        <v>3309</v>
      </c>
      <c r="T1160" s="3" t="s">
        <v>3202</v>
      </c>
      <c r="U1160" s="3" t="s">
        <v>22</v>
      </c>
      <c r="V1160" s="5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</row>
    <row r="1161">
      <c r="A1161" s="3" t="s">
        <v>14</v>
      </c>
      <c r="B1161" s="3" t="s">
        <v>3305</v>
      </c>
      <c r="C1161" s="3" t="s">
        <v>3306</v>
      </c>
      <c r="D1161" s="3" t="s">
        <v>3307</v>
      </c>
      <c r="E1161" s="3" t="s">
        <v>3308</v>
      </c>
      <c r="F1161" s="3" t="s">
        <v>158</v>
      </c>
      <c r="G1161" s="3" t="s">
        <v>158</v>
      </c>
      <c r="H1161" s="43">
        <f t="shared" ref="H1161:I1161" si="2323">LEN(D1161)-LEN(B1161)+1</f>
        <v>3</v>
      </c>
      <c r="I1161" s="43">
        <f t="shared" si="2323"/>
        <v>3</v>
      </c>
      <c r="J1161" s="4">
        <v>3.0</v>
      </c>
      <c r="K1161" s="4">
        <v>3.0</v>
      </c>
      <c r="L1161" s="5" t="str">
        <f t="shared" ref="L1161:M1161" si="2324">IFS(J1161="-", "-", J1161=H1161, "Final", J1161=1, "Initial", J1161&gt;1, "Medial")</f>
        <v>Final</v>
      </c>
      <c r="M1161" s="44" t="str">
        <f t="shared" si="2324"/>
        <v>Final</v>
      </c>
      <c r="N1161" s="5" t="str">
        <f t="shared" si="5"/>
        <v>ˈdɔ</v>
      </c>
      <c r="O1161" s="5">
        <f t="shared" si="6"/>
        <v>3</v>
      </c>
      <c r="P1161" s="5" t="str">
        <f t="shared" si="7"/>
        <v>ˈdo</v>
      </c>
      <c r="Q1161" s="5">
        <f t="shared" si="8"/>
        <v>3</v>
      </c>
      <c r="R1161" s="5"/>
      <c r="S1161" s="3" t="s">
        <v>3309</v>
      </c>
      <c r="T1161" s="3" t="s">
        <v>3202</v>
      </c>
      <c r="U1161" s="3" t="s">
        <v>22</v>
      </c>
      <c r="V1161" s="5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</row>
    <row r="1162">
      <c r="A1162" s="15" t="s">
        <v>14</v>
      </c>
      <c r="B1162" s="15" t="s">
        <v>3311</v>
      </c>
      <c r="C1162" s="15" t="s">
        <v>3312</v>
      </c>
      <c r="D1162" s="15" t="s">
        <v>3313</v>
      </c>
      <c r="E1162" s="15" t="s">
        <v>3314</v>
      </c>
      <c r="F1162" s="15" t="s">
        <v>36</v>
      </c>
      <c r="G1162" s="15" t="s">
        <v>1113</v>
      </c>
      <c r="H1162" s="43">
        <f t="shared" ref="H1162:I1162" si="2325">LEN(D1162)-LEN(B1162)+1</f>
        <v>2</v>
      </c>
      <c r="I1162" s="43">
        <f t="shared" si="2325"/>
        <v>3</v>
      </c>
      <c r="J1162" s="18" t="s">
        <v>36</v>
      </c>
      <c r="K1162" s="18">
        <v>1.0</v>
      </c>
      <c r="L1162" s="5" t="str">
        <f t="shared" ref="L1162:M1162" si="2326">IFS(J1162="-", "-", J1162=H1162, "Final", J1162=1, "Initial", J1162&gt;1, "Medial")</f>
        <v>-</v>
      </c>
      <c r="M1162" s="44" t="str">
        <f t="shared" si="2326"/>
        <v>Initial</v>
      </c>
      <c r="N1162" s="5" t="str">
        <f t="shared" si="5"/>
        <v>0</v>
      </c>
      <c r="O1162" s="5" t="str">
        <f t="shared" si="6"/>
        <v>ˈsa</v>
      </c>
      <c r="P1162" s="5" t="str">
        <f t="shared" si="7"/>
        <v>0</v>
      </c>
      <c r="Q1162" s="5" t="str">
        <f t="shared" si="8"/>
        <v>ˈʃa</v>
      </c>
      <c r="R1162" s="15" t="s">
        <v>80</v>
      </c>
      <c r="S1162" s="15" t="s">
        <v>3315</v>
      </c>
      <c r="T1162" s="15" t="s">
        <v>3316</v>
      </c>
      <c r="U1162" s="15" t="s">
        <v>22</v>
      </c>
      <c r="V1162" s="20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</row>
    <row r="1163">
      <c r="A1163" s="15" t="s">
        <v>14</v>
      </c>
      <c r="B1163" s="15" t="s">
        <v>3311</v>
      </c>
      <c r="C1163" s="15" t="s">
        <v>3312</v>
      </c>
      <c r="D1163" s="15" t="s">
        <v>3313</v>
      </c>
      <c r="E1163" s="15" t="s">
        <v>3314</v>
      </c>
      <c r="F1163" s="15" t="s">
        <v>1032</v>
      </c>
      <c r="G1163" s="15" t="s">
        <v>3259</v>
      </c>
      <c r="H1163" s="43">
        <f t="shared" ref="H1163:I1163" si="2327">LEN(D1163)-LEN(B1163)+1</f>
        <v>2</v>
      </c>
      <c r="I1163" s="43">
        <f t="shared" si="2327"/>
        <v>3</v>
      </c>
      <c r="J1163" s="18">
        <v>1.0</v>
      </c>
      <c r="K1163" s="18">
        <v>2.0</v>
      </c>
      <c r="L1163" s="5" t="str">
        <f t="shared" ref="L1163:M1163" si="2328">IFS(J1163="-", "-", J1163=H1163, "Final", J1163=1, "Initial", J1163&gt;1, "Medial")</f>
        <v>Initial</v>
      </c>
      <c r="M1163" s="44" t="str">
        <f t="shared" si="2328"/>
        <v>Medial</v>
      </c>
      <c r="N1163" s="5" t="str">
        <f t="shared" si="5"/>
        <v>-</v>
      </c>
      <c r="O1163" s="5" t="str">
        <f t="shared" si="6"/>
        <v>dɐ</v>
      </c>
      <c r="P1163" s="5" t="str">
        <f t="shared" si="7"/>
        <v>ẽ</v>
      </c>
      <c r="Q1163" s="5" t="str">
        <f t="shared" si="8"/>
        <v>dɐ</v>
      </c>
      <c r="R1163" s="15"/>
      <c r="S1163" s="15" t="s">
        <v>3315</v>
      </c>
      <c r="T1163" s="15" t="s">
        <v>3316</v>
      </c>
      <c r="U1163" s="15" t="s">
        <v>22</v>
      </c>
      <c r="V1163" s="20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</row>
    <row r="1164">
      <c r="A1164" s="15" t="s">
        <v>14</v>
      </c>
      <c r="B1164" s="15" t="s">
        <v>3311</v>
      </c>
      <c r="C1164" s="15" t="s">
        <v>3312</v>
      </c>
      <c r="D1164" s="15" t="s">
        <v>3313</v>
      </c>
      <c r="E1164" s="15" t="s">
        <v>3314</v>
      </c>
      <c r="F1164" s="15" t="s">
        <v>116</v>
      </c>
      <c r="G1164" s="15" t="s">
        <v>116</v>
      </c>
      <c r="H1164" s="43">
        <f t="shared" ref="H1164:I1164" si="2329">LEN(D1164)-LEN(B1164)+1</f>
        <v>2</v>
      </c>
      <c r="I1164" s="43">
        <f t="shared" si="2329"/>
        <v>3</v>
      </c>
      <c r="J1164" s="18">
        <v>2.0</v>
      </c>
      <c r="K1164" s="18">
        <v>3.0</v>
      </c>
      <c r="L1164" s="5" t="str">
        <f t="shared" ref="L1164:M1164" si="2330">IFS(J1164="-", "-", J1164=H1164, "Final", J1164=1, "Initial", J1164&gt;1, "Medial")</f>
        <v>Final</v>
      </c>
      <c r="M1164" s="44" t="str">
        <f t="shared" si="2330"/>
        <v>Final</v>
      </c>
      <c r="N1164" s="5" t="str">
        <f t="shared" si="5"/>
        <v>ˈsa</v>
      </c>
      <c r="O1164" s="5">
        <f t="shared" si="6"/>
        <v>2</v>
      </c>
      <c r="P1164" s="5" t="str">
        <f t="shared" si="7"/>
        <v>ˈʃa</v>
      </c>
      <c r="Q1164" s="5">
        <f t="shared" si="8"/>
        <v>3</v>
      </c>
      <c r="R1164" s="20"/>
      <c r="S1164" s="15" t="s">
        <v>3315</v>
      </c>
      <c r="T1164" s="15" t="s">
        <v>3316</v>
      </c>
      <c r="U1164" s="15" t="s">
        <v>22</v>
      </c>
      <c r="V1164" s="20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</row>
    <row r="1165">
      <c r="A1165" s="3" t="s">
        <v>14</v>
      </c>
      <c r="B1165" s="3" t="s">
        <v>3317</v>
      </c>
      <c r="C1165" s="3" t="s">
        <v>3318</v>
      </c>
      <c r="D1165" s="3" t="s">
        <v>3319</v>
      </c>
      <c r="E1165" s="3" t="s">
        <v>3320</v>
      </c>
      <c r="F1165" s="3" t="s">
        <v>214</v>
      </c>
      <c r="G1165" s="3" t="s">
        <v>3321</v>
      </c>
      <c r="H1165" s="43">
        <f t="shared" ref="H1165:I1165" si="2331">LEN(D1165)-LEN(B1165)+1</f>
        <v>2</v>
      </c>
      <c r="I1165" s="43">
        <f t="shared" si="2331"/>
        <v>2</v>
      </c>
      <c r="J1165" s="4">
        <v>1.0</v>
      </c>
      <c r="K1165" s="4">
        <v>1.0</v>
      </c>
      <c r="L1165" s="5" t="str">
        <f t="shared" ref="L1165:M1165" si="2332">IFS(J1165="-", "-", J1165=H1165, "Final", J1165=1, "Initial", J1165&gt;1, "Medial")</f>
        <v>Initial</v>
      </c>
      <c r="M1165" s="44" t="str">
        <f t="shared" si="2332"/>
        <v>Initial</v>
      </c>
      <c r="N1165" s="5" t="str">
        <f t="shared" si="5"/>
        <v>0</v>
      </c>
      <c r="O1165" s="5" t="str">
        <f t="shared" si="6"/>
        <v>nu</v>
      </c>
      <c r="P1165" s="5" t="str">
        <f t="shared" si="7"/>
        <v>0</v>
      </c>
      <c r="Q1165" s="5" t="str">
        <f t="shared" si="8"/>
        <v>nu</v>
      </c>
      <c r="R1165" s="5"/>
      <c r="S1165" s="3" t="s">
        <v>3322</v>
      </c>
      <c r="T1165" s="3" t="s">
        <v>3323</v>
      </c>
      <c r="U1165" s="3" t="s">
        <v>22</v>
      </c>
      <c r="V1165" s="5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</row>
    <row r="1166">
      <c r="A1166" s="3" t="s">
        <v>14</v>
      </c>
      <c r="B1166" s="3" t="s">
        <v>3317</v>
      </c>
      <c r="C1166" s="3" t="s">
        <v>3318</v>
      </c>
      <c r="D1166" s="3" t="s">
        <v>3319</v>
      </c>
      <c r="E1166" s="3" t="s">
        <v>3320</v>
      </c>
      <c r="F1166" s="3" t="s">
        <v>312</v>
      </c>
      <c r="G1166" s="3" t="s">
        <v>312</v>
      </c>
      <c r="H1166" s="43">
        <f t="shared" ref="H1166:I1166" si="2333">LEN(D1166)-LEN(B1166)+1</f>
        <v>2</v>
      </c>
      <c r="I1166" s="43">
        <f t="shared" si="2333"/>
        <v>2</v>
      </c>
      <c r="J1166" s="4">
        <v>2.0</v>
      </c>
      <c r="K1166" s="4">
        <v>2.0</v>
      </c>
      <c r="L1166" s="5" t="str">
        <f t="shared" ref="L1166:M1166" si="2334">IFS(J1166="-", "-", J1166=H1166, "Final", J1166=1, "Initial", J1166&gt;1, "Medial")</f>
        <v>Final</v>
      </c>
      <c r="M1166" s="44" t="str">
        <f t="shared" si="2334"/>
        <v>Final</v>
      </c>
      <c r="N1166" s="5" t="str">
        <f t="shared" si="5"/>
        <v>ˈʃi</v>
      </c>
      <c r="O1166" s="5">
        <f t="shared" si="6"/>
        <v>2</v>
      </c>
      <c r="P1166" s="5" t="str">
        <f t="shared" si="7"/>
        <v>ˈsi</v>
      </c>
      <c r="Q1166" s="5">
        <f t="shared" si="8"/>
        <v>2</v>
      </c>
      <c r="R1166" s="5"/>
      <c r="S1166" s="3" t="s">
        <v>3322</v>
      </c>
      <c r="T1166" s="3" t="s">
        <v>3323</v>
      </c>
      <c r="U1166" s="3" t="s">
        <v>22</v>
      </c>
      <c r="V1166" s="5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</row>
    <row r="1167">
      <c r="A1167" s="15" t="s">
        <v>14</v>
      </c>
      <c r="B1167" s="15" t="s">
        <v>3324</v>
      </c>
      <c r="C1167" s="15" t="s">
        <v>3325</v>
      </c>
      <c r="D1167" s="15" t="s">
        <v>3326</v>
      </c>
      <c r="E1167" s="15" t="s">
        <v>3327</v>
      </c>
      <c r="F1167" s="15" t="s">
        <v>36</v>
      </c>
      <c r="G1167" s="15" t="s">
        <v>49</v>
      </c>
      <c r="H1167" s="43">
        <f t="shared" ref="H1167:I1167" si="2335">LEN(D1167)-LEN(B1167)+1</f>
        <v>2</v>
      </c>
      <c r="I1167" s="43">
        <f t="shared" si="2335"/>
        <v>3</v>
      </c>
      <c r="J1167" s="18" t="s">
        <v>36</v>
      </c>
      <c r="K1167" s="18">
        <v>1.0</v>
      </c>
      <c r="L1167" s="5" t="str">
        <f t="shared" ref="L1167:M1167" si="2336">IFS(J1167="-", "-", J1167=H1167, "Final", J1167=1, "Initial", J1167&gt;1, "Medial")</f>
        <v>-</v>
      </c>
      <c r="M1167" s="44" t="str">
        <f t="shared" si="2336"/>
        <v>Initial</v>
      </c>
      <c r="N1167" s="5" t="str">
        <f t="shared" si="5"/>
        <v>0</v>
      </c>
      <c r="O1167" s="5" t="str">
        <f t="shared" si="6"/>
        <v>ˈso</v>
      </c>
      <c r="P1167" s="5" t="str">
        <f t="shared" si="7"/>
        <v>0</v>
      </c>
      <c r="Q1167" s="5" t="str">
        <f t="shared" si="8"/>
        <v>ˈsoj</v>
      </c>
      <c r="R1167" s="15" t="s">
        <v>80</v>
      </c>
      <c r="S1167" s="15" t="s">
        <v>3328</v>
      </c>
      <c r="T1167" s="15" t="s">
        <v>3329</v>
      </c>
      <c r="U1167" s="15" t="s">
        <v>22</v>
      </c>
      <c r="V1167" s="20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</row>
    <row r="1168">
      <c r="A1168" s="15" t="s">
        <v>14</v>
      </c>
      <c r="B1168" s="15" t="s">
        <v>3324</v>
      </c>
      <c r="C1168" s="15" t="s">
        <v>3325</v>
      </c>
      <c r="D1168" s="15" t="s">
        <v>3326</v>
      </c>
      <c r="E1168" s="15" t="s">
        <v>3327</v>
      </c>
      <c r="F1168" s="15" t="s">
        <v>251</v>
      </c>
      <c r="G1168" s="15" t="s">
        <v>3330</v>
      </c>
      <c r="H1168" s="43">
        <f t="shared" ref="H1168:I1168" si="2337">LEN(D1168)-LEN(B1168)+1</f>
        <v>2</v>
      </c>
      <c r="I1168" s="43">
        <f t="shared" si="2337"/>
        <v>3</v>
      </c>
      <c r="J1168" s="18">
        <v>1.0</v>
      </c>
      <c r="K1168" s="18">
        <v>2.0</v>
      </c>
      <c r="L1168" s="5" t="str">
        <f t="shared" ref="L1168:M1168" si="2338">IFS(J1168="-", "-", J1168=H1168, "Final", J1168=1, "Initial", J1168&gt;1, "Medial")</f>
        <v>Initial</v>
      </c>
      <c r="M1168" s="44" t="str">
        <f t="shared" si="2338"/>
        <v>Medial</v>
      </c>
      <c r="N1168" s="5" t="str">
        <f t="shared" si="5"/>
        <v>-</v>
      </c>
      <c r="O1168" s="5" t="str">
        <f t="shared" si="6"/>
        <v>t̠ʃi</v>
      </c>
      <c r="P1168" s="5" t="str">
        <f t="shared" si="7"/>
        <v>ɐ</v>
      </c>
      <c r="Q1168" s="5" t="str">
        <f t="shared" si="8"/>
        <v>tɨ</v>
      </c>
      <c r="R1168" s="15"/>
      <c r="S1168" s="15" t="s">
        <v>3328</v>
      </c>
      <c r="T1168" s="15" t="s">
        <v>3329</v>
      </c>
      <c r="U1168" s="15" t="s">
        <v>22</v>
      </c>
      <c r="V1168" s="20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</row>
    <row r="1169">
      <c r="A1169" s="15" t="s">
        <v>14</v>
      </c>
      <c r="B1169" s="15" t="s">
        <v>3324</v>
      </c>
      <c r="C1169" s="15" t="s">
        <v>3325</v>
      </c>
      <c r="D1169" s="15" t="s">
        <v>3326</v>
      </c>
      <c r="E1169" s="15" t="s">
        <v>3327</v>
      </c>
      <c r="F1169" s="15" t="s">
        <v>55</v>
      </c>
      <c r="G1169" s="15" t="s">
        <v>56</v>
      </c>
      <c r="H1169" s="43">
        <f t="shared" ref="H1169:I1169" si="2339">LEN(D1169)-LEN(B1169)+1</f>
        <v>2</v>
      </c>
      <c r="I1169" s="43">
        <f t="shared" si="2339"/>
        <v>3</v>
      </c>
      <c r="J1169" s="18">
        <v>2.0</v>
      </c>
      <c r="K1169" s="18">
        <v>3.0</v>
      </c>
      <c r="L1169" s="5" t="str">
        <f t="shared" ref="L1169:M1169" si="2340">IFS(J1169="-", "-", J1169=H1169, "Final", J1169=1, "Initial", J1169&gt;1, "Medial")</f>
        <v>Final</v>
      </c>
      <c r="M1169" s="44" t="str">
        <f t="shared" si="2340"/>
        <v>Final</v>
      </c>
      <c r="N1169" s="5" t="str">
        <f t="shared" si="5"/>
        <v>ˈso</v>
      </c>
      <c r="O1169" s="5">
        <f t="shared" si="6"/>
        <v>2</v>
      </c>
      <c r="P1169" s="5" t="str">
        <f t="shared" si="7"/>
        <v>ˈsoj</v>
      </c>
      <c r="Q1169" s="5">
        <f t="shared" si="8"/>
        <v>3</v>
      </c>
      <c r="R1169" s="20"/>
      <c r="S1169" s="15" t="s">
        <v>3328</v>
      </c>
      <c r="T1169" s="15" t="s">
        <v>3329</v>
      </c>
      <c r="U1169" s="15" t="s">
        <v>22</v>
      </c>
      <c r="V1169" s="20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</row>
    <row r="1170">
      <c r="A1170" s="15" t="s">
        <v>14</v>
      </c>
      <c r="B1170" s="15" t="s">
        <v>3331</v>
      </c>
      <c r="C1170" s="15" t="s">
        <v>3332</v>
      </c>
      <c r="D1170" s="15" t="s">
        <v>3333</v>
      </c>
      <c r="E1170" s="15" t="s">
        <v>3334</v>
      </c>
      <c r="F1170" s="15" t="s">
        <v>362</v>
      </c>
      <c r="G1170" s="15" t="s">
        <v>301</v>
      </c>
      <c r="H1170" s="43">
        <f t="shared" ref="H1170:I1170" si="2341">LEN(D1170)-LEN(B1170)+1</f>
        <v>2</v>
      </c>
      <c r="I1170" s="43">
        <f t="shared" si="2341"/>
        <v>3</v>
      </c>
      <c r="J1170" s="18">
        <v>1.0</v>
      </c>
      <c r="K1170" s="18">
        <v>1.0</v>
      </c>
      <c r="L1170" s="5" t="str">
        <f t="shared" ref="L1170:M1170" si="2342">IFS(J1170="-", "-", J1170=H1170, "Final", J1170=1, "Initial", J1170&gt;1, "Medial")</f>
        <v>Initial</v>
      </c>
      <c r="M1170" s="44" t="str">
        <f t="shared" si="2342"/>
        <v>Initial</v>
      </c>
      <c r="N1170" s="5" t="str">
        <f t="shared" si="5"/>
        <v>0</v>
      </c>
      <c r="O1170" s="5" t="str">
        <f t="shared" si="6"/>
        <v>ˈpe</v>
      </c>
      <c r="P1170" s="5" t="str">
        <f t="shared" si="7"/>
        <v>0</v>
      </c>
      <c r="Q1170" s="5" t="str">
        <f t="shared" si="8"/>
        <v>ˈpɐ</v>
      </c>
      <c r="R1170" s="15" t="s">
        <v>80</v>
      </c>
      <c r="S1170" s="15" t="s">
        <v>3335</v>
      </c>
      <c r="T1170" s="15" t="s">
        <v>3336</v>
      </c>
      <c r="U1170" s="15" t="s">
        <v>22</v>
      </c>
      <c r="V1170" s="20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</row>
    <row r="1171">
      <c r="A1171" s="15" t="s">
        <v>14</v>
      </c>
      <c r="B1171" s="15" t="s">
        <v>3331</v>
      </c>
      <c r="C1171" s="15" t="s">
        <v>3332</v>
      </c>
      <c r="D1171" s="15" t="s">
        <v>3333</v>
      </c>
      <c r="E1171" s="15" t="s">
        <v>3334</v>
      </c>
      <c r="F1171" s="15" t="s">
        <v>317</v>
      </c>
      <c r="G1171" s="15" t="s">
        <v>3337</v>
      </c>
      <c r="H1171" s="43">
        <f t="shared" ref="H1171:I1171" si="2343">LEN(D1171)-LEN(B1171)+1</f>
        <v>2</v>
      </c>
      <c r="I1171" s="43">
        <f t="shared" si="2343"/>
        <v>3</v>
      </c>
      <c r="J1171" s="18">
        <v>2.0</v>
      </c>
      <c r="K1171" s="18">
        <v>2.0</v>
      </c>
      <c r="L1171" s="5" t="str">
        <f t="shared" ref="L1171:M1171" si="2344">IFS(J1171="-", "-", J1171=H1171, "Final", J1171=1, "Initial", J1171&gt;1, "Medial")</f>
        <v>Final</v>
      </c>
      <c r="M1171" s="44" t="str">
        <f t="shared" si="2344"/>
        <v>Medial</v>
      </c>
      <c r="N1171" s="5" t="str">
        <f t="shared" si="5"/>
        <v>su</v>
      </c>
      <c r="O1171" s="5" t="str">
        <f t="shared" si="6"/>
        <v>-</v>
      </c>
      <c r="P1171" s="5" t="str">
        <f t="shared" si="7"/>
        <v>ʃ</v>
      </c>
      <c r="Q1171" s="5" t="str">
        <f t="shared" si="8"/>
        <v>ʎu</v>
      </c>
      <c r="R1171" s="15"/>
      <c r="S1171" s="15" t="s">
        <v>3335</v>
      </c>
      <c r="T1171" s="15" t="s">
        <v>3336</v>
      </c>
      <c r="U1171" s="15" t="s">
        <v>22</v>
      </c>
      <c r="V1171" s="20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</row>
    <row r="1172">
      <c r="A1172" s="15" t="s">
        <v>14</v>
      </c>
      <c r="B1172" s="15" t="s">
        <v>3331</v>
      </c>
      <c r="C1172" s="15" t="s">
        <v>3332</v>
      </c>
      <c r="D1172" s="15" t="s">
        <v>3333</v>
      </c>
      <c r="E1172" s="15" t="s">
        <v>3334</v>
      </c>
      <c r="F1172" s="15" t="s">
        <v>36</v>
      </c>
      <c r="G1172" s="15" t="s">
        <v>24</v>
      </c>
      <c r="H1172" s="43">
        <f t="shared" ref="H1172:I1172" si="2345">LEN(D1172)-LEN(B1172)+1</f>
        <v>2</v>
      </c>
      <c r="I1172" s="43">
        <f t="shared" si="2345"/>
        <v>3</v>
      </c>
      <c r="J1172" s="18" t="s">
        <v>36</v>
      </c>
      <c r="K1172" s="18">
        <v>3.0</v>
      </c>
      <c r="L1172" s="5" t="str">
        <f t="shared" ref="L1172:M1172" si="2346">IFS(J1172="-", "-", J1172=H1172, "Final", J1172=1, "Initial", J1172&gt;1, "Medial")</f>
        <v>-</v>
      </c>
      <c r="M1172" s="44" t="str">
        <f t="shared" si="2346"/>
        <v>Final</v>
      </c>
      <c r="N1172" s="5" t="str">
        <f t="shared" si="5"/>
        <v>ˈpe</v>
      </c>
      <c r="O1172" s="5" t="str">
        <f t="shared" si="6"/>
        <v>-</v>
      </c>
      <c r="P1172" s="5" t="str">
        <f t="shared" si="7"/>
        <v>ˈpɐ</v>
      </c>
      <c r="Q1172" s="5">
        <f t="shared" si="8"/>
        <v>3</v>
      </c>
      <c r="R1172" s="20"/>
      <c r="S1172" s="15" t="s">
        <v>3335</v>
      </c>
      <c r="T1172" s="15" t="s">
        <v>3336</v>
      </c>
      <c r="U1172" s="15" t="s">
        <v>22</v>
      </c>
      <c r="V1172" s="20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</row>
    <row r="1173">
      <c r="A1173" s="3" t="s">
        <v>14</v>
      </c>
      <c r="B1173" s="3" t="s">
        <v>3338</v>
      </c>
      <c r="C1173" s="3" t="s">
        <v>3338</v>
      </c>
      <c r="D1173" s="3" t="s">
        <v>3339</v>
      </c>
      <c r="E1173" s="3" t="s">
        <v>3339</v>
      </c>
      <c r="F1173" s="3" t="s">
        <v>2003</v>
      </c>
      <c r="G1173" s="3" t="s">
        <v>2003</v>
      </c>
      <c r="H1173" s="43">
        <f t="shared" ref="H1173:I1173" si="2347">LEN(D1173)-LEN(B1173)+1</f>
        <v>2</v>
      </c>
      <c r="I1173" s="43">
        <f t="shared" si="2347"/>
        <v>2</v>
      </c>
      <c r="J1173" s="4">
        <v>1.0</v>
      </c>
      <c r="K1173" s="4">
        <v>1.0</v>
      </c>
      <c r="L1173" s="5" t="str">
        <f t="shared" ref="L1173:M1173" si="2348">IFS(J1173="-", "-", J1173=H1173, "Final", J1173=1, "Initial", J1173&gt;1, "Medial")</f>
        <v>Initial</v>
      </c>
      <c r="M1173" s="44" t="str">
        <f t="shared" si="2348"/>
        <v>Initial</v>
      </c>
      <c r="N1173" s="5" t="str">
        <f t="shared" si="5"/>
        <v>0</v>
      </c>
      <c r="O1173" s="5" t="str">
        <f t="shared" si="6"/>
        <v>pɐ</v>
      </c>
      <c r="P1173" s="5" t="str">
        <f t="shared" si="7"/>
        <v>0</v>
      </c>
      <c r="Q1173" s="5" t="str">
        <f t="shared" si="8"/>
        <v>pɐ</v>
      </c>
      <c r="R1173" s="5"/>
      <c r="S1173" s="3" t="s">
        <v>3340</v>
      </c>
      <c r="T1173" s="3" t="s">
        <v>1373</v>
      </c>
      <c r="U1173" s="3" t="s">
        <v>22</v>
      </c>
      <c r="V1173" s="5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</row>
    <row r="1174">
      <c r="A1174" s="3" t="s">
        <v>14</v>
      </c>
      <c r="B1174" s="3" t="s">
        <v>3338</v>
      </c>
      <c r="C1174" s="3" t="s">
        <v>3338</v>
      </c>
      <c r="D1174" s="3" t="s">
        <v>3339</v>
      </c>
      <c r="E1174" s="3" t="s">
        <v>3339</v>
      </c>
      <c r="F1174" s="3" t="s">
        <v>254</v>
      </c>
      <c r="G1174" s="3" t="s">
        <v>254</v>
      </c>
      <c r="H1174" s="43">
        <f t="shared" ref="H1174:I1174" si="2349">LEN(D1174)-LEN(B1174)+1</f>
        <v>2</v>
      </c>
      <c r="I1174" s="43">
        <f t="shared" si="2349"/>
        <v>2</v>
      </c>
      <c r="J1174" s="4">
        <v>2.0</v>
      </c>
      <c r="K1174" s="4">
        <v>2.0</v>
      </c>
      <c r="L1174" s="5" t="str">
        <f t="shared" ref="L1174:M1174" si="2350">IFS(J1174="-", "-", J1174=H1174, "Final", J1174=1, "Initial", J1174&gt;1, "Medial")</f>
        <v>Final</v>
      </c>
      <c r="M1174" s="44" t="str">
        <f t="shared" si="2350"/>
        <v>Final</v>
      </c>
      <c r="N1174" s="5" t="str">
        <f t="shared" si="5"/>
        <v>ˈtɐ̃</v>
      </c>
      <c r="O1174" s="5">
        <f t="shared" si="6"/>
        <v>2</v>
      </c>
      <c r="P1174" s="5" t="str">
        <f t="shared" si="7"/>
        <v>ˈtɐ̃</v>
      </c>
      <c r="Q1174" s="5">
        <f t="shared" si="8"/>
        <v>2</v>
      </c>
      <c r="R1174" s="5"/>
      <c r="S1174" s="3" t="s">
        <v>3340</v>
      </c>
      <c r="T1174" s="3" t="s">
        <v>1373</v>
      </c>
      <c r="U1174" s="3" t="s">
        <v>22</v>
      </c>
      <c r="V1174" s="5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</row>
    <row r="1175">
      <c r="A1175" s="15" t="s">
        <v>14</v>
      </c>
      <c r="B1175" s="15" t="s">
        <v>3341</v>
      </c>
      <c r="C1175" s="15" t="s">
        <v>3342</v>
      </c>
      <c r="D1175" s="15" t="s">
        <v>3343</v>
      </c>
      <c r="E1175" s="15" t="s">
        <v>3344</v>
      </c>
      <c r="F1175" s="15" t="s">
        <v>128</v>
      </c>
      <c r="G1175" s="15" t="s">
        <v>36</v>
      </c>
      <c r="H1175" s="43">
        <f t="shared" ref="H1175:I1175" si="2351">LEN(D1175)-LEN(B1175)+1</f>
        <v>3</v>
      </c>
      <c r="I1175" s="43">
        <f t="shared" si="2351"/>
        <v>2</v>
      </c>
      <c r="J1175" s="18">
        <v>1.0</v>
      </c>
      <c r="K1175" s="18" t="s">
        <v>36</v>
      </c>
      <c r="L1175" s="5" t="str">
        <f t="shared" ref="L1175:M1175" si="2352">IFS(J1175="-", "-", J1175=H1175, "Final", J1175=1, "Initial", J1175&gt;1, "Medial")</f>
        <v>Initial</v>
      </c>
      <c r="M1175" s="44" t="str">
        <f t="shared" si="2352"/>
        <v>-</v>
      </c>
      <c r="N1175" s="5" t="str">
        <f t="shared" si="5"/>
        <v>0</v>
      </c>
      <c r="O1175" s="5" t="str">
        <f t="shared" si="6"/>
        <v>ˈta</v>
      </c>
      <c r="P1175" s="5" t="str">
        <f t="shared" si="7"/>
        <v>0</v>
      </c>
      <c r="Q1175" s="5" t="str">
        <f t="shared" si="8"/>
        <v>ˈta</v>
      </c>
      <c r="R1175" s="20"/>
      <c r="S1175" s="15" t="s">
        <v>3345</v>
      </c>
      <c r="T1175" s="15" t="s">
        <v>3346</v>
      </c>
      <c r="U1175" s="15" t="s">
        <v>22</v>
      </c>
      <c r="V1175" s="20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</row>
    <row r="1176">
      <c r="A1176" s="15" t="s">
        <v>14</v>
      </c>
      <c r="B1176" s="15" t="s">
        <v>3341</v>
      </c>
      <c r="C1176" s="15" t="s">
        <v>3342</v>
      </c>
      <c r="D1176" s="15" t="s">
        <v>3343</v>
      </c>
      <c r="E1176" s="15" t="s">
        <v>3344</v>
      </c>
      <c r="F1176" s="15" t="s">
        <v>1075</v>
      </c>
      <c r="G1176" s="15" t="s">
        <v>1075</v>
      </c>
      <c r="H1176" s="43">
        <f t="shared" ref="H1176:I1176" si="2353">LEN(D1176)-LEN(B1176)+1</f>
        <v>3</v>
      </c>
      <c r="I1176" s="43">
        <f t="shared" si="2353"/>
        <v>2</v>
      </c>
      <c r="J1176" s="18">
        <v>2.0</v>
      </c>
      <c r="K1176" s="18">
        <v>1.0</v>
      </c>
      <c r="L1176" s="5" t="str">
        <f t="shared" ref="L1176:M1176" si="2354">IFS(J1176="-", "-", J1176=H1176, "Final", J1176=1, "Initial", J1176&gt;1, "Medial")</f>
        <v>Medial</v>
      </c>
      <c r="M1176" s="44" t="str">
        <f t="shared" si="2354"/>
        <v>Initial</v>
      </c>
      <c r="N1176" s="5" t="str">
        <f t="shared" si="5"/>
        <v>u</v>
      </c>
      <c r="O1176" s="5" t="str">
        <f t="shared" si="6"/>
        <v>su</v>
      </c>
      <c r="P1176" s="5" t="str">
        <f t="shared" si="7"/>
        <v>-</v>
      </c>
      <c r="Q1176" s="5" t="str">
        <f t="shared" si="8"/>
        <v>ʃu</v>
      </c>
      <c r="R1176" s="20"/>
      <c r="S1176" s="15" t="s">
        <v>3345</v>
      </c>
      <c r="T1176" s="15" t="s">
        <v>3346</v>
      </c>
      <c r="U1176" s="15" t="s">
        <v>22</v>
      </c>
      <c r="V1176" s="20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</row>
    <row r="1177">
      <c r="A1177" s="15" t="s">
        <v>14</v>
      </c>
      <c r="B1177" s="15" t="s">
        <v>3341</v>
      </c>
      <c r="C1177" s="15" t="s">
        <v>3342</v>
      </c>
      <c r="D1177" s="15" t="s">
        <v>3343</v>
      </c>
      <c r="E1177" s="15" t="s">
        <v>3344</v>
      </c>
      <c r="F1177" s="15" t="s">
        <v>362</v>
      </c>
      <c r="G1177" s="15" t="s">
        <v>566</v>
      </c>
      <c r="H1177" s="43">
        <f t="shared" ref="H1177:I1177" si="2355">LEN(D1177)-LEN(B1177)+1</f>
        <v>3</v>
      </c>
      <c r="I1177" s="43">
        <f t="shared" si="2355"/>
        <v>2</v>
      </c>
      <c r="J1177" s="18">
        <v>3.0</v>
      </c>
      <c r="K1177" s="18">
        <v>2.0</v>
      </c>
      <c r="L1177" s="5" t="str">
        <f t="shared" ref="L1177:M1177" si="2356">IFS(J1177="-", "-", J1177=H1177, "Final", J1177=1, "Initial", J1177&gt;1, "Medial")</f>
        <v>Final</v>
      </c>
      <c r="M1177" s="44" t="str">
        <f t="shared" si="2356"/>
        <v>Final</v>
      </c>
      <c r="N1177" s="5" t="str">
        <f t="shared" si="5"/>
        <v>ˈta</v>
      </c>
      <c r="O1177" s="5">
        <f t="shared" si="6"/>
        <v>3</v>
      </c>
      <c r="P1177" s="5" t="str">
        <f t="shared" si="7"/>
        <v>ˈta</v>
      </c>
      <c r="Q1177" s="5">
        <f t="shared" si="8"/>
        <v>2</v>
      </c>
      <c r="R1177" s="20"/>
      <c r="S1177" s="15" t="s">
        <v>3345</v>
      </c>
      <c r="T1177" s="15" t="s">
        <v>3346</v>
      </c>
      <c r="U1177" s="15" t="s">
        <v>22</v>
      </c>
      <c r="V1177" s="20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</row>
    <row r="1178">
      <c r="A1178" s="3" t="s">
        <v>14</v>
      </c>
      <c r="B1178" s="3" t="s">
        <v>3347</v>
      </c>
      <c r="C1178" s="3" t="s">
        <v>3347</v>
      </c>
      <c r="D1178" s="3" t="s">
        <v>3348</v>
      </c>
      <c r="E1178" s="3" t="s">
        <v>3348</v>
      </c>
      <c r="F1178" s="3" t="s">
        <v>2700</v>
      </c>
      <c r="G1178" s="3" t="s">
        <v>2700</v>
      </c>
      <c r="H1178" s="43">
        <f t="shared" ref="H1178:I1178" si="2357">LEN(D1178)-LEN(B1178)+1</f>
        <v>2</v>
      </c>
      <c r="I1178" s="43">
        <f t="shared" si="2357"/>
        <v>2</v>
      </c>
      <c r="J1178" s="4">
        <v>1.0</v>
      </c>
      <c r="K1178" s="4">
        <v>1.0</v>
      </c>
      <c r="L1178" s="5" t="str">
        <f t="shared" ref="L1178:M1178" si="2358">IFS(J1178="-", "-", J1178=H1178, "Final", J1178=1, "Initial", J1178&gt;1, "Medial")</f>
        <v>Initial</v>
      </c>
      <c r="M1178" s="44" t="str">
        <f t="shared" si="2358"/>
        <v>Initial</v>
      </c>
      <c r="N1178" s="5" t="str">
        <f t="shared" si="5"/>
        <v>0</v>
      </c>
      <c r="O1178" s="5" t="str">
        <f t="shared" si="6"/>
        <v>lɐ</v>
      </c>
      <c r="P1178" s="5" t="str">
        <f t="shared" si="7"/>
        <v>0</v>
      </c>
      <c r="Q1178" s="5" t="str">
        <f t="shared" si="8"/>
        <v>lɐ</v>
      </c>
      <c r="R1178" s="5"/>
      <c r="S1178" s="3" t="s">
        <v>3349</v>
      </c>
      <c r="T1178" s="3" t="s">
        <v>3350</v>
      </c>
      <c r="U1178" s="3" t="s">
        <v>22</v>
      </c>
      <c r="V1178" s="5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</row>
    <row r="1179">
      <c r="A1179" s="3" t="s">
        <v>14</v>
      </c>
      <c r="B1179" s="3" t="s">
        <v>3347</v>
      </c>
      <c r="C1179" s="3" t="s">
        <v>3347</v>
      </c>
      <c r="D1179" s="3" t="s">
        <v>3348</v>
      </c>
      <c r="E1179" s="3" t="s">
        <v>3348</v>
      </c>
      <c r="F1179" s="3" t="s">
        <v>1426</v>
      </c>
      <c r="G1179" s="3" t="s">
        <v>1426</v>
      </c>
      <c r="H1179" s="43">
        <f t="shared" ref="H1179:I1179" si="2359">LEN(D1179)-LEN(B1179)+1</f>
        <v>2</v>
      </c>
      <c r="I1179" s="43">
        <f t="shared" si="2359"/>
        <v>2</v>
      </c>
      <c r="J1179" s="4">
        <v>2.0</v>
      </c>
      <c r="K1179" s="4">
        <v>2.0</v>
      </c>
      <c r="L1179" s="5" t="str">
        <f t="shared" ref="L1179:M1179" si="2360">IFS(J1179="-", "-", J1179=H1179, "Final", J1179=1, "Initial", J1179&gt;1, "Medial")</f>
        <v>Final</v>
      </c>
      <c r="M1179" s="44" t="str">
        <f t="shared" si="2360"/>
        <v>Final</v>
      </c>
      <c r="N1179" s="5" t="str">
        <f t="shared" si="5"/>
        <v>ˈvɛ</v>
      </c>
      <c r="O1179" s="5">
        <f t="shared" si="6"/>
        <v>2</v>
      </c>
      <c r="P1179" s="5" t="str">
        <f t="shared" si="7"/>
        <v>ˈvɛ</v>
      </c>
      <c r="Q1179" s="5">
        <f t="shared" si="8"/>
        <v>2</v>
      </c>
      <c r="R1179" s="5"/>
      <c r="S1179" s="3" t="s">
        <v>3349</v>
      </c>
      <c r="T1179" s="3" t="s">
        <v>3350</v>
      </c>
      <c r="U1179" s="3" t="s">
        <v>22</v>
      </c>
      <c r="V1179" s="5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>
      <c r="A1180" s="15" t="s">
        <v>14</v>
      </c>
      <c r="B1180" s="15" t="s">
        <v>3351</v>
      </c>
      <c r="C1180" s="15" t="s">
        <v>3352</v>
      </c>
      <c r="D1180" s="15" t="s">
        <v>3353</v>
      </c>
      <c r="E1180" s="15" t="s">
        <v>3354</v>
      </c>
      <c r="F1180" s="15" t="s">
        <v>753</v>
      </c>
      <c r="G1180" s="15" t="s">
        <v>2834</v>
      </c>
      <c r="H1180" s="43">
        <f t="shared" ref="H1180:I1180" si="2361">LEN(D1180)-LEN(B1180)+1</f>
        <v>3</v>
      </c>
      <c r="I1180" s="43">
        <f t="shared" si="2361"/>
        <v>2</v>
      </c>
      <c r="J1180" s="18">
        <v>1.0</v>
      </c>
      <c r="K1180" s="18">
        <v>1.0</v>
      </c>
      <c r="L1180" s="5" t="str">
        <f t="shared" ref="L1180:M1180" si="2362">IFS(J1180="-", "-", J1180=H1180, "Final", J1180=1, "Initial", J1180&gt;1, "Medial")</f>
        <v>Initial</v>
      </c>
      <c r="M1180" s="44" t="str">
        <f t="shared" si="2362"/>
        <v>Initial</v>
      </c>
      <c r="N1180" s="5" t="str">
        <f t="shared" si="5"/>
        <v>0</v>
      </c>
      <c r="O1180" s="5" t="str">
        <f t="shared" si="6"/>
        <v>ˈzɔ</v>
      </c>
      <c r="P1180" s="5" t="str">
        <f t="shared" si="7"/>
        <v>0</v>
      </c>
      <c r="Q1180" s="5" t="str">
        <f t="shared" si="8"/>
        <v>ˈzɔɫ</v>
      </c>
      <c r="R1180" s="20"/>
      <c r="S1180" s="15" t="s">
        <v>3355</v>
      </c>
      <c r="T1180" s="15" t="s">
        <v>3356</v>
      </c>
      <c r="U1180" s="15" t="s">
        <v>22</v>
      </c>
      <c r="V1180" s="20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</row>
    <row r="1181">
      <c r="A1181" s="15" t="s">
        <v>14</v>
      </c>
      <c r="B1181" s="15" t="s">
        <v>3351</v>
      </c>
      <c r="C1181" s="15" t="s">
        <v>3352</v>
      </c>
      <c r="D1181" s="15" t="s">
        <v>3353</v>
      </c>
      <c r="E1181" s="15" t="s">
        <v>3354</v>
      </c>
      <c r="F1181" s="15" t="s">
        <v>3357</v>
      </c>
      <c r="G1181" s="15" t="s">
        <v>3358</v>
      </c>
      <c r="H1181" s="43">
        <f t="shared" ref="H1181:I1181" si="2363">LEN(D1181)-LEN(B1181)+1</f>
        <v>3</v>
      </c>
      <c r="I1181" s="43">
        <f t="shared" si="2363"/>
        <v>2</v>
      </c>
      <c r="J1181" s="18">
        <v>2.0</v>
      </c>
      <c r="K1181" s="18">
        <v>2.0</v>
      </c>
      <c r="L1181" s="5" t="str">
        <f t="shared" ref="L1181:M1181" si="2364">IFS(J1181="-", "-", J1181=H1181, "Final", J1181=1, "Initial", J1181&gt;1, "Medial")</f>
        <v>Medial</v>
      </c>
      <c r="M1181" s="44" t="str">
        <f t="shared" si="2364"/>
        <v>Final</v>
      </c>
      <c r="N1181" s="5" t="str">
        <f t="shared" si="5"/>
        <v>ĩ</v>
      </c>
      <c r="O1181" s="5" t="str">
        <f t="shared" si="6"/>
        <v>lu</v>
      </c>
      <c r="P1181" s="5" t="str">
        <f t="shared" si="7"/>
        <v>ɐ̃</v>
      </c>
      <c r="Q1181" s="5" t="str">
        <f t="shared" si="8"/>
        <v>-</v>
      </c>
      <c r="R1181" s="20"/>
      <c r="S1181" s="15" t="s">
        <v>3355</v>
      </c>
      <c r="T1181" s="15" t="s">
        <v>3356</v>
      </c>
      <c r="U1181" s="15" t="s">
        <v>22</v>
      </c>
      <c r="V1181" s="20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</row>
    <row r="1182">
      <c r="A1182" s="15" t="s">
        <v>14</v>
      </c>
      <c r="B1182" s="15" t="s">
        <v>3351</v>
      </c>
      <c r="C1182" s="15" t="s">
        <v>3352</v>
      </c>
      <c r="D1182" s="15" t="s">
        <v>3353</v>
      </c>
      <c r="E1182" s="15" t="s">
        <v>3354</v>
      </c>
      <c r="F1182" s="15" t="s">
        <v>245</v>
      </c>
      <c r="G1182" s="15" t="s">
        <v>36</v>
      </c>
      <c r="H1182" s="43">
        <f t="shared" ref="H1182:I1182" si="2365">LEN(D1182)-LEN(B1182)+1</f>
        <v>3</v>
      </c>
      <c r="I1182" s="43">
        <f t="shared" si="2365"/>
        <v>2</v>
      </c>
      <c r="J1182" s="18">
        <v>3.0</v>
      </c>
      <c r="K1182" s="18" t="s">
        <v>36</v>
      </c>
      <c r="L1182" s="5" t="str">
        <f t="shared" ref="L1182:M1182" si="2366">IFS(J1182="-", "-", J1182=H1182, "Final", J1182=1, "Initial", J1182&gt;1, "Medial")</f>
        <v>Final</v>
      </c>
      <c r="M1182" s="44" t="str">
        <f t="shared" si="2366"/>
        <v>-</v>
      </c>
      <c r="N1182" s="5" t="str">
        <f t="shared" si="5"/>
        <v>ˈzɔ</v>
      </c>
      <c r="O1182" s="5">
        <f t="shared" si="6"/>
        <v>3</v>
      </c>
      <c r="P1182" s="5" t="str">
        <f t="shared" si="7"/>
        <v>ˈzɔɫ</v>
      </c>
      <c r="Q1182" s="5" t="str">
        <f t="shared" si="8"/>
        <v>-</v>
      </c>
      <c r="R1182" s="20"/>
      <c r="S1182" s="15" t="s">
        <v>3355</v>
      </c>
      <c r="T1182" s="15" t="s">
        <v>3356</v>
      </c>
      <c r="U1182" s="15" t="s">
        <v>22</v>
      </c>
      <c r="V1182" s="20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</row>
    <row r="1183">
      <c r="A1183" s="3" t="s">
        <v>14</v>
      </c>
      <c r="B1183" s="3" t="s">
        <v>3359</v>
      </c>
      <c r="C1183" s="3" t="s">
        <v>3360</v>
      </c>
      <c r="D1183" s="3" t="s">
        <v>3361</v>
      </c>
      <c r="E1183" s="3" t="s">
        <v>3362</v>
      </c>
      <c r="F1183" s="3" t="s">
        <v>349</v>
      </c>
      <c r="G1183" s="3" t="s">
        <v>1086</v>
      </c>
      <c r="H1183" s="43">
        <f t="shared" ref="H1183:I1183" si="2367">LEN(D1183)-LEN(B1183)+1</f>
        <v>3</v>
      </c>
      <c r="I1183" s="43">
        <f t="shared" si="2367"/>
        <v>3</v>
      </c>
      <c r="J1183" s="4">
        <v>1.0</v>
      </c>
      <c r="K1183" s="4">
        <v>1.0</v>
      </c>
      <c r="L1183" s="5" t="str">
        <f t="shared" ref="L1183:M1183" si="2368">IFS(J1183="-", "-", J1183=H1183, "Final", J1183=1, "Initial", J1183&gt;1, "Medial")</f>
        <v>Initial</v>
      </c>
      <c r="M1183" s="44" t="str">
        <f t="shared" si="2368"/>
        <v>Initial</v>
      </c>
      <c r="N1183" s="5" t="str">
        <f t="shared" si="5"/>
        <v>0</v>
      </c>
      <c r="O1183" s="5" t="str">
        <f t="shared" si="6"/>
        <v>ˈʃi</v>
      </c>
      <c r="P1183" s="5" t="str">
        <f t="shared" si="7"/>
        <v>0</v>
      </c>
      <c r="Q1183" s="5" t="str">
        <f t="shared" si="8"/>
        <v>ˈti</v>
      </c>
      <c r="R1183" s="5"/>
      <c r="S1183" s="3" t="s">
        <v>3363</v>
      </c>
      <c r="T1183" s="3" t="s">
        <v>3364</v>
      </c>
      <c r="U1183" s="3" t="s">
        <v>22</v>
      </c>
      <c r="V1183" s="5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</row>
    <row r="1184">
      <c r="A1184" s="3" t="s">
        <v>14</v>
      </c>
      <c r="B1184" s="3" t="s">
        <v>3359</v>
      </c>
      <c r="C1184" s="3" t="s">
        <v>3360</v>
      </c>
      <c r="D1184" s="3" t="s">
        <v>3361</v>
      </c>
      <c r="E1184" s="3" t="s">
        <v>3362</v>
      </c>
      <c r="F1184" s="3" t="s">
        <v>214</v>
      </c>
      <c r="G1184" s="3" t="s">
        <v>2332</v>
      </c>
      <c r="H1184" s="43">
        <f t="shared" ref="H1184:I1184" si="2369">LEN(D1184)-LEN(B1184)+1</f>
        <v>3</v>
      </c>
      <c r="I1184" s="43">
        <f t="shared" si="2369"/>
        <v>3</v>
      </c>
      <c r="J1184" s="4">
        <v>2.0</v>
      </c>
      <c r="K1184" s="4">
        <v>2.0</v>
      </c>
      <c r="L1184" s="5" t="str">
        <f t="shared" ref="L1184:M1184" si="2370">IFS(J1184="-", "-", J1184=H1184, "Final", J1184=1, "Initial", J1184&gt;1, "Medial")</f>
        <v>Medial</v>
      </c>
      <c r="M1184" s="44" t="str">
        <f t="shared" si="2370"/>
        <v>Medial</v>
      </c>
      <c r="N1184" s="5" t="str">
        <f t="shared" si="5"/>
        <v>bi</v>
      </c>
      <c r="O1184" s="5" t="str">
        <f t="shared" si="6"/>
        <v>du</v>
      </c>
      <c r="P1184" s="5" t="str">
        <f t="shared" si="7"/>
        <v>vɨʃ</v>
      </c>
      <c r="Q1184" s="5" t="str">
        <f t="shared" si="8"/>
        <v>du</v>
      </c>
      <c r="R1184" s="5"/>
      <c r="S1184" s="3" t="s">
        <v>3363</v>
      </c>
      <c r="T1184" s="3" t="s">
        <v>3364</v>
      </c>
      <c r="U1184" s="3" t="s">
        <v>22</v>
      </c>
      <c r="V1184" s="5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</row>
    <row r="1185">
      <c r="A1185" s="3" t="s">
        <v>14</v>
      </c>
      <c r="B1185" s="3" t="s">
        <v>3359</v>
      </c>
      <c r="C1185" s="3" t="s">
        <v>3360</v>
      </c>
      <c r="D1185" s="3" t="s">
        <v>3361</v>
      </c>
      <c r="E1185" s="3" t="s">
        <v>3362</v>
      </c>
      <c r="F1185" s="3" t="s">
        <v>387</v>
      </c>
      <c r="G1185" s="3" t="s">
        <v>387</v>
      </c>
      <c r="H1185" s="43">
        <f t="shared" ref="H1185:I1185" si="2371">LEN(D1185)-LEN(B1185)+1</f>
        <v>3</v>
      </c>
      <c r="I1185" s="43">
        <f t="shared" si="2371"/>
        <v>3</v>
      </c>
      <c r="J1185" s="4">
        <v>3.0</v>
      </c>
      <c r="K1185" s="4">
        <v>3.0</v>
      </c>
      <c r="L1185" s="5" t="str">
        <f t="shared" ref="L1185:M1185" si="2372">IFS(J1185="-", "-", J1185=H1185, "Final", J1185=1, "Initial", J1185&gt;1, "Medial")</f>
        <v>Final</v>
      </c>
      <c r="M1185" s="44" t="str">
        <f t="shared" si="2372"/>
        <v>Final</v>
      </c>
      <c r="N1185" s="5" t="str">
        <f t="shared" si="5"/>
        <v>ˈʃi</v>
      </c>
      <c r="O1185" s="5">
        <f t="shared" si="6"/>
        <v>3</v>
      </c>
      <c r="P1185" s="5" t="str">
        <f t="shared" si="7"/>
        <v>ˈti</v>
      </c>
      <c r="Q1185" s="5">
        <f t="shared" si="8"/>
        <v>3</v>
      </c>
      <c r="R1185" s="5"/>
      <c r="S1185" s="3" t="s">
        <v>3363</v>
      </c>
      <c r="T1185" s="3" t="s">
        <v>3364</v>
      </c>
      <c r="U1185" s="3" t="s">
        <v>22</v>
      </c>
      <c r="V1185" s="5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>
      <c r="A1186" s="3" t="s">
        <v>14</v>
      </c>
      <c r="B1186" s="3" t="s">
        <v>3365</v>
      </c>
      <c r="C1186" s="3" t="s">
        <v>3366</v>
      </c>
      <c r="D1186" s="3" t="s">
        <v>3367</v>
      </c>
      <c r="E1186" s="3" t="s">
        <v>3368</v>
      </c>
      <c r="F1186" s="3" t="s">
        <v>3369</v>
      </c>
      <c r="G1186" s="3" t="s">
        <v>370</v>
      </c>
      <c r="H1186" s="43">
        <f t="shared" ref="H1186:I1186" si="2373">LEN(D1186)-LEN(B1186)+1</f>
        <v>2</v>
      </c>
      <c r="I1186" s="43">
        <f t="shared" si="2373"/>
        <v>2</v>
      </c>
      <c r="J1186" s="4">
        <v>1.0</v>
      </c>
      <c r="K1186" s="4">
        <v>1.0</v>
      </c>
      <c r="L1186" s="5" t="str">
        <f t="shared" ref="L1186:M1186" si="2374">IFS(J1186="-", "-", J1186=H1186, "Final", J1186=1, "Initial", J1186&gt;1, "Medial")</f>
        <v>Initial</v>
      </c>
      <c r="M1186" s="44" t="str">
        <f t="shared" si="2374"/>
        <v>Initial</v>
      </c>
      <c r="N1186" s="5" t="str">
        <f t="shared" si="5"/>
        <v>0</v>
      </c>
      <c r="O1186" s="5" t="str">
        <f t="shared" si="6"/>
        <v>tɐ</v>
      </c>
      <c r="P1186" s="5" t="str">
        <f t="shared" si="7"/>
        <v>0</v>
      </c>
      <c r="Q1186" s="5" t="str">
        <f t="shared" si="8"/>
        <v>tɐ</v>
      </c>
      <c r="R1186" s="5"/>
      <c r="S1186" s="3" t="s">
        <v>3370</v>
      </c>
      <c r="T1186" s="3" t="s">
        <v>3371</v>
      </c>
      <c r="U1186" s="3" t="s">
        <v>22</v>
      </c>
      <c r="V1186" s="5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>
      <c r="A1187" s="3" t="s">
        <v>14</v>
      </c>
      <c r="B1187" s="3" t="s">
        <v>3365</v>
      </c>
      <c r="C1187" s="3" t="s">
        <v>3366</v>
      </c>
      <c r="D1187" s="3" t="s">
        <v>3367</v>
      </c>
      <c r="E1187" s="3" t="s">
        <v>3368</v>
      </c>
      <c r="F1187" s="3" t="s">
        <v>238</v>
      </c>
      <c r="G1187" s="3" t="s">
        <v>238</v>
      </c>
      <c r="H1187" s="43">
        <f t="shared" ref="H1187:I1187" si="2375">LEN(D1187)-LEN(B1187)+1</f>
        <v>2</v>
      </c>
      <c r="I1187" s="43">
        <f t="shared" si="2375"/>
        <v>2</v>
      </c>
      <c r="J1187" s="4">
        <v>2.0</v>
      </c>
      <c r="K1187" s="4">
        <v>2.0</v>
      </c>
      <c r="L1187" s="5" t="str">
        <f t="shared" ref="L1187:M1187" si="2376">IFS(J1187="-", "-", J1187=H1187, "Final", J1187=1, "Initial", J1187&gt;1, "Medial")</f>
        <v>Final</v>
      </c>
      <c r="M1187" s="44" t="str">
        <f t="shared" si="2376"/>
        <v>Final</v>
      </c>
      <c r="N1187" s="5" t="str">
        <f t="shared" si="5"/>
        <v>ˈbɔ</v>
      </c>
      <c r="O1187" s="5">
        <f t="shared" si="6"/>
        <v>2</v>
      </c>
      <c r="P1187" s="5" t="str">
        <f t="shared" si="7"/>
        <v>ˈbo</v>
      </c>
      <c r="Q1187" s="5">
        <f t="shared" si="8"/>
        <v>2</v>
      </c>
      <c r="R1187" s="5"/>
      <c r="S1187" s="3" t="s">
        <v>3370</v>
      </c>
      <c r="T1187" s="3" t="s">
        <v>3371</v>
      </c>
      <c r="U1187" s="3" t="s">
        <v>22</v>
      </c>
      <c r="V1187" s="5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</row>
    <row r="1188">
      <c r="A1188" s="3" t="s">
        <v>14</v>
      </c>
      <c r="B1188" s="3" t="s">
        <v>3372</v>
      </c>
      <c r="C1188" s="3" t="s">
        <v>3373</v>
      </c>
      <c r="D1188" s="3" t="s">
        <v>3374</v>
      </c>
      <c r="E1188" s="3" t="s">
        <v>3375</v>
      </c>
      <c r="F1188" s="3" t="s">
        <v>108</v>
      </c>
      <c r="G1188" s="3" t="s">
        <v>175</v>
      </c>
      <c r="H1188" s="43">
        <f t="shared" ref="H1188:I1188" si="2377">LEN(D1188)-LEN(B1188)+1</f>
        <v>3</v>
      </c>
      <c r="I1188" s="43">
        <f t="shared" si="2377"/>
        <v>3</v>
      </c>
      <c r="J1188" s="4">
        <v>1.0</v>
      </c>
      <c r="K1188" s="4">
        <v>1.0</v>
      </c>
      <c r="L1188" s="5" t="str">
        <f t="shared" ref="L1188:M1188" si="2378">IFS(J1188="-", "-", J1188=H1188, "Final", J1188=1, "Initial", J1188&gt;1, "Medial")</f>
        <v>Initial</v>
      </c>
      <c r="M1188" s="44" t="str">
        <f t="shared" si="2378"/>
        <v>Initial</v>
      </c>
      <c r="N1188" s="5" t="str">
        <f t="shared" si="5"/>
        <v>0</v>
      </c>
      <c r="O1188" s="5" t="str">
        <f t="shared" si="6"/>
        <v>ˈmi</v>
      </c>
      <c r="P1188" s="5" t="str">
        <f t="shared" si="7"/>
        <v>0</v>
      </c>
      <c r="Q1188" s="5" t="str">
        <f t="shared" si="8"/>
        <v>ˈmi</v>
      </c>
      <c r="R1188" s="5"/>
      <c r="S1188" s="3" t="s">
        <v>3376</v>
      </c>
      <c r="T1188" s="3" t="s">
        <v>3377</v>
      </c>
      <c r="U1188" s="3" t="s">
        <v>22</v>
      </c>
      <c r="V1188" s="5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</row>
    <row r="1189">
      <c r="A1189" s="3" t="s">
        <v>14</v>
      </c>
      <c r="B1189" s="3" t="s">
        <v>3372</v>
      </c>
      <c r="C1189" s="3" t="s">
        <v>3373</v>
      </c>
      <c r="D1189" s="3" t="s">
        <v>3374</v>
      </c>
      <c r="E1189" s="3" t="s">
        <v>3375</v>
      </c>
      <c r="F1189" s="3" t="s">
        <v>918</v>
      </c>
      <c r="G1189" s="3" t="s">
        <v>918</v>
      </c>
      <c r="H1189" s="43">
        <f t="shared" ref="H1189:I1189" si="2379">LEN(D1189)-LEN(B1189)+1</f>
        <v>3</v>
      </c>
      <c r="I1189" s="43">
        <f t="shared" si="2379"/>
        <v>3</v>
      </c>
      <c r="J1189" s="4">
        <v>2.0</v>
      </c>
      <c r="K1189" s="4">
        <v>2.0</v>
      </c>
      <c r="L1189" s="5" t="str">
        <f t="shared" ref="L1189:M1189" si="2380">IFS(J1189="-", "-", J1189=H1189, "Final", J1189=1, "Initial", J1189&gt;1, "Medial")</f>
        <v>Medial</v>
      </c>
      <c r="M1189" s="44" t="str">
        <f t="shared" si="2380"/>
        <v>Medial</v>
      </c>
      <c r="N1189" s="5" t="str">
        <f t="shared" si="5"/>
        <v>ka</v>
      </c>
      <c r="O1189" s="5" t="str">
        <f t="shared" si="6"/>
        <v>zɐ</v>
      </c>
      <c r="P1189" s="5" t="str">
        <f t="shared" si="7"/>
        <v>kɐ</v>
      </c>
      <c r="Q1189" s="5" t="str">
        <f t="shared" si="8"/>
        <v>zɐ</v>
      </c>
      <c r="R1189" s="5"/>
      <c r="S1189" s="3" t="s">
        <v>3376</v>
      </c>
      <c r="T1189" s="3" t="s">
        <v>3377</v>
      </c>
      <c r="U1189" s="3" t="s">
        <v>22</v>
      </c>
      <c r="V1189" s="5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</row>
    <row r="1190">
      <c r="A1190" s="3" t="s">
        <v>14</v>
      </c>
      <c r="B1190" s="3" t="s">
        <v>3372</v>
      </c>
      <c r="C1190" s="3" t="s">
        <v>3373</v>
      </c>
      <c r="D1190" s="3" t="s">
        <v>3374</v>
      </c>
      <c r="E1190" s="3" t="s">
        <v>3375</v>
      </c>
      <c r="F1190" s="3" t="s">
        <v>296</v>
      </c>
      <c r="G1190" s="3" t="s">
        <v>296</v>
      </c>
      <c r="H1190" s="43">
        <f t="shared" ref="H1190:I1190" si="2381">LEN(D1190)-LEN(B1190)+1</f>
        <v>3</v>
      </c>
      <c r="I1190" s="43">
        <f t="shared" si="2381"/>
        <v>3</v>
      </c>
      <c r="J1190" s="4">
        <v>3.0</v>
      </c>
      <c r="K1190" s="4">
        <v>3.0</v>
      </c>
      <c r="L1190" s="5" t="str">
        <f t="shared" ref="L1190:M1190" si="2382">IFS(J1190="-", "-", J1190=H1190, "Final", J1190=1, "Initial", J1190&gt;1, "Medial")</f>
        <v>Final</v>
      </c>
      <c r="M1190" s="44" t="str">
        <f t="shared" si="2382"/>
        <v>Final</v>
      </c>
      <c r="N1190" s="5" t="str">
        <f t="shared" si="5"/>
        <v>ˈmi</v>
      </c>
      <c r="O1190" s="5">
        <f t="shared" si="6"/>
        <v>3</v>
      </c>
      <c r="P1190" s="5" t="str">
        <f t="shared" si="7"/>
        <v>ˈmi</v>
      </c>
      <c r="Q1190" s="5">
        <f t="shared" si="8"/>
        <v>3</v>
      </c>
      <c r="R1190" s="5"/>
      <c r="S1190" s="3" t="s">
        <v>3376</v>
      </c>
      <c r="T1190" s="3" t="s">
        <v>3377</v>
      </c>
      <c r="U1190" s="3" t="s">
        <v>22</v>
      </c>
      <c r="V1190" s="5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</row>
    <row r="1191">
      <c r="A1191" s="3" t="s">
        <v>14</v>
      </c>
      <c r="B1191" s="3" t="s">
        <v>3378</v>
      </c>
      <c r="C1191" s="3" t="s">
        <v>3379</v>
      </c>
      <c r="D1191" s="3" t="s">
        <v>3380</v>
      </c>
      <c r="E1191" s="3" t="s">
        <v>3381</v>
      </c>
      <c r="F1191" s="3" t="s">
        <v>108</v>
      </c>
      <c r="G1191" s="3" t="s">
        <v>109</v>
      </c>
      <c r="H1191" s="43">
        <f t="shared" ref="H1191:I1191" si="2383">LEN(D1191)-LEN(B1191)+1</f>
        <v>3</v>
      </c>
      <c r="I1191" s="43">
        <f t="shared" si="2383"/>
        <v>2</v>
      </c>
      <c r="J1191" s="4">
        <v>1.0</v>
      </c>
      <c r="K1191" s="4">
        <v>1.0</v>
      </c>
      <c r="L1191" s="5" t="str">
        <f t="shared" ref="L1191:M1191" si="2384">IFS(J1191="-", "-", J1191=H1191, "Final", J1191=1, "Initial", J1191&gt;1, "Medial")</f>
        <v>Initial</v>
      </c>
      <c r="M1191" s="44" t="str">
        <f t="shared" si="2384"/>
        <v>Initial</v>
      </c>
      <c r="N1191" s="5" t="str">
        <f t="shared" si="5"/>
        <v>0</v>
      </c>
      <c r="O1191" s="5" t="str">
        <f t="shared" si="6"/>
        <v>li</v>
      </c>
      <c r="P1191" s="5" t="str">
        <f t="shared" si="7"/>
        <v>0</v>
      </c>
      <c r="Q1191" s="5" t="str">
        <f t="shared" si="8"/>
        <v>-</v>
      </c>
      <c r="R1191" s="3" t="s">
        <v>72</v>
      </c>
      <c r="S1191" s="3" t="s">
        <v>3382</v>
      </c>
      <c r="T1191" s="3" t="s">
        <v>3383</v>
      </c>
      <c r="U1191" s="3" t="s">
        <v>22</v>
      </c>
      <c r="V1191" s="5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>
      <c r="A1192" s="3" t="s">
        <v>14</v>
      </c>
      <c r="B1192" s="3" t="s">
        <v>3378</v>
      </c>
      <c r="C1192" s="3" t="s">
        <v>3379</v>
      </c>
      <c r="D1192" s="3" t="s">
        <v>3380</v>
      </c>
      <c r="E1192" s="3" t="s">
        <v>3381</v>
      </c>
      <c r="F1192" s="3" t="s">
        <v>197</v>
      </c>
      <c r="G1192" s="3" t="s">
        <v>36</v>
      </c>
      <c r="H1192" s="43">
        <f t="shared" ref="H1192:I1192" si="2385">LEN(D1192)-LEN(B1192)+1</f>
        <v>3</v>
      </c>
      <c r="I1192" s="43">
        <f t="shared" si="2385"/>
        <v>2</v>
      </c>
      <c r="J1192" s="4">
        <v>2.0</v>
      </c>
      <c r="K1192" s="4" t="s">
        <v>36</v>
      </c>
      <c r="L1192" s="5" t="str">
        <f t="shared" ref="L1192:M1192" si="2386">IFS(J1192="-", "-", J1192=H1192, "Final", J1192=1, "Initial", J1192&gt;1, "Medial")</f>
        <v>Medial</v>
      </c>
      <c r="M1192" s="44" t="str">
        <f t="shared" si="2386"/>
        <v>-</v>
      </c>
      <c r="N1192" s="5" t="str">
        <f t="shared" si="5"/>
        <v>ka</v>
      </c>
      <c r="O1192" s="5" t="str">
        <f t="shared" si="6"/>
        <v>ˈsɐ̃</v>
      </c>
      <c r="P1192" s="5" t="str">
        <f t="shared" si="7"/>
        <v>kal</v>
      </c>
      <c r="Q1192" s="5" t="str">
        <f t="shared" si="8"/>
        <v>ˈsɐ̃w̃</v>
      </c>
      <c r="R1192" s="5"/>
      <c r="S1192" s="3" t="s">
        <v>3382</v>
      </c>
      <c r="T1192" s="3" t="s">
        <v>3383</v>
      </c>
      <c r="U1192" s="3" t="s">
        <v>22</v>
      </c>
      <c r="V1192" s="5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>
      <c r="A1193" s="3" t="s">
        <v>14</v>
      </c>
      <c r="B1193" s="3" t="s">
        <v>3378</v>
      </c>
      <c r="C1193" s="3" t="s">
        <v>3379</v>
      </c>
      <c r="D1193" s="3" t="s">
        <v>3380</v>
      </c>
      <c r="E1193" s="3" t="s">
        <v>3381</v>
      </c>
      <c r="F1193" s="3" t="s">
        <v>181</v>
      </c>
      <c r="G1193" s="3" t="s">
        <v>428</v>
      </c>
      <c r="H1193" s="43">
        <f t="shared" ref="H1193:I1193" si="2387">LEN(D1193)-LEN(B1193)+1</f>
        <v>3</v>
      </c>
      <c r="I1193" s="43">
        <f t="shared" si="2387"/>
        <v>2</v>
      </c>
      <c r="J1193" s="4">
        <v>3.0</v>
      </c>
      <c r="K1193" s="4">
        <v>2.0</v>
      </c>
      <c r="L1193" s="5" t="str">
        <f t="shared" ref="L1193:M1193" si="2388">IFS(J1193="-", "-", J1193=H1193, "Final", J1193=1, "Initial", J1193&gt;1, "Medial")</f>
        <v>Final</v>
      </c>
      <c r="M1193" s="44" t="str">
        <f t="shared" si="2388"/>
        <v>Final</v>
      </c>
      <c r="N1193" s="5" t="str">
        <f t="shared" si="5"/>
        <v>li</v>
      </c>
      <c r="O1193" s="5">
        <f t="shared" si="6"/>
        <v>3</v>
      </c>
      <c r="P1193" s="5" t="str">
        <f t="shared" si="7"/>
        <v>-</v>
      </c>
      <c r="Q1193" s="5">
        <f t="shared" si="8"/>
        <v>2</v>
      </c>
      <c r="R1193" s="3"/>
      <c r="S1193" s="3" t="s">
        <v>3382</v>
      </c>
      <c r="T1193" s="3" t="s">
        <v>3383</v>
      </c>
      <c r="U1193" s="3" t="s">
        <v>22</v>
      </c>
      <c r="V1193" s="5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</row>
    <row r="1194">
      <c r="A1194" s="3" t="s">
        <v>14</v>
      </c>
      <c r="B1194" s="3" t="s">
        <v>3384</v>
      </c>
      <c r="C1194" s="3" t="s">
        <v>3385</v>
      </c>
      <c r="D1194" s="3" t="s">
        <v>3386</v>
      </c>
      <c r="E1194" s="3" t="s">
        <v>3387</v>
      </c>
      <c r="F1194" s="3" t="s">
        <v>194</v>
      </c>
      <c r="G1194" s="3" t="s">
        <v>810</v>
      </c>
      <c r="H1194" s="43">
        <f t="shared" ref="H1194:I1194" si="2389">LEN(D1194)-LEN(B1194)+1</f>
        <v>2</v>
      </c>
      <c r="I1194" s="43">
        <f t="shared" si="2389"/>
        <v>2</v>
      </c>
      <c r="J1194" s="4">
        <v>1.0</v>
      </c>
      <c r="K1194" s="4">
        <v>1.0</v>
      </c>
      <c r="L1194" s="5" t="str">
        <f t="shared" ref="L1194:M1194" si="2390">IFS(J1194="-", "-", J1194=H1194, "Final", J1194=1, "Initial", J1194&gt;1, "Medial")</f>
        <v>Initial</v>
      </c>
      <c r="M1194" s="44" t="str">
        <f t="shared" si="2390"/>
        <v>Initial</v>
      </c>
      <c r="N1194" s="5" t="str">
        <f t="shared" si="5"/>
        <v>0</v>
      </c>
      <c r="O1194" s="5" t="str">
        <f t="shared" si="6"/>
        <v>jɐ</v>
      </c>
      <c r="P1194" s="5" t="str">
        <f t="shared" si="7"/>
        <v>0</v>
      </c>
      <c r="Q1194" s="5" t="str">
        <f t="shared" si="8"/>
        <v>ɐ</v>
      </c>
      <c r="R1194" s="5"/>
      <c r="S1194" s="3" t="s">
        <v>3388</v>
      </c>
      <c r="T1194" s="3" t="s">
        <v>3389</v>
      </c>
      <c r="U1194" s="3" t="s">
        <v>22</v>
      </c>
      <c r="V1194" s="5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>
      <c r="A1195" s="3" t="s">
        <v>14</v>
      </c>
      <c r="B1195" s="3" t="s">
        <v>3384</v>
      </c>
      <c r="C1195" s="3" t="s">
        <v>3385</v>
      </c>
      <c r="D1195" s="3" t="s">
        <v>3386</v>
      </c>
      <c r="E1195" s="3" t="s">
        <v>3387</v>
      </c>
      <c r="F1195" s="3" t="s">
        <v>840</v>
      </c>
      <c r="G1195" s="3" t="s">
        <v>49</v>
      </c>
      <c r="H1195" s="43">
        <f t="shared" ref="H1195:I1195" si="2391">LEN(D1195)-LEN(B1195)+1</f>
        <v>2</v>
      </c>
      <c r="I1195" s="43">
        <f t="shared" si="2391"/>
        <v>2</v>
      </c>
      <c r="J1195" s="4">
        <v>2.0</v>
      </c>
      <c r="K1195" s="4">
        <v>2.0</v>
      </c>
      <c r="L1195" s="5" t="str">
        <f t="shared" ref="L1195:M1195" si="2392">IFS(J1195="-", "-", J1195=H1195, "Final", J1195=1, "Initial", J1195&gt;1, "Medial")</f>
        <v>Final</v>
      </c>
      <c r="M1195" s="44" t="str">
        <f t="shared" si="2392"/>
        <v>Final</v>
      </c>
      <c r="N1195" s="5" t="str">
        <f t="shared" si="5"/>
        <v>ˈmɛ</v>
      </c>
      <c r="O1195" s="5">
        <f t="shared" si="6"/>
        <v>2</v>
      </c>
      <c r="P1195" s="5" t="str">
        <f t="shared" si="7"/>
        <v>ˈmɐj</v>
      </c>
      <c r="Q1195" s="5">
        <f t="shared" si="8"/>
        <v>2</v>
      </c>
      <c r="R1195" s="5"/>
      <c r="S1195" s="3" t="s">
        <v>3388</v>
      </c>
      <c r="T1195" s="3" t="s">
        <v>3389</v>
      </c>
      <c r="U1195" s="3" t="s">
        <v>22</v>
      </c>
      <c r="V1195" s="5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>
      <c r="A1196" s="3" t="s">
        <v>14</v>
      </c>
      <c r="B1196" s="3" t="s">
        <v>3390</v>
      </c>
      <c r="C1196" s="3" t="s">
        <v>3391</v>
      </c>
      <c r="D1196" s="3" t="s">
        <v>3392</v>
      </c>
      <c r="E1196" s="3" t="s">
        <v>3393</v>
      </c>
      <c r="F1196" s="3" t="s">
        <v>614</v>
      </c>
      <c r="G1196" s="3" t="s">
        <v>1032</v>
      </c>
      <c r="H1196" s="43">
        <f t="shared" ref="H1196:I1196" si="2393">LEN(D1196)-LEN(B1196)+1</f>
        <v>2</v>
      </c>
      <c r="I1196" s="43">
        <f t="shared" si="2393"/>
        <v>2</v>
      </c>
      <c r="J1196" s="4">
        <v>1.0</v>
      </c>
      <c r="K1196" s="4">
        <v>1.0</v>
      </c>
      <c r="L1196" s="5" t="str">
        <f t="shared" ref="L1196:M1196" si="2394">IFS(J1196="-", "-", J1196=H1196, "Final", J1196=1, "Initial", J1196&gt;1, "Medial")</f>
        <v>Initial</v>
      </c>
      <c r="M1196" s="44" t="str">
        <f t="shared" si="2394"/>
        <v>Initial</v>
      </c>
      <c r="N1196" s="5" t="str">
        <f t="shared" si="5"/>
        <v>0</v>
      </c>
      <c r="O1196" s="5" t="str">
        <f t="shared" si="6"/>
        <v>jɐ</v>
      </c>
      <c r="P1196" s="5" t="str">
        <f t="shared" si="7"/>
        <v>0</v>
      </c>
      <c r="Q1196" s="5" t="str">
        <f t="shared" si="8"/>
        <v>jɐ</v>
      </c>
      <c r="R1196" s="5"/>
      <c r="S1196" s="3" t="s">
        <v>3394</v>
      </c>
      <c r="T1196" s="3" t="s">
        <v>3395</v>
      </c>
      <c r="U1196" s="3" t="s">
        <v>22</v>
      </c>
      <c r="V1196" s="5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>
      <c r="A1197" s="3" t="s">
        <v>14</v>
      </c>
      <c r="B1197" s="3" t="s">
        <v>3390</v>
      </c>
      <c r="C1197" s="3" t="s">
        <v>3391</v>
      </c>
      <c r="D1197" s="3" t="s">
        <v>3392</v>
      </c>
      <c r="E1197" s="3" t="s">
        <v>3393</v>
      </c>
      <c r="F1197" s="3" t="s">
        <v>840</v>
      </c>
      <c r="G1197" s="3" t="s">
        <v>840</v>
      </c>
      <c r="H1197" s="43">
        <f t="shared" ref="H1197:I1197" si="2395">LEN(D1197)-LEN(B1197)+1</f>
        <v>2</v>
      </c>
      <c r="I1197" s="43">
        <f t="shared" si="2395"/>
        <v>2</v>
      </c>
      <c r="J1197" s="4">
        <v>2.0</v>
      </c>
      <c r="K1197" s="4">
        <v>2.0</v>
      </c>
      <c r="L1197" s="5" t="str">
        <f t="shared" ref="L1197:M1197" si="2396">IFS(J1197="-", "-", J1197=H1197, "Final", J1197=1, "Initial", J1197&gt;1, "Medial")</f>
        <v>Final</v>
      </c>
      <c r="M1197" s="44" t="str">
        <f t="shared" si="2396"/>
        <v>Final</v>
      </c>
      <c r="N1197" s="5" t="str">
        <f t="shared" si="5"/>
        <v>ˈsɛ</v>
      </c>
      <c r="O1197" s="5">
        <f t="shared" si="6"/>
        <v>2</v>
      </c>
      <c r="P1197" s="5" t="str">
        <f t="shared" si="7"/>
        <v>ˈsa</v>
      </c>
      <c r="Q1197" s="5">
        <f t="shared" si="8"/>
        <v>2</v>
      </c>
      <c r="R1197" s="5"/>
      <c r="S1197" s="3" t="s">
        <v>3394</v>
      </c>
      <c r="T1197" s="3" t="s">
        <v>3395</v>
      </c>
      <c r="U1197" s="3" t="s">
        <v>22</v>
      </c>
      <c r="V1197" s="5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>
      <c r="A1198" s="3" t="s">
        <v>14</v>
      </c>
      <c r="B1198" s="3" t="s">
        <v>3396</v>
      </c>
      <c r="C1198" s="3" t="s">
        <v>3397</v>
      </c>
      <c r="D1198" s="3" t="s">
        <v>3398</v>
      </c>
      <c r="E1198" s="3" t="s">
        <v>3399</v>
      </c>
      <c r="F1198" s="3" t="s">
        <v>244</v>
      </c>
      <c r="G1198" s="3" t="s">
        <v>1686</v>
      </c>
      <c r="H1198" s="43">
        <f t="shared" ref="H1198:I1198" si="2397">LEN(D1198)-LEN(B1198)+1</f>
        <v>2</v>
      </c>
      <c r="I1198" s="43">
        <f t="shared" si="2397"/>
        <v>2</v>
      </c>
      <c r="J1198" s="4">
        <v>1.0</v>
      </c>
      <c r="K1198" s="4">
        <v>1.0</v>
      </c>
      <c r="L1198" s="5" t="str">
        <f t="shared" ref="L1198:M1198" si="2398">IFS(J1198="-", "-", J1198=H1198, "Final", J1198=1, "Initial", J1198&gt;1, "Medial")</f>
        <v>Initial</v>
      </c>
      <c r="M1198" s="44" t="str">
        <f t="shared" si="2398"/>
        <v>Initial</v>
      </c>
      <c r="N1198" s="5" t="str">
        <f t="shared" si="5"/>
        <v>0</v>
      </c>
      <c r="O1198" s="5" t="str">
        <f t="shared" si="6"/>
        <v>ˈpɛ</v>
      </c>
      <c r="P1198" s="5" t="str">
        <f t="shared" si="7"/>
        <v>0</v>
      </c>
      <c r="Q1198" s="5" t="str">
        <f t="shared" si="8"/>
        <v>ˈpɛw</v>
      </c>
      <c r="R1198" s="5"/>
      <c r="S1198" s="3" t="s">
        <v>3400</v>
      </c>
      <c r="T1198" s="3" t="s">
        <v>3401</v>
      </c>
      <c r="U1198" s="3" t="s">
        <v>22</v>
      </c>
      <c r="V1198" s="5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>
      <c r="A1199" s="3" t="s">
        <v>14</v>
      </c>
      <c r="B1199" s="3" t="s">
        <v>3396</v>
      </c>
      <c r="C1199" s="3" t="s">
        <v>3397</v>
      </c>
      <c r="D1199" s="3" t="s">
        <v>3398</v>
      </c>
      <c r="E1199" s="3" t="s">
        <v>3399</v>
      </c>
      <c r="F1199" s="3" t="s">
        <v>469</v>
      </c>
      <c r="G1199" s="3" t="s">
        <v>3402</v>
      </c>
      <c r="H1199" s="43">
        <f t="shared" ref="H1199:I1199" si="2399">LEN(D1199)-LEN(B1199)+1</f>
        <v>2</v>
      </c>
      <c r="I1199" s="43">
        <f t="shared" si="2399"/>
        <v>2</v>
      </c>
      <c r="J1199" s="4">
        <v>2.0</v>
      </c>
      <c r="K1199" s="4">
        <v>2.0</v>
      </c>
      <c r="L1199" s="5" t="str">
        <f t="shared" ref="L1199:M1199" si="2400">IFS(J1199="-", "-", J1199=H1199, "Final", J1199=1, "Initial", J1199&gt;1, "Medial")</f>
        <v>Final</v>
      </c>
      <c r="M1199" s="44" t="str">
        <f t="shared" si="2400"/>
        <v>Final</v>
      </c>
      <c r="N1199" s="5" t="str">
        <f t="shared" si="5"/>
        <v>sa</v>
      </c>
      <c r="O1199" s="5">
        <f t="shared" si="6"/>
        <v>2</v>
      </c>
      <c r="P1199" s="5" t="str">
        <f t="shared" si="7"/>
        <v>t̠ʃɐ</v>
      </c>
      <c r="Q1199" s="5">
        <f t="shared" si="8"/>
        <v>2</v>
      </c>
      <c r="R1199" s="5"/>
      <c r="S1199" s="3" t="s">
        <v>3400</v>
      </c>
      <c r="T1199" s="3" t="s">
        <v>3401</v>
      </c>
      <c r="U1199" s="3" t="s">
        <v>22</v>
      </c>
      <c r="V1199" s="5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>
      <c r="A1200" s="3" t="s">
        <v>14</v>
      </c>
      <c r="B1200" s="3" t="s">
        <v>3403</v>
      </c>
      <c r="C1200" s="3" t="s">
        <v>3404</v>
      </c>
      <c r="D1200" s="3" t="s">
        <v>3405</v>
      </c>
      <c r="E1200" s="3" t="s">
        <v>3406</v>
      </c>
      <c r="F1200" s="3" t="s">
        <v>614</v>
      </c>
      <c r="G1200" s="3" t="s">
        <v>615</v>
      </c>
      <c r="H1200" s="43">
        <f t="shared" ref="H1200:I1200" si="2401">LEN(D1200)-LEN(B1200)+1</f>
        <v>2</v>
      </c>
      <c r="I1200" s="43">
        <f t="shared" si="2401"/>
        <v>2</v>
      </c>
      <c r="J1200" s="4">
        <v>1.0</v>
      </c>
      <c r="K1200" s="4">
        <v>1.0</v>
      </c>
      <c r="L1200" s="5" t="str">
        <f t="shared" ref="L1200:M1200" si="2402">IFS(J1200="-", "-", J1200=H1200, "Final", J1200=1, "Initial", J1200&gt;1, "Medial")</f>
        <v>Initial</v>
      </c>
      <c r="M1200" s="44" t="str">
        <f t="shared" si="2402"/>
        <v>Initial</v>
      </c>
      <c r="N1200" s="5" t="str">
        <f t="shared" si="5"/>
        <v>0</v>
      </c>
      <c r="O1200" s="5" t="str">
        <f t="shared" si="6"/>
        <v>dɐ</v>
      </c>
      <c r="P1200" s="5" t="str">
        <f t="shared" si="7"/>
        <v>0</v>
      </c>
      <c r="Q1200" s="5" t="str">
        <f t="shared" si="8"/>
        <v>dɐ</v>
      </c>
      <c r="R1200" s="5"/>
      <c r="S1200" s="3" t="s">
        <v>3407</v>
      </c>
      <c r="T1200" s="3" t="s">
        <v>3408</v>
      </c>
      <c r="U1200" s="3" t="s">
        <v>22</v>
      </c>
      <c r="V1200" s="5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>
      <c r="A1201" s="3" t="s">
        <v>14</v>
      </c>
      <c r="B1201" s="3" t="s">
        <v>3403</v>
      </c>
      <c r="C1201" s="3" t="s">
        <v>3404</v>
      </c>
      <c r="D1201" s="3" t="s">
        <v>3405</v>
      </c>
      <c r="E1201" s="3" t="s">
        <v>3406</v>
      </c>
      <c r="F1201" s="3" t="s">
        <v>116</v>
      </c>
      <c r="G1201" s="3" t="s">
        <v>116</v>
      </c>
      <c r="H1201" s="43">
        <f t="shared" ref="H1201:I1201" si="2403">LEN(D1201)-LEN(B1201)+1</f>
        <v>2</v>
      </c>
      <c r="I1201" s="43">
        <f t="shared" si="2403"/>
        <v>2</v>
      </c>
      <c r="J1201" s="4">
        <v>2.0</v>
      </c>
      <c r="K1201" s="4">
        <v>2.0</v>
      </c>
      <c r="L1201" s="5" t="str">
        <f t="shared" ref="L1201:M1201" si="2404">IFS(J1201="-", "-", J1201=H1201, "Final", J1201=1, "Initial", J1201&gt;1, "Medial")</f>
        <v>Final</v>
      </c>
      <c r="M1201" s="44" t="str">
        <f t="shared" si="2404"/>
        <v>Final</v>
      </c>
      <c r="N1201" s="5" t="str">
        <f t="shared" si="5"/>
        <v>ˈsɛ</v>
      </c>
      <c r="O1201" s="5">
        <f t="shared" si="6"/>
        <v>2</v>
      </c>
      <c r="P1201" s="5" t="str">
        <f t="shared" si="7"/>
        <v>ˈse</v>
      </c>
      <c r="Q1201" s="5">
        <f t="shared" si="8"/>
        <v>2</v>
      </c>
      <c r="R1201" s="5"/>
      <c r="S1201" s="3" t="s">
        <v>3407</v>
      </c>
      <c r="T1201" s="3" t="s">
        <v>3408</v>
      </c>
      <c r="U1201" s="3" t="s">
        <v>22</v>
      </c>
      <c r="V1201" s="5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>
      <c r="A1202" s="3" t="s">
        <v>14</v>
      </c>
      <c r="B1202" s="3" t="s">
        <v>3409</v>
      </c>
      <c r="C1202" s="3" t="s">
        <v>3410</v>
      </c>
      <c r="D1202" s="3" t="s">
        <v>3411</v>
      </c>
      <c r="E1202" s="3" t="s">
        <v>3412</v>
      </c>
      <c r="F1202" s="3" t="s">
        <v>55</v>
      </c>
      <c r="G1202" s="3" t="s">
        <v>56</v>
      </c>
      <c r="H1202" s="43">
        <f t="shared" ref="H1202:I1202" si="2405">LEN(D1202)-LEN(B1202)+1</f>
        <v>3</v>
      </c>
      <c r="I1202" s="43">
        <f t="shared" si="2405"/>
        <v>3</v>
      </c>
      <c r="J1202" s="4">
        <v>1.0</v>
      </c>
      <c r="K1202" s="4">
        <v>1.0</v>
      </c>
      <c r="L1202" s="5" t="str">
        <f t="shared" ref="L1202:M1202" si="2406">IFS(J1202="-", "-", J1202=H1202, "Final", J1202=1, "Initial", J1202&gt;1, "Medial")</f>
        <v>Initial</v>
      </c>
      <c r="M1202" s="44" t="str">
        <f t="shared" si="2406"/>
        <v>Initial</v>
      </c>
      <c r="N1202" s="5" t="str">
        <f t="shared" si="5"/>
        <v>0</v>
      </c>
      <c r="O1202" s="5" t="str">
        <f t="shared" si="6"/>
        <v>ˈʃi</v>
      </c>
      <c r="P1202" s="5" t="str">
        <f t="shared" si="7"/>
        <v>0</v>
      </c>
      <c r="Q1202" s="5" t="str">
        <f t="shared" si="8"/>
        <v>ˈsi</v>
      </c>
      <c r="R1202" s="5"/>
      <c r="S1202" s="3" t="s">
        <v>3413</v>
      </c>
      <c r="T1202" s="3" t="s">
        <v>3414</v>
      </c>
      <c r="U1202" s="3" t="s">
        <v>22</v>
      </c>
      <c r="V1202" s="5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>
      <c r="A1203" s="3" t="s">
        <v>14</v>
      </c>
      <c r="B1203" s="3" t="s">
        <v>3409</v>
      </c>
      <c r="C1203" s="3" t="s">
        <v>3410</v>
      </c>
      <c r="D1203" s="3" t="s">
        <v>3411</v>
      </c>
      <c r="E1203" s="3" t="s">
        <v>3412</v>
      </c>
      <c r="F1203" s="3" t="s">
        <v>214</v>
      </c>
      <c r="G1203" s="3" t="s">
        <v>3321</v>
      </c>
      <c r="H1203" s="43">
        <f t="shared" ref="H1203:I1203" si="2407">LEN(D1203)-LEN(B1203)+1</f>
        <v>3</v>
      </c>
      <c r="I1203" s="43">
        <f t="shared" si="2407"/>
        <v>3</v>
      </c>
      <c r="J1203" s="4">
        <v>2.0</v>
      </c>
      <c r="K1203" s="4">
        <v>2.0</v>
      </c>
      <c r="L1203" s="5" t="str">
        <f t="shared" ref="L1203:M1203" si="2408">IFS(J1203="-", "-", J1203=H1203, "Final", J1203=1, "Initial", J1203&gt;1, "Medial")</f>
        <v>Medial</v>
      </c>
      <c r="M1203" s="44" t="str">
        <f t="shared" si="2408"/>
        <v>Medial</v>
      </c>
      <c r="N1203" s="5" t="str">
        <f t="shared" si="5"/>
        <v>t̠ʃi</v>
      </c>
      <c r="O1203" s="5" t="str">
        <f t="shared" si="6"/>
        <v>du</v>
      </c>
      <c r="P1203" s="5" t="str">
        <f t="shared" si="7"/>
        <v>tɨ</v>
      </c>
      <c r="Q1203" s="5" t="str">
        <f t="shared" si="8"/>
        <v>du</v>
      </c>
      <c r="R1203" s="5"/>
      <c r="S1203" s="3" t="s">
        <v>3413</v>
      </c>
      <c r="T1203" s="3" t="s">
        <v>3414</v>
      </c>
      <c r="U1203" s="3" t="s">
        <v>22</v>
      </c>
      <c r="V1203" s="5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>
      <c r="A1204" s="3" t="s">
        <v>14</v>
      </c>
      <c r="B1204" s="3" t="s">
        <v>3409</v>
      </c>
      <c r="C1204" s="3" t="s">
        <v>3410</v>
      </c>
      <c r="D1204" s="3" t="s">
        <v>3411</v>
      </c>
      <c r="E1204" s="3" t="s">
        <v>3412</v>
      </c>
      <c r="F1204" s="3" t="s">
        <v>387</v>
      </c>
      <c r="G1204" s="3" t="s">
        <v>387</v>
      </c>
      <c r="H1204" s="43">
        <f t="shared" ref="H1204:I1204" si="2409">LEN(D1204)-LEN(B1204)+1</f>
        <v>3</v>
      </c>
      <c r="I1204" s="43">
        <f t="shared" si="2409"/>
        <v>3</v>
      </c>
      <c r="J1204" s="4">
        <v>3.0</v>
      </c>
      <c r="K1204" s="4">
        <v>3.0</v>
      </c>
      <c r="L1204" s="5" t="str">
        <f t="shared" ref="L1204:M1204" si="2410">IFS(J1204="-", "-", J1204=H1204, "Final", J1204=1, "Initial", J1204&gt;1, "Medial")</f>
        <v>Final</v>
      </c>
      <c r="M1204" s="44" t="str">
        <f t="shared" si="2410"/>
        <v>Final</v>
      </c>
      <c r="N1204" s="5" t="str">
        <f t="shared" si="5"/>
        <v>ˈʃi</v>
      </c>
      <c r="O1204" s="5">
        <f t="shared" si="6"/>
        <v>3</v>
      </c>
      <c r="P1204" s="5" t="str">
        <f t="shared" si="7"/>
        <v>ˈsi</v>
      </c>
      <c r="Q1204" s="5">
        <f t="shared" si="8"/>
        <v>3</v>
      </c>
      <c r="R1204" s="5"/>
      <c r="S1204" s="3" t="s">
        <v>3413</v>
      </c>
      <c r="T1204" s="3" t="s">
        <v>3414</v>
      </c>
      <c r="U1204" s="3" t="s">
        <v>22</v>
      </c>
      <c r="V1204" s="5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>
      <c r="A1205" s="15" t="s">
        <v>14</v>
      </c>
      <c r="B1205" s="15" t="s">
        <v>3415</v>
      </c>
      <c r="C1205" s="15" t="s">
        <v>3416</v>
      </c>
      <c r="D1205" s="15" t="s">
        <v>3417</v>
      </c>
      <c r="E1205" s="15" t="s">
        <v>3418</v>
      </c>
      <c r="F1205" s="15" t="s">
        <v>19</v>
      </c>
      <c r="G1205" s="15" t="s">
        <v>19</v>
      </c>
      <c r="H1205" s="43">
        <f t="shared" ref="H1205:I1205" si="2411">LEN(D1205)-LEN(B1205)+1</f>
        <v>3</v>
      </c>
      <c r="I1205" s="43">
        <f t="shared" si="2411"/>
        <v>3</v>
      </c>
      <c r="J1205" s="18">
        <v>1.0</v>
      </c>
      <c r="K1205" s="18">
        <v>1.0</v>
      </c>
      <c r="L1205" s="5" t="str">
        <f t="shared" ref="L1205:M1205" si="2412">IFS(J1205="-", "-", J1205=H1205, "Final", J1205=1, "Initial", J1205&gt;1, "Medial")</f>
        <v>Initial</v>
      </c>
      <c r="M1205" s="44" t="str">
        <f t="shared" si="2412"/>
        <v>Initial</v>
      </c>
      <c r="N1205" s="5" t="str">
        <f t="shared" si="5"/>
        <v>0</v>
      </c>
      <c r="O1205" s="5" t="str">
        <f t="shared" si="6"/>
        <v>fi</v>
      </c>
      <c r="P1205" s="5" t="str">
        <f t="shared" si="7"/>
        <v>0</v>
      </c>
      <c r="Q1205" s="5" t="str">
        <f t="shared" si="8"/>
        <v>fɾi</v>
      </c>
      <c r="R1205" s="15" t="s">
        <v>80</v>
      </c>
      <c r="S1205" s="15" t="s">
        <v>3419</v>
      </c>
      <c r="T1205" s="15" t="s">
        <v>3419</v>
      </c>
      <c r="U1205" s="15" t="s">
        <v>22</v>
      </c>
      <c r="V1205" s="20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</row>
    <row r="1206">
      <c r="A1206" s="15" t="s">
        <v>14</v>
      </c>
      <c r="B1206" s="15" t="s">
        <v>3415</v>
      </c>
      <c r="C1206" s="15" t="s">
        <v>3416</v>
      </c>
      <c r="D1206" s="15" t="s">
        <v>3417</v>
      </c>
      <c r="E1206" s="15" t="s">
        <v>3418</v>
      </c>
      <c r="F1206" s="15" t="s">
        <v>1186</v>
      </c>
      <c r="G1206" s="15" t="s">
        <v>3420</v>
      </c>
      <c r="H1206" s="43">
        <f t="shared" ref="H1206:I1206" si="2413">LEN(D1206)-LEN(B1206)+1</f>
        <v>3</v>
      </c>
      <c r="I1206" s="43">
        <f t="shared" si="2413"/>
        <v>3</v>
      </c>
      <c r="J1206" s="18">
        <v>2.0</v>
      </c>
      <c r="K1206" s="18">
        <v>2.0</v>
      </c>
      <c r="L1206" s="5" t="str">
        <f t="shared" ref="L1206:M1206" si="2414">IFS(J1206="-", "-", J1206=H1206, "Final", J1206=1, "Initial", J1206&gt;1, "Medial")</f>
        <v>Medial</v>
      </c>
      <c r="M1206" s="44" t="str">
        <f t="shared" si="2414"/>
        <v>Medial</v>
      </c>
      <c r="N1206" s="5" t="str">
        <f t="shared" si="5"/>
        <v>ˈa</v>
      </c>
      <c r="O1206" s="5" t="str">
        <f t="shared" si="6"/>
        <v>kɐ</v>
      </c>
      <c r="P1206" s="5" t="str">
        <f t="shared" si="7"/>
        <v>ˈa</v>
      </c>
      <c r="Q1206" s="5" t="str">
        <f t="shared" si="8"/>
        <v>kɐ</v>
      </c>
      <c r="R1206" s="15"/>
      <c r="S1206" s="15" t="s">
        <v>3419</v>
      </c>
      <c r="T1206" s="15" t="s">
        <v>3419</v>
      </c>
      <c r="U1206" s="15" t="s">
        <v>22</v>
      </c>
      <c r="V1206" s="20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</row>
    <row r="1207">
      <c r="A1207" s="15" t="s">
        <v>14</v>
      </c>
      <c r="B1207" s="15" t="s">
        <v>3415</v>
      </c>
      <c r="C1207" s="15" t="s">
        <v>3416</v>
      </c>
      <c r="D1207" s="15" t="s">
        <v>3417</v>
      </c>
      <c r="E1207" s="15" t="s">
        <v>3418</v>
      </c>
      <c r="F1207" s="15" t="s">
        <v>175</v>
      </c>
      <c r="G1207" s="15" t="s">
        <v>175</v>
      </c>
      <c r="H1207" s="43">
        <f t="shared" ref="H1207:I1207" si="2415">LEN(D1207)-LEN(B1207)+1</f>
        <v>3</v>
      </c>
      <c r="I1207" s="43">
        <f t="shared" si="2415"/>
        <v>3</v>
      </c>
      <c r="J1207" s="18">
        <v>3.0</v>
      </c>
      <c r="K1207" s="18">
        <v>3.0</v>
      </c>
      <c r="L1207" s="5" t="str">
        <f t="shared" ref="L1207:M1207" si="2416">IFS(J1207="-", "-", J1207=H1207, "Final", J1207=1, "Initial", J1207&gt;1, "Medial")</f>
        <v>Final</v>
      </c>
      <c r="M1207" s="44" t="str">
        <f t="shared" si="2416"/>
        <v>Final</v>
      </c>
      <c r="N1207" s="5" t="str">
        <f t="shared" si="5"/>
        <v>fi</v>
      </c>
      <c r="O1207" s="5">
        <f t="shared" si="6"/>
        <v>3</v>
      </c>
      <c r="P1207" s="5" t="str">
        <f t="shared" si="7"/>
        <v>fɾi</v>
      </c>
      <c r="Q1207" s="5">
        <f t="shared" si="8"/>
        <v>3</v>
      </c>
      <c r="R1207" s="20"/>
      <c r="S1207" s="15" t="s">
        <v>3419</v>
      </c>
      <c r="T1207" s="15" t="s">
        <v>3419</v>
      </c>
      <c r="U1207" s="15" t="s">
        <v>22</v>
      </c>
      <c r="V1207" s="20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</row>
    <row r="1208">
      <c r="A1208" s="3" t="s">
        <v>14</v>
      </c>
      <c r="B1208" s="3" t="s">
        <v>3421</v>
      </c>
      <c r="C1208" s="3" t="s">
        <v>3422</v>
      </c>
      <c r="D1208" s="3" t="s">
        <v>3423</v>
      </c>
      <c r="E1208" s="3" t="s">
        <v>3424</v>
      </c>
      <c r="F1208" s="3" t="s">
        <v>386</v>
      </c>
      <c r="G1208" s="3" t="s">
        <v>190</v>
      </c>
      <c r="H1208" s="43">
        <f t="shared" ref="H1208:I1208" si="2417">LEN(D1208)-LEN(B1208)+1</f>
        <v>2</v>
      </c>
      <c r="I1208" s="43">
        <f t="shared" si="2417"/>
        <v>2</v>
      </c>
      <c r="J1208" s="4">
        <v>1.0</v>
      </c>
      <c r="K1208" s="4">
        <v>1.0</v>
      </c>
      <c r="L1208" s="5" t="str">
        <f t="shared" ref="L1208:M1208" si="2418">IFS(J1208="-", "-", J1208=H1208, "Final", J1208=1, "Initial", J1208&gt;1, "Medial")</f>
        <v>Initial</v>
      </c>
      <c r="M1208" s="44" t="str">
        <f t="shared" si="2418"/>
        <v>Initial</v>
      </c>
      <c r="N1208" s="5" t="str">
        <f t="shared" si="5"/>
        <v>0</v>
      </c>
      <c r="O1208" s="5" t="str">
        <f t="shared" si="6"/>
        <v>ˈbɐ̃</v>
      </c>
      <c r="P1208" s="5" t="str">
        <f t="shared" si="7"/>
        <v>0</v>
      </c>
      <c r="Q1208" s="5" t="str">
        <f t="shared" si="8"/>
        <v>ˈbɐ̃w̃</v>
      </c>
      <c r="R1208" s="3" t="s">
        <v>72</v>
      </c>
      <c r="S1208" s="3" t="s">
        <v>3425</v>
      </c>
      <c r="T1208" s="3" t="s">
        <v>3426</v>
      </c>
      <c r="U1208" s="3" t="s">
        <v>22</v>
      </c>
      <c r="V1208" s="5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>
      <c r="A1209" s="3" t="s">
        <v>14</v>
      </c>
      <c r="B1209" s="3" t="s">
        <v>3421</v>
      </c>
      <c r="C1209" s="3" t="s">
        <v>3422</v>
      </c>
      <c r="D1209" s="3" t="s">
        <v>3423</v>
      </c>
      <c r="E1209" s="3" t="s">
        <v>3424</v>
      </c>
      <c r="F1209" s="3" t="s">
        <v>70</v>
      </c>
      <c r="G1209" s="3" t="s">
        <v>3427</v>
      </c>
      <c r="H1209" s="43">
        <f t="shared" ref="H1209:I1209" si="2419">LEN(D1209)-LEN(B1209)+1</f>
        <v>2</v>
      </c>
      <c r="I1209" s="43">
        <f t="shared" si="2419"/>
        <v>2</v>
      </c>
      <c r="J1209" s="4">
        <v>2.0</v>
      </c>
      <c r="K1209" s="4">
        <v>2.0</v>
      </c>
      <c r="L1209" s="5" t="str">
        <f t="shared" ref="L1209:M1209" si="2420">IFS(J1209="-", "-", J1209=H1209, "Final", J1209=1, "Initial", J1209&gt;1, "Medial")</f>
        <v>Final</v>
      </c>
      <c r="M1209" s="44" t="str">
        <f t="shared" si="2420"/>
        <v>Final</v>
      </c>
      <c r="N1209" s="5" t="str">
        <f t="shared" si="5"/>
        <v>ga</v>
      </c>
      <c r="O1209" s="5">
        <f t="shared" si="6"/>
        <v>2</v>
      </c>
      <c r="P1209" s="5" t="str">
        <f t="shared" si="7"/>
        <v>gɐ</v>
      </c>
      <c r="Q1209" s="5">
        <f t="shared" si="8"/>
        <v>2</v>
      </c>
      <c r="R1209" s="3"/>
      <c r="S1209" s="3" t="s">
        <v>3425</v>
      </c>
      <c r="T1209" s="3" t="s">
        <v>3426</v>
      </c>
      <c r="U1209" s="3" t="s">
        <v>22</v>
      </c>
      <c r="V1209" s="5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>
      <c r="A1210" s="15" t="s">
        <v>14</v>
      </c>
      <c r="B1210" s="15" t="s">
        <v>2092</v>
      </c>
      <c r="C1210" s="15" t="s">
        <v>3428</v>
      </c>
      <c r="D1210" s="15" t="s">
        <v>2092</v>
      </c>
      <c r="E1210" s="15" t="s">
        <v>3429</v>
      </c>
      <c r="F1210" s="15"/>
      <c r="G1210" s="15"/>
      <c r="H1210" s="43">
        <f t="shared" ref="H1210:I1210" si="2421">LEN(D1210)-LEN(B1210)+1</f>
        <v>1</v>
      </c>
      <c r="I1210" s="43">
        <f t="shared" si="2421"/>
        <v>4</v>
      </c>
      <c r="J1210" s="18"/>
      <c r="K1210" s="30"/>
      <c r="L1210" s="5" t="str">
        <f t="shared" ref="L1210:M1210" si="2422">IFS(J1210="-", "-", J1210=H1210, "Final", J1210=1, "Initial", J1210&gt;1, "Medial")</f>
        <v>#N/A</v>
      </c>
      <c r="M1210" s="44" t="str">
        <f t="shared" si="2422"/>
        <v>#N/A</v>
      </c>
      <c r="N1210" s="5" t="str">
        <f t="shared" si="5"/>
        <v>0</v>
      </c>
      <c r="O1210" s="5" t="str">
        <f t="shared" si="6"/>
        <v/>
      </c>
      <c r="P1210" s="5" t="str">
        <f t="shared" si="7"/>
        <v>0</v>
      </c>
      <c r="Q1210" s="5" t="str">
        <f t="shared" si="8"/>
        <v/>
      </c>
      <c r="R1210" s="20"/>
      <c r="S1210" s="15" t="s">
        <v>3430</v>
      </c>
      <c r="T1210" s="15" t="s">
        <v>3431</v>
      </c>
      <c r="U1210" s="15" t="s">
        <v>22</v>
      </c>
      <c r="V1210" s="15" t="s">
        <v>560</v>
      </c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</row>
    <row r="1211">
      <c r="A1211" s="3" t="s">
        <v>14</v>
      </c>
      <c r="B1211" s="3" t="s">
        <v>3432</v>
      </c>
      <c r="C1211" s="3" t="s">
        <v>3433</v>
      </c>
      <c r="D1211" s="3" t="s">
        <v>3434</v>
      </c>
      <c r="E1211" s="3" t="s">
        <v>3435</v>
      </c>
      <c r="F1211" s="3" t="s">
        <v>3436</v>
      </c>
      <c r="G1211" s="3" t="s">
        <v>3437</v>
      </c>
      <c r="H1211" s="43">
        <f t="shared" ref="H1211:I1211" si="2423">LEN(D1211)-LEN(B1211)+1</f>
        <v>3</v>
      </c>
      <c r="I1211" s="43">
        <f t="shared" si="2423"/>
        <v>3</v>
      </c>
      <c r="J1211" s="4">
        <v>1.0</v>
      </c>
      <c r="K1211" s="4">
        <v>1.0</v>
      </c>
      <c r="L1211" s="5" t="str">
        <f t="shared" ref="L1211:M1211" si="2424">IFS(J1211="-", "-", J1211=H1211, "Final", J1211=1, "Initial", J1211&gt;1, "Medial")</f>
        <v>Initial</v>
      </c>
      <c r="M1211" s="44" t="str">
        <f t="shared" si="2424"/>
        <v>Initial</v>
      </c>
      <c r="N1211" s="5" t="str">
        <f t="shared" si="5"/>
        <v>0</v>
      </c>
      <c r="O1211" s="5" t="str">
        <f t="shared" si="6"/>
        <v>ʃi</v>
      </c>
      <c r="P1211" s="5" t="str">
        <f t="shared" si="7"/>
        <v>0</v>
      </c>
      <c r="Q1211" s="5" t="str">
        <f t="shared" si="8"/>
        <v>sɨ</v>
      </c>
      <c r="R1211" s="5"/>
      <c r="S1211" s="3" t="s">
        <v>3431</v>
      </c>
      <c r="T1211" s="3" t="s">
        <v>3438</v>
      </c>
      <c r="U1211" s="3" t="s">
        <v>22</v>
      </c>
      <c r="V1211" s="5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>
      <c r="A1212" s="3" t="s">
        <v>14</v>
      </c>
      <c r="B1212" s="3" t="s">
        <v>3432</v>
      </c>
      <c r="C1212" s="3" t="s">
        <v>3433</v>
      </c>
      <c r="D1212" s="3" t="s">
        <v>3434</v>
      </c>
      <c r="E1212" s="3" t="s">
        <v>3435</v>
      </c>
      <c r="F1212" s="3" t="s">
        <v>848</v>
      </c>
      <c r="G1212" s="3" t="s">
        <v>987</v>
      </c>
      <c r="H1212" s="43">
        <f t="shared" ref="H1212:I1212" si="2425">LEN(D1212)-LEN(B1212)+1</f>
        <v>3</v>
      </c>
      <c r="I1212" s="43">
        <f t="shared" si="2425"/>
        <v>3</v>
      </c>
      <c r="J1212" s="4">
        <v>2.0</v>
      </c>
      <c r="K1212" s="4">
        <v>2.0</v>
      </c>
      <c r="L1212" s="5" t="str">
        <f t="shared" ref="L1212:M1212" si="2426">IFS(J1212="-", "-", J1212=H1212, "Final", J1212=1, "Initial", J1212&gt;1, "Medial")</f>
        <v>Medial</v>
      </c>
      <c r="M1212" s="44" t="str">
        <f t="shared" si="2426"/>
        <v>Medial</v>
      </c>
      <c r="N1212" s="5" t="str">
        <f t="shared" si="5"/>
        <v>ˈpĩ</v>
      </c>
      <c r="O1212" s="5" t="str">
        <f t="shared" si="6"/>
        <v>pi</v>
      </c>
      <c r="P1212" s="5" t="str">
        <f t="shared" si="7"/>
        <v>ˈpɾĩ</v>
      </c>
      <c r="Q1212" s="5" t="str">
        <f t="shared" si="8"/>
        <v>pɨ</v>
      </c>
      <c r="R1212" s="5"/>
      <c r="S1212" s="3" t="s">
        <v>3431</v>
      </c>
      <c r="T1212" s="3" t="s">
        <v>3438</v>
      </c>
      <c r="U1212" s="3" t="s">
        <v>22</v>
      </c>
      <c r="V1212" s="5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>
      <c r="A1213" s="3" t="s">
        <v>14</v>
      </c>
      <c r="B1213" s="3" t="s">
        <v>3432</v>
      </c>
      <c r="C1213" s="3" t="s">
        <v>3433</v>
      </c>
      <c r="D1213" s="3" t="s">
        <v>3434</v>
      </c>
      <c r="E1213" s="3" t="s">
        <v>3435</v>
      </c>
      <c r="F1213" s="3" t="s">
        <v>233</v>
      </c>
      <c r="G1213" s="3" t="s">
        <v>1234</v>
      </c>
      <c r="H1213" s="43">
        <f t="shared" ref="H1213:I1213" si="2427">LEN(D1213)-LEN(B1213)+1</f>
        <v>3</v>
      </c>
      <c r="I1213" s="43">
        <f t="shared" si="2427"/>
        <v>3</v>
      </c>
      <c r="J1213" s="4">
        <v>3.0</v>
      </c>
      <c r="K1213" s="4">
        <v>3.0</v>
      </c>
      <c r="L1213" s="5" t="str">
        <f t="shared" ref="L1213:M1213" si="2428">IFS(J1213="-", "-", J1213=H1213, "Final", J1213=1, "Initial", J1213&gt;1, "Medial")</f>
        <v>Final</v>
      </c>
      <c r="M1213" s="44" t="str">
        <f t="shared" si="2428"/>
        <v>Final</v>
      </c>
      <c r="N1213" s="5" t="str">
        <f t="shared" si="5"/>
        <v>ʃi</v>
      </c>
      <c r="O1213" s="5">
        <f t="shared" si="6"/>
        <v>3</v>
      </c>
      <c r="P1213" s="5" t="str">
        <f t="shared" si="7"/>
        <v>sɨ</v>
      </c>
      <c r="Q1213" s="5">
        <f t="shared" si="8"/>
        <v>3</v>
      </c>
      <c r="R1213" s="5"/>
      <c r="S1213" s="3" t="s">
        <v>3431</v>
      </c>
      <c r="T1213" s="3" t="s">
        <v>3438</v>
      </c>
      <c r="U1213" s="3" t="s">
        <v>22</v>
      </c>
      <c r="V1213" s="5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>
      <c r="A1214" s="3" t="s">
        <v>14</v>
      </c>
      <c r="B1214" s="3" t="s">
        <v>3439</v>
      </c>
      <c r="C1214" s="3" t="s">
        <v>3440</v>
      </c>
      <c r="D1214" s="3" t="s">
        <v>3441</v>
      </c>
      <c r="E1214" s="3" t="s">
        <v>3442</v>
      </c>
      <c r="F1214" s="3" t="s">
        <v>437</v>
      </c>
      <c r="G1214" s="3" t="s">
        <v>1599</v>
      </c>
      <c r="H1214" s="43">
        <f t="shared" ref="H1214:I1214" si="2429">LEN(D1214)-LEN(B1214)+1</f>
        <v>3</v>
      </c>
      <c r="I1214" s="43">
        <f t="shared" si="2429"/>
        <v>3</v>
      </c>
      <c r="J1214" s="4">
        <v>1.0</v>
      </c>
      <c r="K1214" s="4">
        <v>1.0</v>
      </c>
      <c r="L1214" s="5" t="str">
        <f t="shared" ref="L1214:M1214" si="2430">IFS(J1214="-", "-", J1214=H1214, "Final", J1214=1, "Initial", J1214&gt;1, "Medial")</f>
        <v>Initial</v>
      </c>
      <c r="M1214" s="44" t="str">
        <f t="shared" si="2430"/>
        <v>Initial</v>
      </c>
      <c r="N1214" s="5" t="str">
        <f t="shared" si="5"/>
        <v>0</v>
      </c>
      <c r="O1214" s="5" t="str">
        <f t="shared" si="6"/>
        <v>tu</v>
      </c>
      <c r="P1214" s="5" t="str">
        <f t="shared" si="7"/>
        <v>0</v>
      </c>
      <c r="Q1214" s="5" t="str">
        <f t="shared" si="8"/>
        <v>tu</v>
      </c>
      <c r="R1214" s="3" t="s">
        <v>80</v>
      </c>
      <c r="S1214" s="3" t="s">
        <v>3443</v>
      </c>
      <c r="T1214" s="3" t="s">
        <v>3443</v>
      </c>
      <c r="U1214" s="3" t="s">
        <v>22</v>
      </c>
      <c r="V1214" s="5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>
      <c r="A1215" s="3" t="s">
        <v>14</v>
      </c>
      <c r="B1215" s="3" t="s">
        <v>3439</v>
      </c>
      <c r="C1215" s="3" t="s">
        <v>3440</v>
      </c>
      <c r="D1215" s="3" t="s">
        <v>3441</v>
      </c>
      <c r="E1215" s="3" t="s">
        <v>3442</v>
      </c>
      <c r="F1215" s="3" t="s">
        <v>784</v>
      </c>
      <c r="G1215" s="3" t="s">
        <v>784</v>
      </c>
      <c r="H1215" s="43">
        <f t="shared" ref="H1215:I1215" si="2431">LEN(D1215)-LEN(B1215)+1</f>
        <v>3</v>
      </c>
      <c r="I1215" s="43">
        <f t="shared" si="2431"/>
        <v>3</v>
      </c>
      <c r="J1215" s="4">
        <v>2.0</v>
      </c>
      <c r="K1215" s="4">
        <v>2.0</v>
      </c>
      <c r="L1215" s="5" t="str">
        <f t="shared" ref="L1215:M1215" si="2432">IFS(J1215="-", "-", J1215=H1215, "Final", J1215=1, "Initial", J1215&gt;1, "Medial")</f>
        <v>Medial</v>
      </c>
      <c r="M1215" s="44" t="str">
        <f t="shared" si="2432"/>
        <v>Medial</v>
      </c>
      <c r="N1215" s="5" t="str">
        <f t="shared" si="5"/>
        <v>pu</v>
      </c>
      <c r="O1215" s="5" t="str">
        <f t="shared" si="6"/>
        <v>ˈga</v>
      </c>
      <c r="P1215" s="5" t="str">
        <f t="shared" si="7"/>
        <v>puɾ</v>
      </c>
      <c r="Q1215" s="5" t="str">
        <f t="shared" si="8"/>
        <v>ˈgaɫ</v>
      </c>
      <c r="R1215" s="3"/>
      <c r="S1215" s="3" t="s">
        <v>3443</v>
      </c>
      <c r="T1215" s="3" t="s">
        <v>3443</v>
      </c>
      <c r="U1215" s="3" t="s">
        <v>22</v>
      </c>
      <c r="V1215" s="5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>
      <c r="A1216" s="3" t="s">
        <v>14</v>
      </c>
      <c r="B1216" s="3" t="s">
        <v>3439</v>
      </c>
      <c r="C1216" s="3" t="s">
        <v>3440</v>
      </c>
      <c r="D1216" s="3" t="s">
        <v>3441</v>
      </c>
      <c r="E1216" s="3" t="s">
        <v>3442</v>
      </c>
      <c r="F1216" s="3" t="s">
        <v>629</v>
      </c>
      <c r="G1216" s="3" t="s">
        <v>3444</v>
      </c>
      <c r="H1216" s="43">
        <f t="shared" ref="H1216:I1216" si="2433">LEN(D1216)-LEN(B1216)+1</f>
        <v>3</v>
      </c>
      <c r="I1216" s="43">
        <f t="shared" si="2433"/>
        <v>3</v>
      </c>
      <c r="J1216" s="4">
        <v>3.0</v>
      </c>
      <c r="K1216" s="4">
        <v>3.0</v>
      </c>
      <c r="L1216" s="5" t="str">
        <f t="shared" ref="L1216:M1216" si="2434">IFS(J1216="-", "-", J1216=H1216, "Final", J1216=1, "Initial", J1216&gt;1, "Medial")</f>
        <v>Final</v>
      </c>
      <c r="M1216" s="44" t="str">
        <f t="shared" si="2434"/>
        <v>Final</v>
      </c>
      <c r="N1216" s="5" t="str">
        <f t="shared" si="5"/>
        <v>tu</v>
      </c>
      <c r="O1216" s="5">
        <f t="shared" si="6"/>
        <v>3</v>
      </c>
      <c r="P1216" s="5" t="str">
        <f t="shared" si="7"/>
        <v>tu</v>
      </c>
      <c r="Q1216" s="5">
        <f t="shared" si="8"/>
        <v>3</v>
      </c>
      <c r="R1216" s="3"/>
      <c r="S1216" s="3" t="s">
        <v>3443</v>
      </c>
      <c r="T1216" s="3" t="s">
        <v>3443</v>
      </c>
      <c r="U1216" s="3" t="s">
        <v>22</v>
      </c>
      <c r="V1216" s="5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>
      <c r="A1217" s="3" t="s">
        <v>14</v>
      </c>
      <c r="B1217" s="3" t="s">
        <v>3445</v>
      </c>
      <c r="C1217" s="3" t="s">
        <v>3446</v>
      </c>
      <c r="D1217" s="3" t="s">
        <v>3447</v>
      </c>
      <c r="E1217" s="3" t="s">
        <v>3448</v>
      </c>
      <c r="F1217" s="3" t="s">
        <v>2013</v>
      </c>
      <c r="G1217" s="3" t="s">
        <v>3449</v>
      </c>
      <c r="H1217" s="43">
        <f t="shared" ref="H1217:I1217" si="2435">LEN(D1217)-LEN(B1217)+1</f>
        <v>3</v>
      </c>
      <c r="I1217" s="43">
        <f t="shared" si="2435"/>
        <v>3</v>
      </c>
      <c r="J1217" s="4">
        <v>1.0</v>
      </c>
      <c r="K1217" s="4">
        <v>1.0</v>
      </c>
      <c r="L1217" s="5" t="str">
        <f t="shared" ref="L1217:M1217" si="2436">IFS(J1217="-", "-", J1217=H1217, "Final", J1217=1, "Initial", J1217&gt;1, "Medial")</f>
        <v>Initial</v>
      </c>
      <c r="M1217" s="44" t="str">
        <f t="shared" si="2436"/>
        <v>Initial</v>
      </c>
      <c r="N1217" s="5" t="str">
        <f t="shared" si="5"/>
        <v>0</v>
      </c>
      <c r="O1217" s="5" t="str">
        <f t="shared" si="6"/>
        <v>tɔ</v>
      </c>
      <c r="P1217" s="5" t="str">
        <f t="shared" si="7"/>
        <v>0</v>
      </c>
      <c r="Q1217" s="5" t="str">
        <f t="shared" si="8"/>
        <v>tu</v>
      </c>
      <c r="R1217" s="3" t="s">
        <v>72</v>
      </c>
      <c r="S1217" s="3" t="s">
        <v>3450</v>
      </c>
      <c r="T1217" s="3" t="s">
        <v>3451</v>
      </c>
      <c r="U1217" s="3" t="s">
        <v>22</v>
      </c>
      <c r="V1217" s="5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>
      <c r="A1218" s="3" t="s">
        <v>14</v>
      </c>
      <c r="B1218" s="3" t="s">
        <v>3445</v>
      </c>
      <c r="C1218" s="3" t="s">
        <v>3446</v>
      </c>
      <c r="D1218" s="3" t="s">
        <v>3447</v>
      </c>
      <c r="E1218" s="3" t="s">
        <v>3448</v>
      </c>
      <c r="F1218" s="3" t="s">
        <v>1807</v>
      </c>
      <c r="G1218" s="3" t="s">
        <v>784</v>
      </c>
      <c r="H1218" s="43">
        <f t="shared" ref="H1218:I1218" si="2437">LEN(D1218)-LEN(B1218)+1</f>
        <v>3</v>
      </c>
      <c r="I1218" s="43">
        <f t="shared" si="2437"/>
        <v>3</v>
      </c>
      <c r="J1218" s="4">
        <v>2.0</v>
      </c>
      <c r="K1218" s="4">
        <v>2.0</v>
      </c>
      <c r="L1218" s="5" t="str">
        <f t="shared" ref="L1218:M1218" si="2438">IFS(J1218="-", "-", J1218=H1218, "Final", J1218=1, "Initial", J1218&gt;1, "Medial")</f>
        <v>Medial</v>
      </c>
      <c r="M1218" s="44" t="str">
        <f t="shared" si="2438"/>
        <v>Medial</v>
      </c>
      <c r="N1218" s="5" t="str">
        <f t="shared" si="5"/>
        <v>sɐ̃</v>
      </c>
      <c r="O1218" s="5" t="str">
        <f t="shared" si="6"/>
        <v>ˈmɛ</v>
      </c>
      <c r="P1218" s="5" t="str">
        <f t="shared" si="7"/>
        <v>sɐ̃w̃</v>
      </c>
      <c r="Q1218" s="5" t="str">
        <f t="shared" si="8"/>
        <v>ˈmɛ</v>
      </c>
      <c r="R1218" s="5"/>
      <c r="S1218" s="3" t="s">
        <v>3450</v>
      </c>
      <c r="T1218" s="3" t="s">
        <v>3451</v>
      </c>
      <c r="U1218" s="3" t="s">
        <v>22</v>
      </c>
      <c r="V1218" s="5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>
      <c r="A1219" s="3" t="s">
        <v>14</v>
      </c>
      <c r="B1219" s="3" t="s">
        <v>3445</v>
      </c>
      <c r="C1219" s="3" t="s">
        <v>3446</v>
      </c>
      <c r="D1219" s="3" t="s">
        <v>3447</v>
      </c>
      <c r="E1219" s="3" t="s">
        <v>3448</v>
      </c>
      <c r="F1219" s="3" t="s">
        <v>194</v>
      </c>
      <c r="G1219" s="3" t="s">
        <v>194</v>
      </c>
      <c r="H1219" s="43">
        <f t="shared" ref="H1219:I1219" si="2439">LEN(D1219)-LEN(B1219)+1</f>
        <v>3</v>
      </c>
      <c r="I1219" s="43">
        <f t="shared" si="2439"/>
        <v>3</v>
      </c>
      <c r="J1219" s="4">
        <v>3.0</v>
      </c>
      <c r="K1219" s="4">
        <v>3.0</v>
      </c>
      <c r="L1219" s="5" t="str">
        <f t="shared" ref="L1219:M1219" si="2440">IFS(J1219="-", "-", J1219=H1219, "Final", J1219=1, "Initial", J1219&gt;1, "Medial")</f>
        <v>Final</v>
      </c>
      <c r="M1219" s="44" t="str">
        <f t="shared" si="2440"/>
        <v>Final</v>
      </c>
      <c r="N1219" s="5" t="str">
        <f t="shared" si="5"/>
        <v>tɔ</v>
      </c>
      <c r="O1219" s="5">
        <f t="shared" si="6"/>
        <v>3</v>
      </c>
      <c r="P1219" s="5" t="str">
        <f t="shared" si="7"/>
        <v>tu</v>
      </c>
      <c r="Q1219" s="5">
        <f t="shared" si="8"/>
        <v>3</v>
      </c>
      <c r="R1219" s="5"/>
      <c r="S1219" s="3" t="s">
        <v>3450</v>
      </c>
      <c r="T1219" s="3" t="s">
        <v>3451</v>
      </c>
      <c r="U1219" s="3" t="s">
        <v>22</v>
      </c>
      <c r="V1219" s="5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>
      <c r="A1220" s="15" t="s">
        <v>14</v>
      </c>
      <c r="B1220" s="15" t="s">
        <v>3452</v>
      </c>
      <c r="C1220" s="15" t="s">
        <v>3453</v>
      </c>
      <c r="D1220" s="15" t="s">
        <v>3454</v>
      </c>
      <c r="E1220" s="15" t="s">
        <v>3455</v>
      </c>
      <c r="F1220" s="15" t="s">
        <v>801</v>
      </c>
      <c r="G1220" s="15" t="s">
        <v>3456</v>
      </c>
      <c r="H1220" s="43">
        <f t="shared" ref="H1220:I1220" si="2441">LEN(D1220)-LEN(B1220)+1</f>
        <v>4</v>
      </c>
      <c r="I1220" s="43">
        <f t="shared" si="2441"/>
        <v>2</v>
      </c>
      <c r="J1220" s="18">
        <v>1.0</v>
      </c>
      <c r="K1220" s="18">
        <v>1.0</v>
      </c>
      <c r="L1220" s="5" t="str">
        <f t="shared" ref="L1220:M1220" si="2442">IFS(J1220="-", "-", J1220=H1220, "Final", J1220=1, "Initial", J1220&gt;1, "Medial")</f>
        <v>Initial</v>
      </c>
      <c r="M1220" s="44" t="str">
        <f t="shared" si="2442"/>
        <v>Initial</v>
      </c>
      <c r="N1220" s="5" t="str">
        <f t="shared" si="5"/>
        <v>0</v>
      </c>
      <c r="O1220" s="5" t="str">
        <f t="shared" si="6"/>
        <v>su</v>
      </c>
      <c r="P1220" s="5" t="str">
        <f t="shared" si="7"/>
        <v>0</v>
      </c>
      <c r="Q1220" s="5" t="str">
        <f t="shared" si="8"/>
        <v>u</v>
      </c>
      <c r="R1220" s="20"/>
      <c r="S1220" s="15" t="s">
        <v>3457</v>
      </c>
      <c r="T1220" s="15" t="s">
        <v>3458</v>
      </c>
      <c r="U1220" s="15" t="s">
        <v>22</v>
      </c>
      <c r="V1220" s="20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</row>
    <row r="1221">
      <c r="A1221" s="15" t="s">
        <v>14</v>
      </c>
      <c r="B1221" s="15" t="s">
        <v>3452</v>
      </c>
      <c r="C1221" s="15" t="s">
        <v>3453</v>
      </c>
      <c r="D1221" s="15" t="s">
        <v>3454</v>
      </c>
      <c r="E1221" s="15" t="s">
        <v>3455</v>
      </c>
      <c r="F1221" s="15" t="s">
        <v>362</v>
      </c>
      <c r="G1221" s="15" t="s">
        <v>128</v>
      </c>
      <c r="H1221" s="43">
        <f t="shared" ref="H1221:I1221" si="2443">LEN(D1221)-LEN(B1221)+1</f>
        <v>4</v>
      </c>
      <c r="I1221" s="43">
        <f t="shared" si="2443"/>
        <v>2</v>
      </c>
      <c r="J1221" s="18">
        <v>2.0</v>
      </c>
      <c r="K1221" s="18">
        <v>2.0</v>
      </c>
      <c r="L1221" s="5" t="str">
        <f t="shared" ref="L1221:M1221" si="2444">IFS(J1221="-", "-", J1221=H1221, "Final", J1221=1, "Initial", J1221&gt;1, "Medial")</f>
        <v>Medial</v>
      </c>
      <c r="M1221" s="44" t="str">
        <f t="shared" si="2444"/>
        <v>Final</v>
      </c>
      <c r="N1221" s="5" t="str">
        <f t="shared" si="5"/>
        <v>de</v>
      </c>
      <c r="O1221" s="5" t="str">
        <f t="shared" si="6"/>
        <v>pa</v>
      </c>
      <c r="P1221" s="5" t="str">
        <f t="shared" si="7"/>
        <v>ˈdewz</v>
      </c>
      <c r="Q1221" s="5" t="str">
        <f t="shared" si="8"/>
        <v>ˈpa</v>
      </c>
      <c r="R1221" s="20"/>
      <c r="S1221" s="15" t="s">
        <v>3457</v>
      </c>
      <c r="T1221" s="15" t="s">
        <v>3458</v>
      </c>
      <c r="U1221" s="15" t="s">
        <v>22</v>
      </c>
      <c r="V1221" s="20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</row>
    <row r="1222">
      <c r="A1222" s="15" t="s">
        <v>14</v>
      </c>
      <c r="B1222" s="15" t="s">
        <v>3452</v>
      </c>
      <c r="C1222" s="15" t="s">
        <v>3453</v>
      </c>
      <c r="D1222" s="15" t="s">
        <v>3454</v>
      </c>
      <c r="E1222" s="15" t="s">
        <v>3455</v>
      </c>
      <c r="F1222" s="15" t="s">
        <v>1541</v>
      </c>
      <c r="G1222" s="15" t="s">
        <v>1396</v>
      </c>
      <c r="H1222" s="43">
        <f t="shared" ref="H1222:I1222" si="2445">LEN(D1222)-LEN(B1222)+1</f>
        <v>4</v>
      </c>
      <c r="I1222" s="43">
        <f t="shared" si="2445"/>
        <v>2</v>
      </c>
      <c r="J1222" s="18">
        <v>3.0</v>
      </c>
      <c r="K1222" s="18">
        <v>3.0</v>
      </c>
      <c r="L1222" s="5" t="str">
        <f t="shared" ref="L1222:M1222" si="2446">IFS(J1222="-", "-", J1222=H1222, "Final", J1222=1, "Initial", J1222&gt;1, "Medial")</f>
        <v>Medial</v>
      </c>
      <c r="M1222" s="44" t="str">
        <f t="shared" si="2446"/>
        <v>Medial</v>
      </c>
      <c r="N1222" s="5" t="str">
        <f t="shared" si="5"/>
        <v>su</v>
      </c>
      <c r="O1222" s="5" t="str">
        <f t="shared" si="6"/>
        <v>ˈga</v>
      </c>
      <c r="P1222" s="5" t="str">
        <f t="shared" si="7"/>
        <v>u</v>
      </c>
      <c r="Q1222" s="5" t="str">
        <f t="shared" si="8"/>
        <v>gɨ</v>
      </c>
      <c r="R1222" s="20"/>
      <c r="S1222" s="15" t="s">
        <v>3457</v>
      </c>
      <c r="T1222" s="15" t="s">
        <v>3458</v>
      </c>
      <c r="U1222" s="15" t="s">
        <v>22</v>
      </c>
      <c r="V1222" s="20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</row>
    <row r="1223">
      <c r="A1223" s="15" t="s">
        <v>14</v>
      </c>
      <c r="B1223" s="15" t="s">
        <v>3452</v>
      </c>
      <c r="C1223" s="15" t="s">
        <v>3453</v>
      </c>
      <c r="D1223" s="15" t="s">
        <v>3454</v>
      </c>
      <c r="E1223" s="15" t="s">
        <v>3455</v>
      </c>
      <c r="F1223" s="15" t="s">
        <v>629</v>
      </c>
      <c r="G1223" s="15" t="s">
        <v>3459</v>
      </c>
      <c r="H1223" s="43">
        <f t="shared" ref="H1223:I1223" si="2447">LEN(D1223)-LEN(B1223)+1</f>
        <v>4</v>
      </c>
      <c r="I1223" s="43">
        <f t="shared" si="2447"/>
        <v>2</v>
      </c>
      <c r="J1223" s="18">
        <v>4.0</v>
      </c>
      <c r="K1223" s="18">
        <v>4.0</v>
      </c>
      <c r="L1223" s="5" t="str">
        <f t="shared" ref="L1223:M1223" si="2448">IFS(J1223="-", "-", J1223=H1223, "Final", J1223=1, "Initial", J1223&gt;1, "Medial")</f>
        <v>Final</v>
      </c>
      <c r="M1223" s="44" t="str">
        <f t="shared" si="2448"/>
        <v>Medial</v>
      </c>
      <c r="N1223" s="5" t="str">
        <f t="shared" si="5"/>
        <v>pa</v>
      </c>
      <c r="O1223" s="5">
        <f t="shared" si="6"/>
        <v>4</v>
      </c>
      <c r="P1223" s="5" t="str">
        <f t="shared" si="7"/>
        <v>ˈpa</v>
      </c>
      <c r="Q1223" s="5">
        <f t="shared" si="8"/>
        <v>4</v>
      </c>
      <c r="R1223" s="20"/>
      <c r="S1223" s="15" t="s">
        <v>3457</v>
      </c>
      <c r="T1223" s="15" t="s">
        <v>3458</v>
      </c>
      <c r="U1223" s="15" t="s">
        <v>22</v>
      </c>
      <c r="V1223" s="20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</row>
    <row r="1224">
      <c r="A1224" s="3" t="s">
        <v>14</v>
      </c>
      <c r="B1224" s="3" t="s">
        <v>3460</v>
      </c>
      <c r="C1224" s="3" t="s">
        <v>3461</v>
      </c>
      <c r="D1224" s="3" t="s">
        <v>3460</v>
      </c>
      <c r="E1224" s="3" t="s">
        <v>3462</v>
      </c>
      <c r="F1224" s="3" t="s">
        <v>3460</v>
      </c>
      <c r="G1224" s="3" t="s">
        <v>172</v>
      </c>
      <c r="H1224" s="43">
        <f t="shared" ref="H1224:I1224" si="2449">LEN(D1224)-LEN(B1224)+1</f>
        <v>1</v>
      </c>
      <c r="I1224" s="43">
        <f t="shared" si="2449"/>
        <v>3</v>
      </c>
      <c r="J1224" s="4">
        <v>1.0</v>
      </c>
      <c r="K1224" s="4">
        <v>1.0</v>
      </c>
      <c r="L1224" s="5" t="str">
        <f t="shared" ref="L1224:M1224" si="2450">IFS(J1224="-", "-", J1224=H1224, "Final", J1224=1, "Initial", J1224&gt;1, "Medial")</f>
        <v>Final</v>
      </c>
      <c r="M1224" s="44" t="str">
        <f t="shared" si="2450"/>
        <v>Initial</v>
      </c>
      <c r="N1224" s="5" t="str">
        <f t="shared" si="5"/>
        <v>0</v>
      </c>
      <c r="O1224" s="5" t="str">
        <f t="shared" si="6"/>
        <v>-</v>
      </c>
      <c r="P1224" s="5" t="str">
        <f t="shared" si="7"/>
        <v>0</v>
      </c>
      <c r="Q1224" s="5" t="str">
        <f t="shared" si="8"/>
        <v>ˈɲɐj</v>
      </c>
      <c r="R1224" s="3" t="s">
        <v>80</v>
      </c>
      <c r="S1224" s="3" t="s">
        <v>3463</v>
      </c>
      <c r="T1224" s="3" t="s">
        <v>3464</v>
      </c>
      <c r="U1224" s="3" t="s">
        <v>22</v>
      </c>
      <c r="V1224" s="5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>
      <c r="A1225" s="3" t="s">
        <v>14</v>
      </c>
      <c r="B1225" s="3" t="s">
        <v>3460</v>
      </c>
      <c r="C1225" s="3" t="s">
        <v>3461</v>
      </c>
      <c r="D1225" s="3" t="s">
        <v>3460</v>
      </c>
      <c r="E1225" s="3" t="s">
        <v>3462</v>
      </c>
      <c r="F1225" s="3" t="s">
        <v>36</v>
      </c>
      <c r="G1225" s="3" t="s">
        <v>3465</v>
      </c>
      <c r="H1225" s="43">
        <f t="shared" ref="H1225:I1225" si="2451">LEN(D1225)-LEN(B1225)+1</f>
        <v>1</v>
      </c>
      <c r="I1225" s="43">
        <f t="shared" si="2451"/>
        <v>3</v>
      </c>
      <c r="J1225" s="4" t="s">
        <v>36</v>
      </c>
      <c r="K1225" s="4">
        <v>2.0</v>
      </c>
      <c r="L1225" s="5" t="str">
        <f t="shared" ref="L1225:M1225" si="2452">IFS(J1225="-", "-", J1225=H1225, "Final", J1225=1, "Initial", J1225&gt;1, "Medial")</f>
        <v>-</v>
      </c>
      <c r="M1225" s="44" t="str">
        <f t="shared" si="2452"/>
        <v>Medial</v>
      </c>
      <c r="N1225" s="5" t="str">
        <f t="shared" si="5"/>
        <v>ˈdjo</v>
      </c>
      <c r="O1225" s="5" t="str">
        <f t="shared" si="6"/>
        <v>-</v>
      </c>
      <c r="P1225" s="5" t="str">
        <f t="shared" si="7"/>
        <v>di</v>
      </c>
      <c r="Q1225" s="5" t="str">
        <f t="shared" si="8"/>
        <v>ɾu</v>
      </c>
      <c r="R1225" s="3"/>
      <c r="S1225" s="3" t="s">
        <v>3463</v>
      </c>
      <c r="T1225" s="3" t="s">
        <v>3464</v>
      </c>
      <c r="U1225" s="3" t="s">
        <v>22</v>
      </c>
      <c r="V1225" s="5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>
      <c r="A1226" s="3" t="s">
        <v>14</v>
      </c>
      <c r="B1226" s="3" t="s">
        <v>3460</v>
      </c>
      <c r="C1226" s="3" t="s">
        <v>3461</v>
      </c>
      <c r="D1226" s="3" t="s">
        <v>3460</v>
      </c>
      <c r="E1226" s="3" t="s">
        <v>3462</v>
      </c>
      <c r="F1226" s="3" t="s">
        <v>36</v>
      </c>
      <c r="G1226" s="3" t="s">
        <v>1983</v>
      </c>
      <c r="H1226" s="43">
        <f t="shared" ref="H1226:I1226" si="2453">LEN(D1226)-LEN(B1226)+1</f>
        <v>1</v>
      </c>
      <c r="I1226" s="43">
        <f t="shared" si="2453"/>
        <v>3</v>
      </c>
      <c r="J1226" s="4" t="s">
        <v>36</v>
      </c>
      <c r="K1226" s="4">
        <v>3.0</v>
      </c>
      <c r="L1226" s="5" t="str">
        <f t="shared" ref="L1226:M1226" si="2454">IFS(J1226="-", "-", J1226=H1226, "Final", J1226=1, "Initial", J1226&gt;1, "Medial")</f>
        <v>-</v>
      </c>
      <c r="M1226" s="44" t="str">
        <f t="shared" si="2454"/>
        <v>Final</v>
      </c>
      <c r="N1226" s="5" t="str">
        <f t="shared" si="5"/>
        <v>-</v>
      </c>
      <c r="O1226" s="5" t="str">
        <f t="shared" si="6"/>
        <v>-</v>
      </c>
      <c r="P1226" s="5" t="str">
        <f t="shared" si="7"/>
        <v>ˈɲɐj</v>
      </c>
      <c r="Q1226" s="5">
        <f t="shared" si="8"/>
        <v>3</v>
      </c>
      <c r="R1226" s="3"/>
      <c r="S1226" s="3" t="s">
        <v>3463</v>
      </c>
      <c r="T1226" s="3" t="s">
        <v>3464</v>
      </c>
      <c r="U1226" s="3" t="s">
        <v>22</v>
      </c>
      <c r="V1226" s="5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>
      <c r="A1227" s="3" t="s">
        <v>14</v>
      </c>
      <c r="B1227" s="3" t="s">
        <v>3466</v>
      </c>
      <c r="C1227" s="3" t="s">
        <v>3467</v>
      </c>
      <c r="D1227" s="3" t="s">
        <v>3468</v>
      </c>
      <c r="E1227" s="3" t="s">
        <v>3469</v>
      </c>
      <c r="F1227" s="3" t="s">
        <v>1163</v>
      </c>
      <c r="G1227" s="3" t="s">
        <v>79</v>
      </c>
      <c r="H1227" s="43">
        <f t="shared" ref="H1227:I1227" si="2455">LEN(D1227)-LEN(B1227)+1</f>
        <v>2</v>
      </c>
      <c r="I1227" s="43">
        <f t="shared" si="2455"/>
        <v>2</v>
      </c>
      <c r="J1227" s="4">
        <v>1.0</v>
      </c>
      <c r="K1227" s="4">
        <v>1.0</v>
      </c>
      <c r="L1227" s="5" t="str">
        <f t="shared" ref="L1227:M1227" si="2456">IFS(J1227="-", "-", J1227=H1227, "Final", J1227=1, "Initial", J1227&gt;1, "Medial")</f>
        <v>Initial</v>
      </c>
      <c r="M1227" s="44" t="str">
        <f t="shared" si="2456"/>
        <v>Initial</v>
      </c>
      <c r="N1227" s="5" t="str">
        <f t="shared" si="5"/>
        <v>0</v>
      </c>
      <c r="O1227" s="5" t="str">
        <f t="shared" si="6"/>
        <v>ˈvo</v>
      </c>
      <c r="P1227" s="5" t="str">
        <f t="shared" si="7"/>
        <v>0</v>
      </c>
      <c r="Q1227" s="5" t="str">
        <f t="shared" si="8"/>
        <v>ˈvoɾ</v>
      </c>
      <c r="R1227" s="5"/>
      <c r="S1227" s="3" t="s">
        <v>3470</v>
      </c>
      <c r="T1227" s="3" t="s">
        <v>3470</v>
      </c>
      <c r="U1227" s="3" t="s">
        <v>22</v>
      </c>
      <c r="V1227" s="5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>
      <c r="A1228" s="3" t="s">
        <v>14</v>
      </c>
      <c r="B1228" s="3" t="s">
        <v>3466</v>
      </c>
      <c r="C1228" s="3" t="s">
        <v>3467</v>
      </c>
      <c r="D1228" s="3" t="s">
        <v>3468</v>
      </c>
      <c r="E1228" s="3" t="s">
        <v>3469</v>
      </c>
      <c r="F1228" s="3" t="s">
        <v>2279</v>
      </c>
      <c r="G1228" s="3" t="s">
        <v>3471</v>
      </c>
      <c r="H1228" s="43">
        <f t="shared" ref="H1228:I1228" si="2457">LEN(D1228)-LEN(B1228)+1</f>
        <v>2</v>
      </c>
      <c r="I1228" s="43">
        <f t="shared" si="2457"/>
        <v>2</v>
      </c>
      <c r="J1228" s="4">
        <v>2.0</v>
      </c>
      <c r="K1228" s="4">
        <v>2.0</v>
      </c>
      <c r="L1228" s="5" t="str">
        <f t="shared" ref="L1228:M1228" si="2458">IFS(J1228="-", "-", J1228=H1228, "Final", J1228=1, "Initial", J1228&gt;1, "Medial")</f>
        <v>Final</v>
      </c>
      <c r="M1228" s="44" t="str">
        <f t="shared" si="2458"/>
        <v>Final</v>
      </c>
      <c r="N1228" s="5" t="str">
        <f t="shared" si="5"/>
        <v>fa</v>
      </c>
      <c r="O1228" s="5">
        <f t="shared" si="6"/>
        <v>2</v>
      </c>
      <c r="P1228" s="5" t="str">
        <f t="shared" si="7"/>
        <v>fɐ</v>
      </c>
      <c r="Q1228" s="5">
        <f t="shared" si="8"/>
        <v>2</v>
      </c>
      <c r="R1228" s="5"/>
      <c r="S1228" s="3" t="s">
        <v>3470</v>
      </c>
      <c r="T1228" s="3" t="s">
        <v>3470</v>
      </c>
      <c r="U1228" s="3" t="s">
        <v>22</v>
      </c>
      <c r="V1228" s="5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>
      <c r="A1229" s="3" t="s">
        <v>14</v>
      </c>
      <c r="B1229" s="3" t="s">
        <v>3472</v>
      </c>
      <c r="C1229" s="3" t="s">
        <v>3473</v>
      </c>
      <c r="D1229" s="3" t="s">
        <v>3474</v>
      </c>
      <c r="E1229" s="3" t="s">
        <v>3475</v>
      </c>
      <c r="F1229" s="3" t="s">
        <v>1210</v>
      </c>
      <c r="G1229" s="3" t="s">
        <v>1217</v>
      </c>
      <c r="H1229" s="43">
        <f t="shared" ref="H1229:I1229" si="2459">LEN(D1229)-LEN(B1229)+1</f>
        <v>3</v>
      </c>
      <c r="I1229" s="43">
        <f t="shared" si="2459"/>
        <v>3</v>
      </c>
      <c r="J1229" s="4">
        <v>1.0</v>
      </c>
      <c r="K1229" s="4">
        <v>1.0</v>
      </c>
      <c r="L1229" s="5" t="str">
        <f t="shared" ref="L1229:M1229" si="2460">IFS(J1229="-", "-", J1229=H1229, "Final", J1229=1, "Initial", J1229&gt;1, "Medial")</f>
        <v>Initial</v>
      </c>
      <c r="M1229" s="44" t="str">
        <f t="shared" si="2460"/>
        <v>Initial</v>
      </c>
      <c r="N1229" s="5" t="str">
        <f t="shared" si="5"/>
        <v>0</v>
      </c>
      <c r="O1229" s="5" t="str">
        <f t="shared" si="6"/>
        <v>ˈtu</v>
      </c>
      <c r="P1229" s="5" t="str">
        <f t="shared" si="7"/>
        <v>0</v>
      </c>
      <c r="Q1229" s="5" t="str">
        <f t="shared" si="8"/>
        <v>ˈtu</v>
      </c>
      <c r="R1229" s="5"/>
      <c r="S1229" s="3" t="s">
        <v>3476</v>
      </c>
      <c r="T1229" s="3" t="s">
        <v>3477</v>
      </c>
      <c r="U1229" s="3" t="s">
        <v>22</v>
      </c>
      <c r="V1229" s="5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>
      <c r="A1230" s="3" t="s">
        <v>14</v>
      </c>
      <c r="B1230" s="3" t="s">
        <v>3472</v>
      </c>
      <c r="C1230" s="3" t="s">
        <v>3473</v>
      </c>
      <c r="D1230" s="3" t="s">
        <v>3474</v>
      </c>
      <c r="E1230" s="3" t="s">
        <v>3475</v>
      </c>
      <c r="F1230" s="3" t="s">
        <v>2424</v>
      </c>
      <c r="G1230" s="3" t="s">
        <v>2424</v>
      </c>
      <c r="H1230" s="43">
        <f t="shared" ref="H1230:I1230" si="2461">LEN(D1230)-LEN(B1230)+1</f>
        <v>3</v>
      </c>
      <c r="I1230" s="43">
        <f t="shared" si="2461"/>
        <v>3</v>
      </c>
      <c r="J1230" s="4">
        <v>2.0</v>
      </c>
      <c r="K1230" s="4">
        <v>2.0</v>
      </c>
      <c r="L1230" s="5" t="str">
        <f t="shared" ref="L1230:M1230" si="2462">IFS(J1230="-", "-", J1230=H1230, "Final", J1230=1, "Initial", J1230&gt;1, "Medial")</f>
        <v>Medial</v>
      </c>
      <c r="M1230" s="44" t="str">
        <f t="shared" si="2462"/>
        <v>Medial</v>
      </c>
      <c r="N1230" s="5" t="str">
        <f t="shared" si="5"/>
        <v>fu</v>
      </c>
      <c r="O1230" s="5" t="str">
        <f t="shared" si="6"/>
        <v>nɐ</v>
      </c>
      <c r="P1230" s="5" t="str">
        <f t="shared" si="7"/>
        <v>fuɾ</v>
      </c>
      <c r="Q1230" s="5" t="str">
        <f t="shared" si="8"/>
        <v>nɐ</v>
      </c>
      <c r="R1230" s="5"/>
      <c r="S1230" s="3" t="s">
        <v>3476</v>
      </c>
      <c r="T1230" s="3" t="s">
        <v>3477</v>
      </c>
      <c r="U1230" s="3" t="s">
        <v>22</v>
      </c>
      <c r="V1230" s="5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>
      <c r="A1231" s="3" t="s">
        <v>14</v>
      </c>
      <c r="B1231" s="3" t="s">
        <v>3472</v>
      </c>
      <c r="C1231" s="3" t="s">
        <v>3473</v>
      </c>
      <c r="D1231" s="3" t="s">
        <v>3474</v>
      </c>
      <c r="E1231" s="3" t="s">
        <v>3475</v>
      </c>
      <c r="F1231" s="3" t="s">
        <v>65</v>
      </c>
      <c r="G1231" s="3" t="s">
        <v>65</v>
      </c>
      <c r="H1231" s="43">
        <f t="shared" ref="H1231:I1231" si="2463">LEN(D1231)-LEN(B1231)+1</f>
        <v>3</v>
      </c>
      <c r="I1231" s="43">
        <f t="shared" si="2463"/>
        <v>3</v>
      </c>
      <c r="J1231" s="4">
        <v>3.0</v>
      </c>
      <c r="K1231" s="4">
        <v>3.0</v>
      </c>
      <c r="L1231" s="5" t="str">
        <f t="shared" ref="L1231:M1231" si="2464">IFS(J1231="-", "-", J1231=H1231, "Final", J1231=1, "Initial", J1231&gt;1, "Medial")</f>
        <v>Final</v>
      </c>
      <c r="M1231" s="44" t="str">
        <f t="shared" si="2464"/>
        <v>Final</v>
      </c>
      <c r="N1231" s="5" t="str">
        <f t="shared" si="5"/>
        <v>ˈtu</v>
      </c>
      <c r="O1231" s="5">
        <f t="shared" si="6"/>
        <v>3</v>
      </c>
      <c r="P1231" s="5" t="str">
        <f t="shared" si="7"/>
        <v>ˈtu</v>
      </c>
      <c r="Q1231" s="5">
        <f t="shared" si="8"/>
        <v>3</v>
      </c>
      <c r="R1231" s="5"/>
      <c r="S1231" s="3" t="s">
        <v>3476</v>
      </c>
      <c r="T1231" s="3" t="s">
        <v>3477</v>
      </c>
      <c r="U1231" s="3" t="s">
        <v>22</v>
      </c>
      <c r="V1231" s="5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>
      <c r="A1232" s="15" t="s">
        <v>14</v>
      </c>
      <c r="B1232" s="15" t="s">
        <v>3478</v>
      </c>
      <c r="C1232" s="15" t="s">
        <v>3479</v>
      </c>
      <c r="D1232" s="15" t="s">
        <v>3480</v>
      </c>
      <c r="E1232" s="15" t="s">
        <v>3481</v>
      </c>
      <c r="F1232" s="15" t="s">
        <v>425</v>
      </c>
      <c r="G1232" s="15" t="s">
        <v>175</v>
      </c>
      <c r="H1232" s="43">
        <f t="shared" ref="H1232:I1232" si="2465">LEN(D1232)-LEN(B1232)+1</f>
        <v>2</v>
      </c>
      <c r="I1232" s="43">
        <f t="shared" si="2465"/>
        <v>3</v>
      </c>
      <c r="J1232" s="18">
        <v>1.0</v>
      </c>
      <c r="K1232" s="18">
        <v>1.0</v>
      </c>
      <c r="L1232" s="5" t="str">
        <f t="shared" ref="L1232:M1232" si="2466">IFS(J1232="-", "-", J1232=H1232, "Final", J1232=1, "Initial", J1232&gt;1, "Medial")</f>
        <v>Initial</v>
      </c>
      <c r="M1232" s="44" t="str">
        <f t="shared" si="2466"/>
        <v>Initial</v>
      </c>
      <c r="N1232" s="5" t="str">
        <f t="shared" si="5"/>
        <v>0</v>
      </c>
      <c r="O1232" s="5" t="str">
        <f t="shared" si="6"/>
        <v>ˈmĩ</v>
      </c>
      <c r="P1232" s="5" t="str">
        <f t="shared" si="7"/>
        <v>0</v>
      </c>
      <c r="Q1232" s="5" t="str">
        <f t="shared" si="8"/>
        <v>ˈmi</v>
      </c>
      <c r="R1232" s="15" t="s">
        <v>80</v>
      </c>
      <c r="S1232" s="15" t="s">
        <v>3482</v>
      </c>
      <c r="T1232" s="15" t="s">
        <v>3483</v>
      </c>
      <c r="U1232" s="15" t="s">
        <v>22</v>
      </c>
      <c r="V1232" s="20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</row>
    <row r="1233">
      <c r="A1233" s="15" t="s">
        <v>14</v>
      </c>
      <c r="B1233" s="15" t="s">
        <v>3478</v>
      </c>
      <c r="C1233" s="15" t="s">
        <v>3479</v>
      </c>
      <c r="D1233" s="15" t="s">
        <v>3480</v>
      </c>
      <c r="E1233" s="15" t="s">
        <v>3481</v>
      </c>
      <c r="F1233" s="15" t="s">
        <v>1830</v>
      </c>
      <c r="G1233" s="15" t="s">
        <v>918</v>
      </c>
      <c r="H1233" s="43">
        <f t="shared" ref="H1233:I1233" si="2467">LEN(D1233)-LEN(B1233)+1</f>
        <v>2</v>
      </c>
      <c r="I1233" s="43">
        <f t="shared" si="2467"/>
        <v>3</v>
      </c>
      <c r="J1233" s="18">
        <v>2.0</v>
      </c>
      <c r="K1233" s="18">
        <v>2.0</v>
      </c>
      <c r="L1233" s="5" t="str">
        <f t="shared" ref="L1233:M1233" si="2468">IFS(J1233="-", "-", J1233=H1233, "Final", J1233=1, "Initial", J1233&gt;1, "Medial")</f>
        <v>Final</v>
      </c>
      <c r="M1233" s="44" t="str">
        <f t="shared" si="2468"/>
        <v>Medial</v>
      </c>
      <c r="N1233" s="5" t="str">
        <f t="shared" si="5"/>
        <v>ku</v>
      </c>
      <c r="O1233" s="5" t="str">
        <f t="shared" si="6"/>
        <v>-</v>
      </c>
      <c r="P1233" s="5" t="str">
        <f t="shared" si="7"/>
        <v>kɐ</v>
      </c>
      <c r="Q1233" s="5" t="str">
        <f t="shared" si="8"/>
        <v>ɲu</v>
      </c>
      <c r="R1233" s="15"/>
      <c r="S1233" s="15" t="s">
        <v>3482</v>
      </c>
      <c r="T1233" s="15" t="s">
        <v>3483</v>
      </c>
      <c r="U1233" s="15" t="s">
        <v>22</v>
      </c>
      <c r="V1233" s="20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</row>
    <row r="1234">
      <c r="A1234" s="15" t="s">
        <v>14</v>
      </c>
      <c r="B1234" s="15" t="s">
        <v>3478</v>
      </c>
      <c r="C1234" s="15" t="s">
        <v>3479</v>
      </c>
      <c r="D1234" s="15" t="s">
        <v>3480</v>
      </c>
      <c r="E1234" s="15" t="s">
        <v>3481</v>
      </c>
      <c r="F1234" s="15" t="s">
        <v>36</v>
      </c>
      <c r="G1234" s="15" t="s">
        <v>1899</v>
      </c>
      <c r="H1234" s="43">
        <f t="shared" ref="H1234:I1234" si="2469">LEN(D1234)-LEN(B1234)+1</f>
        <v>2</v>
      </c>
      <c r="I1234" s="43">
        <f t="shared" si="2469"/>
        <v>3</v>
      </c>
      <c r="J1234" s="18" t="s">
        <v>36</v>
      </c>
      <c r="K1234" s="18">
        <v>3.0</v>
      </c>
      <c r="L1234" s="5" t="str">
        <f t="shared" ref="L1234:M1234" si="2470">IFS(J1234="-", "-", J1234=H1234, "Final", J1234=1, "Initial", J1234&gt;1, "Medial")</f>
        <v>-</v>
      </c>
      <c r="M1234" s="44" t="str">
        <f t="shared" si="2470"/>
        <v>Final</v>
      </c>
      <c r="N1234" s="5" t="str">
        <f t="shared" si="5"/>
        <v>ˈmĩ</v>
      </c>
      <c r="O1234" s="5" t="str">
        <f t="shared" si="6"/>
        <v>-</v>
      </c>
      <c r="P1234" s="5" t="str">
        <f t="shared" si="7"/>
        <v>ˈmi</v>
      </c>
      <c r="Q1234" s="5">
        <f t="shared" si="8"/>
        <v>3</v>
      </c>
      <c r="R1234" s="20"/>
      <c r="S1234" s="15" t="s">
        <v>3482</v>
      </c>
      <c r="T1234" s="15" t="s">
        <v>3483</v>
      </c>
      <c r="U1234" s="15" t="s">
        <v>22</v>
      </c>
      <c r="V1234" s="20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</row>
    <row r="1235">
      <c r="A1235" s="3" t="s">
        <v>14</v>
      </c>
      <c r="B1235" s="3" t="s">
        <v>3484</v>
      </c>
      <c r="C1235" s="3" t="s">
        <v>3485</v>
      </c>
      <c r="D1235" s="3" t="s">
        <v>3486</v>
      </c>
      <c r="E1235" s="3" t="s">
        <v>3487</v>
      </c>
      <c r="F1235" s="3" t="s">
        <v>131</v>
      </c>
      <c r="G1235" s="3" t="s">
        <v>132</v>
      </c>
      <c r="H1235" s="43">
        <f t="shared" ref="H1235:I1235" si="2471">LEN(D1235)-LEN(B1235)+1</f>
        <v>2</v>
      </c>
      <c r="I1235" s="43">
        <f t="shared" si="2471"/>
        <v>2</v>
      </c>
      <c r="J1235" s="4">
        <v>1.0</v>
      </c>
      <c r="K1235" s="4">
        <v>1.0</v>
      </c>
      <c r="L1235" s="5" t="str">
        <f t="shared" ref="L1235:M1235" si="2472">IFS(J1235="-", "-", J1235=H1235, "Final", J1235=1, "Initial", J1235&gt;1, "Medial")</f>
        <v>Initial</v>
      </c>
      <c r="M1235" s="44" t="str">
        <f t="shared" si="2472"/>
        <v>Initial</v>
      </c>
      <c r="N1235" s="5" t="str">
        <f t="shared" si="5"/>
        <v>0</v>
      </c>
      <c r="O1235" s="5" t="str">
        <f t="shared" si="6"/>
        <v>tɐ</v>
      </c>
      <c r="P1235" s="5" t="str">
        <f t="shared" si="7"/>
        <v>0</v>
      </c>
      <c r="Q1235" s="5" t="str">
        <f t="shared" si="8"/>
        <v>tɐ</v>
      </c>
      <c r="R1235" s="5"/>
      <c r="S1235" s="3" t="s">
        <v>3488</v>
      </c>
      <c r="T1235" s="3" t="s">
        <v>3489</v>
      </c>
      <c r="U1235" s="3" t="s">
        <v>22</v>
      </c>
      <c r="V1235" s="5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>
      <c r="A1236" s="3" t="s">
        <v>14</v>
      </c>
      <c r="B1236" s="3" t="s">
        <v>3484</v>
      </c>
      <c r="C1236" s="3" t="s">
        <v>3485</v>
      </c>
      <c r="D1236" s="3" t="s">
        <v>3486</v>
      </c>
      <c r="E1236" s="3" t="s">
        <v>3487</v>
      </c>
      <c r="F1236" s="3" t="s">
        <v>238</v>
      </c>
      <c r="G1236" s="3" t="s">
        <v>238</v>
      </c>
      <c r="H1236" s="43">
        <f t="shared" ref="H1236:I1236" si="2473">LEN(D1236)-LEN(B1236)+1</f>
        <v>2</v>
      </c>
      <c r="I1236" s="43">
        <f t="shared" si="2473"/>
        <v>2</v>
      </c>
      <c r="J1236" s="4">
        <v>2.0</v>
      </c>
      <c r="K1236" s="4">
        <v>2.0</v>
      </c>
      <c r="L1236" s="5" t="str">
        <f t="shared" ref="L1236:M1236" si="2474">IFS(J1236="-", "-", J1236=H1236, "Final", J1236=1, "Initial", J1236&gt;1, "Medial")</f>
        <v>Final</v>
      </c>
      <c r="M1236" s="44" t="str">
        <f t="shared" si="2474"/>
        <v>Final</v>
      </c>
      <c r="N1236" s="5" t="str">
        <f t="shared" si="5"/>
        <v>ˈka</v>
      </c>
      <c r="O1236" s="5">
        <f t="shared" si="6"/>
        <v>2</v>
      </c>
      <c r="P1236" s="5" t="str">
        <f t="shared" si="7"/>
        <v>ˈkaɾ</v>
      </c>
      <c r="Q1236" s="5">
        <f t="shared" si="8"/>
        <v>2</v>
      </c>
      <c r="R1236" s="5"/>
      <c r="S1236" s="3" t="s">
        <v>3488</v>
      </c>
      <c r="T1236" s="3" t="s">
        <v>3489</v>
      </c>
      <c r="U1236" s="3" t="s">
        <v>22</v>
      </c>
      <c r="V1236" s="5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>
      <c r="A1237" s="3" t="s">
        <v>14</v>
      </c>
      <c r="B1237" s="3" t="s">
        <v>3490</v>
      </c>
      <c r="C1237" s="3" t="s">
        <v>3491</v>
      </c>
      <c r="D1237" s="3" t="s">
        <v>3492</v>
      </c>
      <c r="E1237" s="3" t="s">
        <v>3493</v>
      </c>
      <c r="F1237" s="3" t="s">
        <v>108</v>
      </c>
      <c r="G1237" s="3" t="s">
        <v>175</v>
      </c>
      <c r="H1237" s="43">
        <f t="shared" ref="H1237:I1237" si="2475">LEN(D1237)-LEN(B1237)+1</f>
        <v>4</v>
      </c>
      <c r="I1237" s="43">
        <f t="shared" si="2475"/>
        <v>4</v>
      </c>
      <c r="J1237" s="4">
        <v>1.0</v>
      </c>
      <c r="K1237" s="4">
        <v>1.0</v>
      </c>
      <c r="L1237" s="5" t="str">
        <f t="shared" ref="L1237:M1237" si="2476">IFS(J1237="-", "-", J1237=H1237, "Final", J1237=1, "Initial", J1237&gt;1, "Medial")</f>
        <v>Initial</v>
      </c>
      <c r="M1237" s="44" t="str">
        <f t="shared" si="2476"/>
        <v>Initial</v>
      </c>
      <c r="N1237" s="5" t="str">
        <f t="shared" si="5"/>
        <v>0</v>
      </c>
      <c r="O1237" s="5" t="str">
        <f t="shared" si="6"/>
        <v>za</v>
      </c>
      <c r="P1237" s="5" t="str">
        <f t="shared" si="7"/>
        <v>0</v>
      </c>
      <c r="Q1237" s="5" t="str">
        <f t="shared" si="8"/>
        <v>zɐ</v>
      </c>
      <c r="R1237" s="5"/>
      <c r="S1237" s="3" t="s">
        <v>3494</v>
      </c>
      <c r="T1237" s="3" t="s">
        <v>3495</v>
      </c>
      <c r="U1237" s="3" t="s">
        <v>22</v>
      </c>
      <c r="V1237" s="5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>
      <c r="A1238" s="3" t="s">
        <v>14</v>
      </c>
      <c r="B1238" s="3" t="s">
        <v>3490</v>
      </c>
      <c r="C1238" s="3" t="s">
        <v>3491</v>
      </c>
      <c r="D1238" s="3" t="s">
        <v>3492</v>
      </c>
      <c r="E1238" s="3" t="s">
        <v>3493</v>
      </c>
      <c r="F1238" s="3" t="s">
        <v>2272</v>
      </c>
      <c r="G1238" s="3" t="s">
        <v>296</v>
      </c>
      <c r="H1238" s="43">
        <f t="shared" ref="H1238:I1238" si="2477">LEN(D1238)-LEN(B1238)+1</f>
        <v>4</v>
      </c>
      <c r="I1238" s="43">
        <f t="shared" si="2477"/>
        <v>4</v>
      </c>
      <c r="J1238" s="4">
        <v>2.0</v>
      </c>
      <c r="K1238" s="4">
        <v>2.0</v>
      </c>
      <c r="L1238" s="5" t="str">
        <f t="shared" ref="L1238:M1238" si="2478">IFS(J1238="-", "-", J1238=H1238, "Final", J1238=1, "Initial", J1238&gt;1, "Medial")</f>
        <v>Medial</v>
      </c>
      <c r="M1238" s="44" t="str">
        <f t="shared" si="2478"/>
        <v>Medial</v>
      </c>
      <c r="N1238" s="5" t="str">
        <f t="shared" si="5"/>
        <v>ka</v>
      </c>
      <c r="O1238" s="5" t="str">
        <f t="shared" si="6"/>
        <v>ˈmẽ</v>
      </c>
      <c r="P1238" s="5" t="str">
        <f t="shared" si="7"/>
        <v>kɐ</v>
      </c>
      <c r="Q1238" s="5" t="str">
        <f t="shared" si="8"/>
        <v>ˈmẽ</v>
      </c>
      <c r="R1238" s="5"/>
      <c r="S1238" s="3" t="s">
        <v>3494</v>
      </c>
      <c r="T1238" s="3" t="s">
        <v>3495</v>
      </c>
      <c r="U1238" s="3" t="s">
        <v>22</v>
      </c>
      <c r="V1238" s="5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>
      <c r="A1239" s="3" t="s">
        <v>14</v>
      </c>
      <c r="B1239" s="3" t="s">
        <v>3490</v>
      </c>
      <c r="C1239" s="3" t="s">
        <v>3491</v>
      </c>
      <c r="D1239" s="3" t="s">
        <v>3492</v>
      </c>
      <c r="E1239" s="3" t="s">
        <v>3493</v>
      </c>
      <c r="F1239" s="3" t="s">
        <v>1478</v>
      </c>
      <c r="G1239" s="3" t="s">
        <v>1478</v>
      </c>
      <c r="H1239" s="43">
        <f t="shared" ref="H1239:I1239" si="2479">LEN(D1239)-LEN(B1239)+1</f>
        <v>4</v>
      </c>
      <c r="I1239" s="43">
        <f t="shared" si="2479"/>
        <v>4</v>
      </c>
      <c r="J1239" s="4">
        <v>3.0</v>
      </c>
      <c r="K1239" s="4">
        <v>3.0</v>
      </c>
      <c r="L1239" s="5" t="str">
        <f t="shared" ref="L1239:M1239" si="2480">IFS(J1239="-", "-", J1239=H1239, "Final", J1239=1, "Initial", J1239&gt;1, "Medial")</f>
        <v>Medial</v>
      </c>
      <c r="M1239" s="44" t="str">
        <f t="shared" si="2480"/>
        <v>Medial</v>
      </c>
      <c r="N1239" s="5" t="str">
        <f t="shared" si="5"/>
        <v>za</v>
      </c>
      <c r="O1239" s="5" t="str">
        <f t="shared" si="6"/>
        <v>tu</v>
      </c>
      <c r="P1239" s="5" t="str">
        <f t="shared" si="7"/>
        <v>zɐ</v>
      </c>
      <c r="Q1239" s="5" t="str">
        <f t="shared" si="8"/>
        <v>tu</v>
      </c>
      <c r="R1239" s="5"/>
      <c r="S1239" s="3" t="s">
        <v>3494</v>
      </c>
      <c r="T1239" s="3" t="s">
        <v>3495</v>
      </c>
      <c r="U1239" s="3" t="s">
        <v>22</v>
      </c>
      <c r="V1239" s="5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>
      <c r="A1240" s="3" t="s">
        <v>14</v>
      </c>
      <c r="B1240" s="3" t="s">
        <v>3490</v>
      </c>
      <c r="C1240" s="3" t="s">
        <v>3491</v>
      </c>
      <c r="D1240" s="3" t="s">
        <v>3492</v>
      </c>
      <c r="E1240" s="3" t="s">
        <v>3493</v>
      </c>
      <c r="F1240" s="3" t="s">
        <v>784</v>
      </c>
      <c r="G1240" s="3" t="s">
        <v>784</v>
      </c>
      <c r="H1240" s="43">
        <f t="shared" ref="H1240:I1240" si="2481">LEN(D1240)-LEN(B1240)+1</f>
        <v>4</v>
      </c>
      <c r="I1240" s="43">
        <f t="shared" si="2481"/>
        <v>4</v>
      </c>
      <c r="J1240" s="4">
        <v>4.0</v>
      </c>
      <c r="K1240" s="4">
        <v>4.0</v>
      </c>
      <c r="L1240" s="5" t="str">
        <f t="shared" ref="L1240:M1240" si="2482">IFS(J1240="-", "-", J1240=H1240, "Final", J1240=1, "Initial", J1240&gt;1, "Medial")</f>
        <v>Final</v>
      </c>
      <c r="M1240" s="44" t="str">
        <f t="shared" si="2482"/>
        <v>Final</v>
      </c>
      <c r="N1240" s="5" t="str">
        <f t="shared" si="5"/>
        <v>ˈmẽ</v>
      </c>
      <c r="O1240" s="5">
        <f t="shared" si="6"/>
        <v>4</v>
      </c>
      <c r="P1240" s="5" t="str">
        <f t="shared" si="7"/>
        <v>ˈmẽ</v>
      </c>
      <c r="Q1240" s="5">
        <f t="shared" si="8"/>
        <v>4</v>
      </c>
      <c r="R1240" s="5"/>
      <c r="S1240" s="3" t="s">
        <v>3494</v>
      </c>
      <c r="T1240" s="3" t="s">
        <v>3495</v>
      </c>
      <c r="U1240" s="3" t="s">
        <v>22</v>
      </c>
      <c r="V1240" s="5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>
      <c r="A1241" s="15" t="s">
        <v>14</v>
      </c>
      <c r="B1241" s="15" t="s">
        <v>3496</v>
      </c>
      <c r="C1241" s="15" t="s">
        <v>3497</v>
      </c>
      <c r="D1241" s="15" t="s">
        <v>3498</v>
      </c>
      <c r="E1241" s="15" t="s">
        <v>3499</v>
      </c>
      <c r="F1241" s="15"/>
      <c r="G1241" s="15"/>
      <c r="H1241" s="43">
        <f t="shared" ref="H1241:I1241" si="2483">LEN(D1241)-LEN(B1241)+1</f>
        <v>3</v>
      </c>
      <c r="I1241" s="43">
        <f t="shared" si="2483"/>
        <v>3</v>
      </c>
      <c r="J1241" s="18"/>
      <c r="K1241" s="18"/>
      <c r="L1241" s="5" t="str">
        <f t="shared" ref="L1241:M1241" si="2484">IFS(J1241="-", "-", J1241=H1241, "Final", J1241=1, "Initial", J1241&gt;1, "Medial")</f>
        <v>#N/A</v>
      </c>
      <c r="M1241" s="44" t="str">
        <f t="shared" si="2484"/>
        <v>#N/A</v>
      </c>
      <c r="N1241" s="5" t="str">
        <f t="shared" si="5"/>
        <v>0</v>
      </c>
      <c r="O1241" s="5" t="str">
        <f t="shared" si="6"/>
        <v/>
      </c>
      <c r="P1241" s="5" t="str">
        <f t="shared" si="7"/>
        <v>0</v>
      </c>
      <c r="Q1241" s="5" t="str">
        <f t="shared" si="8"/>
        <v/>
      </c>
      <c r="R1241" s="20"/>
      <c r="S1241" s="15" t="s">
        <v>3500</v>
      </c>
      <c r="T1241" s="15" t="s">
        <v>3501</v>
      </c>
      <c r="U1241" s="15" t="s">
        <v>22</v>
      </c>
      <c r="V1241" s="15" t="s">
        <v>560</v>
      </c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</row>
    <row r="1242">
      <c r="A1242" s="3" t="s">
        <v>14</v>
      </c>
      <c r="B1242" s="3" t="s">
        <v>3502</v>
      </c>
      <c r="C1242" s="3" t="s">
        <v>3503</v>
      </c>
      <c r="D1242" s="3" t="s">
        <v>3504</v>
      </c>
      <c r="E1242" s="3" t="s">
        <v>3505</v>
      </c>
      <c r="F1242" s="3" t="s">
        <v>197</v>
      </c>
      <c r="G1242" s="3" t="s">
        <v>197</v>
      </c>
      <c r="H1242" s="43">
        <f t="shared" ref="H1242:I1242" si="2485">LEN(D1242)-LEN(B1242)+1</f>
        <v>2</v>
      </c>
      <c r="I1242" s="43">
        <f t="shared" si="2485"/>
        <v>2</v>
      </c>
      <c r="J1242" s="4">
        <v>1.0</v>
      </c>
      <c r="K1242" s="4">
        <v>1.0</v>
      </c>
      <c r="L1242" s="5" t="str">
        <f t="shared" ref="L1242:M1242" si="2486">IFS(J1242="-", "-", J1242=H1242, "Final", J1242=1, "Initial", J1242&gt;1, "Medial")</f>
        <v>Initial</v>
      </c>
      <c r="M1242" s="44" t="str">
        <f t="shared" si="2486"/>
        <v>Initial</v>
      </c>
      <c r="N1242" s="5" t="str">
        <f t="shared" si="5"/>
        <v>0</v>
      </c>
      <c r="O1242" s="5" t="str">
        <f t="shared" si="6"/>
        <v>ˈsɐ̃</v>
      </c>
      <c r="P1242" s="5" t="str">
        <f t="shared" si="7"/>
        <v>0</v>
      </c>
      <c r="Q1242" s="5" t="str">
        <f t="shared" si="8"/>
        <v>ˈsɐ̃w̃</v>
      </c>
      <c r="R1242" s="3" t="s">
        <v>72</v>
      </c>
      <c r="S1242" s="3" t="s">
        <v>3506</v>
      </c>
      <c r="T1242" s="3" t="s">
        <v>3507</v>
      </c>
      <c r="U1242" s="3" t="s">
        <v>22</v>
      </c>
      <c r="V1242" s="5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>
      <c r="A1243" s="3" t="s">
        <v>14</v>
      </c>
      <c r="B1243" s="3" t="s">
        <v>3502</v>
      </c>
      <c r="C1243" s="3" t="s">
        <v>3503</v>
      </c>
      <c r="D1243" s="3" t="s">
        <v>3504</v>
      </c>
      <c r="E1243" s="3" t="s">
        <v>3505</v>
      </c>
      <c r="F1243" s="3" t="s">
        <v>181</v>
      </c>
      <c r="G1243" s="3" t="s">
        <v>428</v>
      </c>
      <c r="H1243" s="43">
        <f t="shared" ref="H1243:I1243" si="2487">LEN(D1243)-LEN(B1243)+1</f>
        <v>2</v>
      </c>
      <c r="I1243" s="43">
        <f t="shared" si="2487"/>
        <v>2</v>
      </c>
      <c r="J1243" s="4">
        <v>2.0</v>
      </c>
      <c r="K1243" s="4">
        <v>2.0</v>
      </c>
      <c r="L1243" s="5" t="str">
        <f t="shared" ref="L1243:M1243" si="2488">IFS(J1243="-", "-", J1243=H1243, "Final", J1243=1, "Initial", J1243&gt;1, "Medial")</f>
        <v>Final</v>
      </c>
      <c r="M1243" s="44" t="str">
        <f t="shared" si="2488"/>
        <v>Final</v>
      </c>
      <c r="N1243" s="5" t="str">
        <f t="shared" si="5"/>
        <v>li</v>
      </c>
      <c r="O1243" s="5">
        <f t="shared" si="6"/>
        <v>2</v>
      </c>
      <c r="P1243" s="5" t="str">
        <f t="shared" si="7"/>
        <v>li</v>
      </c>
      <c r="Q1243" s="5">
        <f t="shared" si="8"/>
        <v>2</v>
      </c>
      <c r="R1243" s="3"/>
      <c r="S1243" s="3" t="s">
        <v>3506</v>
      </c>
      <c r="T1243" s="3" t="s">
        <v>3507</v>
      </c>
      <c r="U1243" s="3" t="s">
        <v>22</v>
      </c>
      <c r="V1243" s="5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>
      <c r="A1244" s="3" t="s">
        <v>14</v>
      </c>
      <c r="B1244" s="3" t="s">
        <v>3508</v>
      </c>
      <c r="C1244" s="3" t="s">
        <v>3509</v>
      </c>
      <c r="D1244" s="3" t="s">
        <v>3510</v>
      </c>
      <c r="E1244" s="3" t="s">
        <v>3511</v>
      </c>
      <c r="F1244" s="3" t="s">
        <v>623</v>
      </c>
      <c r="G1244" s="3" t="s">
        <v>623</v>
      </c>
      <c r="H1244" s="43">
        <f t="shared" ref="H1244:I1244" si="2489">LEN(D1244)-LEN(B1244)+1</f>
        <v>2</v>
      </c>
      <c r="I1244" s="43">
        <f t="shared" si="2489"/>
        <v>2</v>
      </c>
      <c r="J1244" s="4">
        <v>1.0</v>
      </c>
      <c r="K1244" s="4">
        <v>1.0</v>
      </c>
      <c r="L1244" s="5" t="str">
        <f t="shared" ref="L1244:M1244" si="2490">IFS(J1244="-", "-", J1244=H1244, "Final", J1244=1, "Initial", J1244&gt;1, "Medial")</f>
        <v>Initial</v>
      </c>
      <c r="M1244" s="44" t="str">
        <f t="shared" si="2490"/>
        <v>Initial</v>
      </c>
      <c r="N1244" s="5" t="str">
        <f t="shared" si="5"/>
        <v>0</v>
      </c>
      <c r="O1244" s="5" t="str">
        <f t="shared" si="6"/>
        <v>vu</v>
      </c>
      <c r="P1244" s="5" t="str">
        <f t="shared" si="7"/>
        <v>0</v>
      </c>
      <c r="Q1244" s="5" t="str">
        <f t="shared" si="8"/>
        <v>vɾu</v>
      </c>
      <c r="R1244" s="5"/>
      <c r="S1244" s="3" t="s">
        <v>3512</v>
      </c>
      <c r="T1244" s="3" t="s">
        <v>3513</v>
      </c>
      <c r="U1244" s="3" t="s">
        <v>22</v>
      </c>
      <c r="V1244" s="5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>
      <c r="A1245" s="3" t="s">
        <v>14</v>
      </c>
      <c r="B1245" s="3" t="s">
        <v>3508</v>
      </c>
      <c r="C1245" s="3" t="s">
        <v>3509</v>
      </c>
      <c r="D1245" s="3" t="s">
        <v>3510</v>
      </c>
      <c r="E1245" s="3" t="s">
        <v>3511</v>
      </c>
      <c r="F1245" s="3" t="s">
        <v>222</v>
      </c>
      <c r="G1245" s="3" t="s">
        <v>3514</v>
      </c>
      <c r="H1245" s="43">
        <f t="shared" ref="H1245:I1245" si="2491">LEN(D1245)-LEN(B1245)+1</f>
        <v>2</v>
      </c>
      <c r="I1245" s="43">
        <f t="shared" si="2491"/>
        <v>2</v>
      </c>
      <c r="J1245" s="4">
        <v>2.0</v>
      </c>
      <c r="K1245" s="4">
        <v>2.0</v>
      </c>
      <c r="L1245" s="5" t="str">
        <f t="shared" ref="L1245:M1245" si="2492">IFS(J1245="-", "-", J1245=H1245, "Final", J1245=1, "Initial", J1245&gt;1, "Medial")</f>
        <v>Final</v>
      </c>
      <c r="M1245" s="44" t="str">
        <f t="shared" si="2492"/>
        <v>Final</v>
      </c>
      <c r="N1245" s="5" t="str">
        <f t="shared" si="5"/>
        <v>ˈli</v>
      </c>
      <c r="O1245" s="5">
        <f t="shared" si="6"/>
        <v>2</v>
      </c>
      <c r="P1245" s="5" t="str">
        <f t="shared" si="7"/>
        <v>ˈli</v>
      </c>
      <c r="Q1245" s="5">
        <f t="shared" si="8"/>
        <v>2</v>
      </c>
      <c r="R1245" s="5"/>
      <c r="S1245" s="3" t="s">
        <v>3512</v>
      </c>
      <c r="T1245" s="3" t="s">
        <v>3513</v>
      </c>
      <c r="U1245" s="3" t="s">
        <v>22</v>
      </c>
      <c r="V1245" s="5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>
      <c r="A1246" s="3" t="s">
        <v>14</v>
      </c>
      <c r="B1246" s="3" t="s">
        <v>3515</v>
      </c>
      <c r="C1246" s="3" t="s">
        <v>3516</v>
      </c>
      <c r="D1246" s="3" t="s">
        <v>3517</v>
      </c>
      <c r="E1246" s="3" t="s">
        <v>3518</v>
      </c>
      <c r="F1246" s="3" t="s">
        <v>2600</v>
      </c>
      <c r="G1246" s="3" t="s">
        <v>662</v>
      </c>
      <c r="H1246" s="43">
        <f t="shared" ref="H1246:I1246" si="2493">LEN(D1246)-LEN(B1246)+1</f>
        <v>2</v>
      </c>
      <c r="I1246" s="43">
        <f t="shared" si="2493"/>
        <v>2</v>
      </c>
      <c r="J1246" s="4">
        <v>1.0</v>
      </c>
      <c r="K1246" s="4">
        <v>1.0</v>
      </c>
      <c r="L1246" s="5" t="str">
        <f t="shared" ref="L1246:M1246" si="2494">IFS(J1246="-", "-", J1246=H1246, "Final", J1246=1, "Initial", J1246&gt;1, "Medial")</f>
        <v>Initial</v>
      </c>
      <c r="M1246" s="44" t="str">
        <f t="shared" si="2494"/>
        <v>Initial</v>
      </c>
      <c r="N1246" s="5" t="str">
        <f t="shared" si="5"/>
        <v>0</v>
      </c>
      <c r="O1246" s="5" t="str">
        <f t="shared" si="6"/>
        <v>t̠ʃi</v>
      </c>
      <c r="P1246" s="5" t="str">
        <f t="shared" si="7"/>
        <v>0</v>
      </c>
      <c r="Q1246" s="5" t="str">
        <f t="shared" si="8"/>
        <v>tɨ</v>
      </c>
      <c r="R1246" s="5"/>
      <c r="S1246" s="3" t="s">
        <v>3519</v>
      </c>
      <c r="T1246" s="3" t="s">
        <v>3520</v>
      </c>
      <c r="U1246" s="3" t="s">
        <v>22</v>
      </c>
      <c r="V1246" s="5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>
      <c r="A1247" s="3" t="s">
        <v>14</v>
      </c>
      <c r="B1247" s="3" t="s">
        <v>3515</v>
      </c>
      <c r="C1247" s="3" t="s">
        <v>3516</v>
      </c>
      <c r="D1247" s="3" t="s">
        <v>3517</v>
      </c>
      <c r="E1247" s="3" t="s">
        <v>3518</v>
      </c>
      <c r="F1247" s="3" t="s">
        <v>55</v>
      </c>
      <c r="G1247" s="3" t="s">
        <v>56</v>
      </c>
      <c r="H1247" s="43">
        <f t="shared" ref="H1247:I1247" si="2495">LEN(D1247)-LEN(B1247)+1</f>
        <v>2</v>
      </c>
      <c r="I1247" s="43">
        <f t="shared" si="2495"/>
        <v>2</v>
      </c>
      <c r="J1247" s="4">
        <v>2.0</v>
      </c>
      <c r="K1247" s="4">
        <v>2.0</v>
      </c>
      <c r="L1247" s="5" t="str">
        <f t="shared" ref="L1247:M1247" si="2496">IFS(J1247="-", "-", J1247=H1247, "Final", J1247=1, "Initial", J1247&gt;1, "Medial")</f>
        <v>Final</v>
      </c>
      <c r="M1247" s="44" t="str">
        <f t="shared" si="2496"/>
        <v>Final</v>
      </c>
      <c r="N1247" s="5" t="str">
        <f t="shared" si="5"/>
        <v>ˈmɔ</v>
      </c>
      <c r="O1247" s="5">
        <f t="shared" si="6"/>
        <v>2</v>
      </c>
      <c r="P1247" s="5" t="str">
        <f t="shared" si="7"/>
        <v>ˈmoɾ</v>
      </c>
      <c r="Q1247" s="5">
        <f t="shared" si="8"/>
        <v>2</v>
      </c>
      <c r="R1247" s="5"/>
      <c r="S1247" s="3" t="s">
        <v>3519</v>
      </c>
      <c r="T1247" s="3" t="s">
        <v>3520</v>
      </c>
      <c r="U1247" s="3" t="s">
        <v>22</v>
      </c>
      <c r="V1247" s="5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>
      <c r="A1248" s="3" t="s">
        <v>14</v>
      </c>
      <c r="B1248" s="3" t="s">
        <v>3521</v>
      </c>
      <c r="C1248" s="3" t="s">
        <v>3522</v>
      </c>
      <c r="D1248" s="3" t="s">
        <v>3523</v>
      </c>
      <c r="E1248" s="3" t="s">
        <v>3524</v>
      </c>
      <c r="F1248" s="3" t="s">
        <v>1541</v>
      </c>
      <c r="G1248" s="3" t="s">
        <v>254</v>
      </c>
      <c r="H1248" s="43">
        <f t="shared" ref="H1248:I1248" si="2497">LEN(D1248)-LEN(B1248)+1</f>
        <v>3</v>
      </c>
      <c r="I1248" s="43">
        <f t="shared" si="2497"/>
        <v>3</v>
      </c>
      <c r="J1248" s="4">
        <v>1.0</v>
      </c>
      <c r="K1248" s="4">
        <v>1.0</v>
      </c>
      <c r="L1248" s="5" t="str">
        <f t="shared" ref="L1248:M1248" si="2498">IFS(J1248="-", "-", J1248=H1248, "Final", J1248=1, "Initial", J1248&gt;1, "Medial")</f>
        <v>Initial</v>
      </c>
      <c r="M1248" s="44" t="str">
        <f t="shared" si="2498"/>
        <v>Initial</v>
      </c>
      <c r="N1248" s="5" t="str">
        <f t="shared" si="5"/>
        <v>0</v>
      </c>
      <c r="O1248" s="5" t="str">
        <f t="shared" si="6"/>
        <v>ˈla</v>
      </c>
      <c r="P1248" s="5" t="str">
        <f t="shared" si="7"/>
        <v>0</v>
      </c>
      <c r="Q1248" s="5" t="str">
        <f t="shared" si="8"/>
        <v>ˈla</v>
      </c>
      <c r="R1248" s="5"/>
      <c r="S1248" s="3" t="s">
        <v>3525</v>
      </c>
      <c r="T1248" s="3" t="s">
        <v>3526</v>
      </c>
      <c r="U1248" s="3" t="s">
        <v>22</v>
      </c>
      <c r="V1248" s="5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>
      <c r="A1249" s="3" t="s">
        <v>14</v>
      </c>
      <c r="B1249" s="3" t="s">
        <v>3521</v>
      </c>
      <c r="C1249" s="3" t="s">
        <v>3522</v>
      </c>
      <c r="D1249" s="3" t="s">
        <v>3523</v>
      </c>
      <c r="E1249" s="3" t="s">
        <v>3524</v>
      </c>
      <c r="F1249" s="3" t="s">
        <v>1608</v>
      </c>
      <c r="G1249" s="3" t="s">
        <v>1608</v>
      </c>
      <c r="H1249" s="43">
        <f t="shared" ref="H1249:I1249" si="2499">LEN(D1249)-LEN(B1249)+1</f>
        <v>3</v>
      </c>
      <c r="I1249" s="43">
        <f t="shared" si="2499"/>
        <v>3</v>
      </c>
      <c r="J1249" s="4">
        <v>2.0</v>
      </c>
      <c r="K1249" s="4">
        <v>2.0</v>
      </c>
      <c r="L1249" s="5" t="str">
        <f t="shared" ref="L1249:M1249" si="2500">IFS(J1249="-", "-", J1249=H1249, "Final", J1249=1, "Initial", J1249&gt;1, "Medial")</f>
        <v>Medial</v>
      </c>
      <c r="M1249" s="44" t="str">
        <f t="shared" si="2500"/>
        <v>Medial</v>
      </c>
      <c r="N1249" s="5" t="str">
        <f t="shared" si="5"/>
        <v>pa</v>
      </c>
      <c r="O1249" s="5" t="str">
        <f t="shared" si="6"/>
        <v>vɐ</v>
      </c>
      <c r="P1249" s="5" t="str">
        <f t="shared" si="7"/>
        <v>pɐ</v>
      </c>
      <c r="Q1249" s="5" t="str">
        <f t="shared" si="8"/>
        <v>vɾɐ</v>
      </c>
      <c r="R1249" s="5"/>
      <c r="S1249" s="3" t="s">
        <v>3525</v>
      </c>
      <c r="T1249" s="3" t="s">
        <v>3526</v>
      </c>
      <c r="U1249" s="3" t="s">
        <v>22</v>
      </c>
      <c r="V1249" s="5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>
      <c r="A1250" s="3" t="s">
        <v>14</v>
      </c>
      <c r="B1250" s="3" t="s">
        <v>3521</v>
      </c>
      <c r="C1250" s="3" t="s">
        <v>3522</v>
      </c>
      <c r="D1250" s="3" t="s">
        <v>3523</v>
      </c>
      <c r="E1250" s="3" t="s">
        <v>3524</v>
      </c>
      <c r="F1250" s="3" t="s">
        <v>724</v>
      </c>
      <c r="G1250" s="3" t="s">
        <v>3527</v>
      </c>
      <c r="H1250" s="43">
        <f t="shared" ref="H1250:I1250" si="2501">LEN(D1250)-LEN(B1250)+1</f>
        <v>3</v>
      </c>
      <c r="I1250" s="43">
        <f t="shared" si="2501"/>
        <v>3</v>
      </c>
      <c r="J1250" s="4">
        <v>3.0</v>
      </c>
      <c r="K1250" s="4">
        <v>3.0</v>
      </c>
      <c r="L1250" s="5" t="str">
        <f t="shared" ref="L1250:M1250" si="2502">IFS(J1250="-", "-", J1250=H1250, "Final", J1250=1, "Initial", J1250&gt;1, "Medial")</f>
        <v>Final</v>
      </c>
      <c r="M1250" s="44" t="str">
        <f t="shared" si="2502"/>
        <v>Final</v>
      </c>
      <c r="N1250" s="5" t="str">
        <f t="shared" si="5"/>
        <v>ˈla</v>
      </c>
      <c r="O1250" s="5">
        <f t="shared" si="6"/>
        <v>3</v>
      </c>
      <c r="P1250" s="5" t="str">
        <f t="shared" si="7"/>
        <v>ˈla</v>
      </c>
      <c r="Q1250" s="5">
        <f t="shared" si="8"/>
        <v>3</v>
      </c>
      <c r="R1250" s="5"/>
      <c r="S1250" s="3" t="s">
        <v>3525</v>
      </c>
      <c r="T1250" s="3" t="s">
        <v>3526</v>
      </c>
      <c r="U1250" s="3" t="s">
        <v>22</v>
      </c>
      <c r="V1250" s="5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>
      <c r="A1251" s="3" t="s">
        <v>14</v>
      </c>
      <c r="B1251" s="3" t="s">
        <v>3528</v>
      </c>
      <c r="C1251" s="3" t="s">
        <v>3528</v>
      </c>
      <c r="D1251" s="3" t="s">
        <v>3529</v>
      </c>
      <c r="E1251" s="3" t="s">
        <v>3529</v>
      </c>
      <c r="F1251" s="3" t="s">
        <v>3530</v>
      </c>
      <c r="G1251" s="3" t="s">
        <v>3530</v>
      </c>
      <c r="H1251" s="43">
        <f t="shared" ref="H1251:I1251" si="2503">LEN(D1251)-LEN(B1251)+1</f>
        <v>3</v>
      </c>
      <c r="I1251" s="43">
        <f t="shared" si="2503"/>
        <v>3</v>
      </c>
      <c r="J1251" s="4">
        <v>1.0</v>
      </c>
      <c r="K1251" s="4">
        <v>1.0</v>
      </c>
      <c r="L1251" s="5" t="str">
        <f t="shared" ref="L1251:M1251" si="2504">IFS(J1251="-", "-", J1251=H1251, "Final", J1251=1, "Initial", J1251&gt;1, "Medial")</f>
        <v>Initial</v>
      </c>
      <c r="M1251" s="44" t="str">
        <f t="shared" si="2504"/>
        <v>Initial</v>
      </c>
      <c r="N1251" s="5" t="str">
        <f t="shared" si="5"/>
        <v>0</v>
      </c>
      <c r="O1251" s="5" t="str">
        <f t="shared" si="6"/>
        <v>ˈka</v>
      </c>
      <c r="P1251" s="5" t="str">
        <f t="shared" si="7"/>
        <v>0</v>
      </c>
      <c r="Q1251" s="5" t="str">
        <f t="shared" si="8"/>
        <v>ˈka</v>
      </c>
      <c r="R1251" s="5"/>
      <c r="S1251" s="3" t="s">
        <v>3531</v>
      </c>
      <c r="T1251" s="3" t="s">
        <v>3532</v>
      </c>
      <c r="U1251" s="3" t="s">
        <v>22</v>
      </c>
      <c r="V1251" s="5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>
      <c r="A1252" s="3" t="s">
        <v>14</v>
      </c>
      <c r="B1252" s="3" t="s">
        <v>3528</v>
      </c>
      <c r="C1252" s="3" t="s">
        <v>3528</v>
      </c>
      <c r="D1252" s="3" t="s">
        <v>3529</v>
      </c>
      <c r="E1252" s="3" t="s">
        <v>3529</v>
      </c>
      <c r="F1252" s="3" t="s">
        <v>131</v>
      </c>
      <c r="G1252" s="3" t="s">
        <v>131</v>
      </c>
      <c r="H1252" s="43">
        <f t="shared" ref="H1252:I1252" si="2505">LEN(D1252)-LEN(B1252)+1</f>
        <v>3</v>
      </c>
      <c r="I1252" s="43">
        <f t="shared" si="2505"/>
        <v>3</v>
      </c>
      <c r="J1252" s="4">
        <v>2.0</v>
      </c>
      <c r="K1252" s="4">
        <v>2.0</v>
      </c>
      <c r="L1252" s="5" t="str">
        <f t="shared" ref="L1252:M1252" si="2506">IFS(J1252="-", "-", J1252=H1252, "Final", J1252=1, "Initial", J1252&gt;1, "Medial")</f>
        <v>Medial</v>
      </c>
      <c r="M1252" s="44" t="str">
        <f t="shared" si="2506"/>
        <v>Medial</v>
      </c>
      <c r="N1252" s="5" t="str">
        <f t="shared" si="5"/>
        <v>pɐ̃</v>
      </c>
      <c r="O1252" s="5" t="str">
        <f t="shared" si="6"/>
        <v>dɐ</v>
      </c>
      <c r="P1252" s="5" t="str">
        <f t="shared" si="7"/>
        <v>pɐ̃</v>
      </c>
      <c r="Q1252" s="5" t="str">
        <f t="shared" si="8"/>
        <v>dɐ</v>
      </c>
      <c r="R1252" s="5"/>
      <c r="S1252" s="3" t="s">
        <v>3531</v>
      </c>
      <c r="T1252" s="3" t="s">
        <v>3532</v>
      </c>
      <c r="U1252" s="3" t="s">
        <v>22</v>
      </c>
      <c r="V1252" s="5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>
      <c r="A1253" s="3" t="s">
        <v>14</v>
      </c>
      <c r="B1253" s="3" t="s">
        <v>3528</v>
      </c>
      <c r="C1253" s="3" t="s">
        <v>3528</v>
      </c>
      <c r="D1253" s="3" t="s">
        <v>3529</v>
      </c>
      <c r="E1253" s="3" t="s">
        <v>3529</v>
      </c>
      <c r="F1253" s="3" t="s">
        <v>116</v>
      </c>
      <c r="G1253" s="3" t="s">
        <v>116</v>
      </c>
      <c r="H1253" s="43">
        <f t="shared" ref="H1253:I1253" si="2507">LEN(D1253)-LEN(B1253)+1</f>
        <v>3</v>
      </c>
      <c r="I1253" s="43">
        <f t="shared" si="2507"/>
        <v>3</v>
      </c>
      <c r="J1253" s="4">
        <v>3.0</v>
      </c>
      <c r="K1253" s="4">
        <v>3.0</v>
      </c>
      <c r="L1253" s="5" t="str">
        <f t="shared" ref="L1253:M1253" si="2508">IFS(J1253="-", "-", J1253=H1253, "Final", J1253=1, "Initial", J1253&gt;1, "Medial")</f>
        <v>Final</v>
      </c>
      <c r="M1253" s="44" t="str">
        <f t="shared" si="2508"/>
        <v>Final</v>
      </c>
      <c r="N1253" s="5" t="str">
        <f t="shared" si="5"/>
        <v>ˈka</v>
      </c>
      <c r="O1253" s="5">
        <f t="shared" si="6"/>
        <v>3</v>
      </c>
      <c r="P1253" s="5" t="str">
        <f t="shared" si="7"/>
        <v>ˈka</v>
      </c>
      <c r="Q1253" s="5">
        <f t="shared" si="8"/>
        <v>3</v>
      </c>
      <c r="R1253" s="5"/>
      <c r="S1253" s="3" t="s">
        <v>3531</v>
      </c>
      <c r="T1253" s="3" t="s">
        <v>3532</v>
      </c>
      <c r="U1253" s="3" t="s">
        <v>22</v>
      </c>
      <c r="V1253" s="5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>
      <c r="A1254" s="15" t="s">
        <v>14</v>
      </c>
      <c r="B1254" s="15" t="s">
        <v>3533</v>
      </c>
      <c r="C1254" s="15" t="s">
        <v>3534</v>
      </c>
      <c r="D1254" s="15" t="s">
        <v>3535</v>
      </c>
      <c r="E1254" s="15" t="s">
        <v>3536</v>
      </c>
      <c r="F1254" s="15" t="s">
        <v>702</v>
      </c>
      <c r="G1254" s="15" t="s">
        <v>254</v>
      </c>
      <c r="H1254" s="43">
        <f t="shared" ref="H1254:I1254" si="2509">LEN(D1254)-LEN(B1254)+1</f>
        <v>3</v>
      </c>
      <c r="I1254" s="43">
        <f t="shared" si="2509"/>
        <v>2</v>
      </c>
      <c r="J1254" s="18">
        <v>1.0</v>
      </c>
      <c r="K1254" s="18">
        <v>1.0</v>
      </c>
      <c r="L1254" s="5" t="str">
        <f t="shared" ref="L1254:M1254" si="2510">IFS(J1254="-", "-", J1254=H1254, "Final", J1254=1, "Initial", J1254&gt;1, "Medial")</f>
        <v>Initial</v>
      </c>
      <c r="M1254" s="44" t="str">
        <f t="shared" si="2510"/>
        <v>Initial</v>
      </c>
      <c r="N1254" s="5" t="str">
        <f t="shared" si="5"/>
        <v>0</v>
      </c>
      <c r="O1254" s="5" t="str">
        <f t="shared" si="6"/>
        <v>ˈpɛ</v>
      </c>
      <c r="P1254" s="5" t="str">
        <f t="shared" si="7"/>
        <v>0</v>
      </c>
      <c r="Q1254" s="5" t="str">
        <f t="shared" si="8"/>
        <v>ˈpɛɫ</v>
      </c>
      <c r="R1254" s="20"/>
      <c r="S1254" s="15" t="s">
        <v>3537</v>
      </c>
      <c r="T1254" s="15" t="s">
        <v>3538</v>
      </c>
      <c r="U1254" s="15" t="s">
        <v>22</v>
      </c>
      <c r="V1254" s="20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</row>
    <row r="1255">
      <c r="A1255" s="15" t="s">
        <v>14</v>
      </c>
      <c r="B1255" s="15" t="s">
        <v>3533</v>
      </c>
      <c r="C1255" s="15" t="s">
        <v>3534</v>
      </c>
      <c r="D1255" s="15" t="s">
        <v>3535</v>
      </c>
      <c r="E1255" s="15" t="s">
        <v>3536</v>
      </c>
      <c r="F1255" s="15" t="s">
        <v>469</v>
      </c>
      <c r="G1255" s="15" t="s">
        <v>3539</v>
      </c>
      <c r="H1255" s="43">
        <f t="shared" ref="H1255:I1255" si="2511">LEN(D1255)-LEN(B1255)+1</f>
        <v>3</v>
      </c>
      <c r="I1255" s="43">
        <f t="shared" si="2511"/>
        <v>2</v>
      </c>
      <c r="J1255" s="18">
        <v>2.0</v>
      </c>
      <c r="K1255" s="18">
        <v>2.0</v>
      </c>
      <c r="L1255" s="5" t="str">
        <f t="shared" ref="L1255:M1255" si="2512">IFS(J1255="-", "-", J1255=H1255, "Final", J1255=1, "Initial", J1255&gt;1, "Medial")</f>
        <v>Medial</v>
      </c>
      <c r="M1255" s="44" t="str">
        <f t="shared" si="2512"/>
        <v>Final</v>
      </c>
      <c r="N1255" s="5" t="str">
        <f t="shared" si="5"/>
        <v>pɛ</v>
      </c>
      <c r="O1255" s="5" t="str">
        <f t="shared" si="6"/>
        <v>lu</v>
      </c>
      <c r="P1255" s="5" t="str">
        <f t="shared" si="7"/>
        <v>pɐ</v>
      </c>
      <c r="Q1255" s="5" t="str">
        <f t="shared" si="8"/>
        <v>-</v>
      </c>
      <c r="R1255" s="20"/>
      <c r="S1255" s="15" t="s">
        <v>3537</v>
      </c>
      <c r="T1255" s="15" t="s">
        <v>3538</v>
      </c>
      <c r="U1255" s="15" t="s">
        <v>22</v>
      </c>
      <c r="V1255" s="20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</row>
    <row r="1256">
      <c r="A1256" s="15" t="s">
        <v>14</v>
      </c>
      <c r="B1256" s="15" t="s">
        <v>3533</v>
      </c>
      <c r="C1256" s="15" t="s">
        <v>3534</v>
      </c>
      <c r="D1256" s="15" t="s">
        <v>3535</v>
      </c>
      <c r="E1256" s="15" t="s">
        <v>3536</v>
      </c>
      <c r="F1256" s="15" t="s">
        <v>245</v>
      </c>
      <c r="G1256" s="15" t="s">
        <v>36</v>
      </c>
      <c r="H1256" s="43">
        <f t="shared" ref="H1256:I1256" si="2513">LEN(D1256)-LEN(B1256)+1</f>
        <v>3</v>
      </c>
      <c r="I1256" s="43">
        <f t="shared" si="2513"/>
        <v>2</v>
      </c>
      <c r="J1256" s="18">
        <v>3.0</v>
      </c>
      <c r="K1256" s="18" t="s">
        <v>36</v>
      </c>
      <c r="L1256" s="5" t="str">
        <f t="shared" ref="L1256:M1256" si="2514">IFS(J1256="-", "-", J1256=H1256, "Final", J1256=1, "Initial", J1256&gt;1, "Medial")</f>
        <v>Final</v>
      </c>
      <c r="M1256" s="44" t="str">
        <f t="shared" si="2514"/>
        <v>-</v>
      </c>
      <c r="N1256" s="5" t="str">
        <f t="shared" si="5"/>
        <v>ˈpɛ</v>
      </c>
      <c r="O1256" s="5">
        <f t="shared" si="6"/>
        <v>3</v>
      </c>
      <c r="P1256" s="5" t="str">
        <f t="shared" si="7"/>
        <v>ˈpɛɫ</v>
      </c>
      <c r="Q1256" s="5" t="str">
        <f t="shared" si="8"/>
        <v>-</v>
      </c>
      <c r="R1256" s="20"/>
      <c r="S1256" s="15" t="s">
        <v>3537</v>
      </c>
      <c r="T1256" s="15" t="s">
        <v>3538</v>
      </c>
      <c r="U1256" s="15" t="s">
        <v>22</v>
      </c>
      <c r="V1256" s="20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</row>
    <row r="1257">
      <c r="A1257" s="3" t="s">
        <v>14</v>
      </c>
      <c r="B1257" s="3" t="s">
        <v>3540</v>
      </c>
      <c r="C1257" s="3" t="s">
        <v>3541</v>
      </c>
      <c r="D1257" s="3" t="s">
        <v>3542</v>
      </c>
      <c r="E1257" s="3" t="s">
        <v>3543</v>
      </c>
      <c r="F1257" s="3" t="s">
        <v>2149</v>
      </c>
      <c r="G1257" s="3" t="s">
        <v>644</v>
      </c>
      <c r="H1257" s="43">
        <f t="shared" ref="H1257:I1257" si="2515">LEN(D1257)-LEN(B1257)+1</f>
        <v>2</v>
      </c>
      <c r="I1257" s="43">
        <f t="shared" si="2515"/>
        <v>2</v>
      </c>
      <c r="J1257" s="4">
        <v>1.0</v>
      </c>
      <c r="K1257" s="4">
        <v>1.0</v>
      </c>
      <c r="L1257" s="5" t="str">
        <f t="shared" ref="L1257:M1257" si="2516">IFS(J1257="-", "-", J1257=H1257, "Final", J1257=1, "Initial", J1257&gt;1, "Medial")</f>
        <v>Initial</v>
      </c>
      <c r="M1257" s="44" t="str">
        <f t="shared" si="2516"/>
        <v>Initial</v>
      </c>
      <c r="N1257" s="5" t="str">
        <f t="shared" si="5"/>
        <v>0</v>
      </c>
      <c r="O1257" s="5" t="str">
        <f t="shared" si="6"/>
        <v>tɔ</v>
      </c>
      <c r="P1257" s="5" t="str">
        <f t="shared" si="7"/>
        <v>0</v>
      </c>
      <c r="Q1257" s="5" t="str">
        <f t="shared" si="8"/>
        <v>tɐ</v>
      </c>
      <c r="R1257" s="5"/>
      <c r="S1257" s="3" t="s">
        <v>3544</v>
      </c>
      <c r="T1257" s="3" t="s">
        <v>3545</v>
      </c>
      <c r="U1257" s="3" t="s">
        <v>22</v>
      </c>
      <c r="V1257" s="5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>
      <c r="A1258" s="3" t="s">
        <v>14</v>
      </c>
      <c r="B1258" s="3" t="s">
        <v>3540</v>
      </c>
      <c r="C1258" s="3" t="s">
        <v>3541</v>
      </c>
      <c r="D1258" s="3" t="s">
        <v>3542</v>
      </c>
      <c r="E1258" s="3" t="s">
        <v>3543</v>
      </c>
      <c r="F1258" s="3" t="s">
        <v>1807</v>
      </c>
      <c r="G1258" s="3" t="s">
        <v>238</v>
      </c>
      <c r="H1258" s="43">
        <f t="shared" ref="H1258:I1258" si="2517">LEN(D1258)-LEN(B1258)+1</f>
        <v>2</v>
      </c>
      <c r="I1258" s="43">
        <f t="shared" si="2517"/>
        <v>2</v>
      </c>
      <c r="J1258" s="4">
        <v>2.0</v>
      </c>
      <c r="K1258" s="4">
        <v>2.0</v>
      </c>
      <c r="L1258" s="5" t="str">
        <f t="shared" ref="L1258:M1258" si="2518">IFS(J1258="-", "-", J1258=H1258, "Final", J1258=1, "Initial", J1258&gt;1, "Medial")</f>
        <v>Final</v>
      </c>
      <c r="M1258" s="44" t="str">
        <f t="shared" si="2518"/>
        <v>Final</v>
      </c>
      <c r="N1258" s="5" t="str">
        <f t="shared" si="5"/>
        <v>ˈpɔ</v>
      </c>
      <c r="O1258" s="5">
        <f t="shared" si="6"/>
        <v>2</v>
      </c>
      <c r="P1258" s="5" t="str">
        <f t="shared" si="7"/>
        <v>ˈpoɾ</v>
      </c>
      <c r="Q1258" s="5">
        <f t="shared" si="8"/>
        <v>2</v>
      </c>
      <c r="R1258" s="5"/>
      <c r="S1258" s="3" t="s">
        <v>3544</v>
      </c>
      <c r="T1258" s="3" t="s">
        <v>3545</v>
      </c>
      <c r="U1258" s="3" t="s">
        <v>22</v>
      </c>
      <c r="V1258" s="5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>
      <c r="A1259" s="3" t="s">
        <v>14</v>
      </c>
      <c r="B1259" s="3" t="s">
        <v>3546</v>
      </c>
      <c r="C1259" s="3" t="s">
        <v>3547</v>
      </c>
      <c r="D1259" s="3" t="s">
        <v>3548</v>
      </c>
      <c r="E1259" s="3" t="s">
        <v>3548</v>
      </c>
      <c r="F1259" s="3" t="s">
        <v>3549</v>
      </c>
      <c r="G1259" s="3" t="s">
        <v>3549</v>
      </c>
      <c r="H1259" s="43">
        <f t="shared" ref="H1259:I1259" si="2519">LEN(D1259)-LEN(B1259)+1</f>
        <v>2</v>
      </c>
      <c r="I1259" s="43">
        <f t="shared" si="2519"/>
        <v>2</v>
      </c>
      <c r="J1259" s="4">
        <v>1.0</v>
      </c>
      <c r="K1259" s="4">
        <v>1.0</v>
      </c>
      <c r="L1259" s="5" t="str">
        <f t="shared" ref="L1259:M1259" si="2520">IFS(J1259="-", "-", J1259=H1259, "Final", J1259=1, "Initial", J1259&gt;1, "Medial")</f>
        <v>Initial</v>
      </c>
      <c r="M1259" s="44" t="str">
        <f t="shared" si="2520"/>
        <v>Initial</v>
      </c>
      <c r="N1259" s="5" t="str">
        <f t="shared" si="5"/>
        <v>0</v>
      </c>
      <c r="O1259" s="5" t="str">
        <f t="shared" si="6"/>
        <v>tu</v>
      </c>
      <c r="P1259" s="5" t="str">
        <f t="shared" si="7"/>
        <v>0</v>
      </c>
      <c r="Q1259" s="5" t="str">
        <f t="shared" si="8"/>
        <v>tu</v>
      </c>
      <c r="R1259" s="5"/>
      <c r="S1259" s="3" t="s">
        <v>3550</v>
      </c>
      <c r="T1259" s="3" t="s">
        <v>3551</v>
      </c>
      <c r="U1259" s="3" t="s">
        <v>22</v>
      </c>
      <c r="V1259" s="5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>
      <c r="A1260" s="3" t="s">
        <v>14</v>
      </c>
      <c r="B1260" s="3" t="s">
        <v>3546</v>
      </c>
      <c r="C1260" s="3" t="s">
        <v>3547</v>
      </c>
      <c r="D1260" s="3" t="s">
        <v>3548</v>
      </c>
      <c r="E1260" s="3" t="s">
        <v>3548</v>
      </c>
      <c r="F1260" s="3" t="s">
        <v>784</v>
      </c>
      <c r="G1260" s="3" t="s">
        <v>784</v>
      </c>
      <c r="H1260" s="43">
        <f t="shared" ref="H1260:I1260" si="2521">LEN(D1260)-LEN(B1260)+1</f>
        <v>2</v>
      </c>
      <c r="I1260" s="43">
        <f t="shared" si="2521"/>
        <v>2</v>
      </c>
      <c r="J1260" s="4">
        <v>2.0</v>
      </c>
      <c r="K1260" s="4">
        <v>2.0</v>
      </c>
      <c r="L1260" s="5" t="str">
        <f t="shared" ref="L1260:M1260" si="2522">IFS(J1260="-", "-", J1260=H1260, "Final", J1260=1, "Initial", J1260&gt;1, "Medial")</f>
        <v>Final</v>
      </c>
      <c r="M1260" s="44" t="str">
        <f t="shared" si="2522"/>
        <v>Final</v>
      </c>
      <c r="N1260" s="5" t="str">
        <f t="shared" si="5"/>
        <v>ˈrɛʃ</v>
      </c>
      <c r="O1260" s="5">
        <f t="shared" si="6"/>
        <v>2</v>
      </c>
      <c r="P1260" s="5" t="str">
        <f t="shared" si="7"/>
        <v>ˈrɛʃ</v>
      </c>
      <c r="Q1260" s="5">
        <f t="shared" si="8"/>
        <v>2</v>
      </c>
      <c r="R1260" s="5"/>
      <c r="S1260" s="3" t="s">
        <v>3550</v>
      </c>
      <c r="T1260" s="3" t="s">
        <v>3551</v>
      </c>
      <c r="U1260" s="3" t="s">
        <v>22</v>
      </c>
      <c r="V1260" s="5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>
      <c r="A1261" s="3" t="s">
        <v>14</v>
      </c>
      <c r="B1261" s="3" t="s">
        <v>3552</v>
      </c>
      <c r="C1261" s="3" t="s">
        <v>3553</v>
      </c>
      <c r="D1261" s="3" t="s">
        <v>3554</v>
      </c>
      <c r="E1261" s="3" t="s">
        <v>3555</v>
      </c>
      <c r="F1261" s="3" t="s">
        <v>244</v>
      </c>
      <c r="G1261" s="3" t="s">
        <v>402</v>
      </c>
      <c r="H1261" s="43">
        <f t="shared" ref="H1261:I1261" si="2523">LEN(D1261)-LEN(B1261)+1</f>
        <v>2</v>
      </c>
      <c r="I1261" s="43">
        <f t="shared" si="2523"/>
        <v>2</v>
      </c>
      <c r="J1261" s="4">
        <v>1.0</v>
      </c>
      <c r="K1261" s="4">
        <v>1.0</v>
      </c>
      <c r="L1261" s="5" t="str">
        <f t="shared" ref="L1261:M1261" si="2524">IFS(J1261="-", "-", J1261=H1261, "Final", J1261=1, "Initial", J1261&gt;1, "Medial")</f>
        <v>Initial</v>
      </c>
      <c r="M1261" s="44" t="str">
        <f t="shared" si="2524"/>
        <v>Initial</v>
      </c>
      <c r="N1261" s="5" t="str">
        <f t="shared" si="5"/>
        <v>0</v>
      </c>
      <c r="O1261" s="5" t="str">
        <f t="shared" si="6"/>
        <v>ˈbɐ̃</v>
      </c>
      <c r="P1261" s="5" t="str">
        <f t="shared" si="7"/>
        <v>0</v>
      </c>
      <c r="Q1261" s="5" t="str">
        <f t="shared" si="8"/>
        <v>ˈbɐ̃w̃</v>
      </c>
      <c r="R1261" s="3"/>
      <c r="S1261" s="3" t="s">
        <v>3556</v>
      </c>
      <c r="T1261" s="3" t="s">
        <v>3557</v>
      </c>
      <c r="U1261" s="3" t="s">
        <v>22</v>
      </c>
      <c r="V1261" s="5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>
      <c r="A1262" s="3" t="s">
        <v>14</v>
      </c>
      <c r="B1262" s="3" t="s">
        <v>3552</v>
      </c>
      <c r="C1262" s="3" t="s">
        <v>3553</v>
      </c>
      <c r="D1262" s="3" t="s">
        <v>3554</v>
      </c>
      <c r="E1262" s="3" t="s">
        <v>3555</v>
      </c>
      <c r="F1262" s="3" t="s">
        <v>70</v>
      </c>
      <c r="G1262" s="3" t="s">
        <v>3427</v>
      </c>
      <c r="H1262" s="43">
        <f t="shared" ref="H1262:I1262" si="2525">LEN(D1262)-LEN(B1262)+1</f>
        <v>2</v>
      </c>
      <c r="I1262" s="43">
        <f t="shared" si="2525"/>
        <v>2</v>
      </c>
      <c r="J1262" s="4">
        <v>2.0</v>
      </c>
      <c r="K1262" s="4">
        <v>2.0</v>
      </c>
      <c r="L1262" s="5" t="str">
        <f t="shared" ref="L1262:M1262" si="2526">IFS(J1262="-", "-", J1262=H1262, "Final", J1262=1, "Initial", J1262&gt;1, "Medial")</f>
        <v>Final</v>
      </c>
      <c r="M1262" s="44" t="str">
        <f t="shared" si="2526"/>
        <v>Final</v>
      </c>
      <c r="N1262" s="5" t="str">
        <f t="shared" si="5"/>
        <v>sa</v>
      </c>
      <c r="O1262" s="5">
        <f t="shared" si="6"/>
        <v>2</v>
      </c>
      <c r="P1262" s="5" t="str">
        <f t="shared" si="7"/>
        <v>sɐ</v>
      </c>
      <c r="Q1262" s="5">
        <f t="shared" si="8"/>
        <v>2</v>
      </c>
      <c r="R1262" s="3"/>
      <c r="S1262" s="3" t="s">
        <v>3556</v>
      </c>
      <c r="T1262" s="3" t="s">
        <v>3557</v>
      </c>
      <c r="U1262" s="3" t="s">
        <v>22</v>
      </c>
      <c r="V1262" s="5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>
      <c r="A1263" s="3" t="s">
        <v>14</v>
      </c>
      <c r="B1263" s="3" t="s">
        <v>3558</v>
      </c>
      <c r="C1263" s="3" t="s">
        <v>3559</v>
      </c>
      <c r="D1263" s="3" t="s">
        <v>3560</v>
      </c>
      <c r="E1263" s="3" t="s">
        <v>3561</v>
      </c>
      <c r="F1263" s="3" t="s">
        <v>614</v>
      </c>
      <c r="G1263" s="3" t="s">
        <v>614</v>
      </c>
      <c r="H1263" s="43">
        <f t="shared" ref="H1263:I1263" si="2527">LEN(D1263)-LEN(B1263)+1</f>
        <v>2</v>
      </c>
      <c r="I1263" s="43">
        <f t="shared" si="2527"/>
        <v>2</v>
      </c>
      <c r="J1263" s="4">
        <v>1.0</v>
      </c>
      <c r="K1263" s="4">
        <v>1.0</v>
      </c>
      <c r="L1263" s="5" t="str">
        <f t="shared" ref="L1263:M1263" si="2528">IFS(J1263="-", "-", J1263=H1263, "Final", J1263=1, "Initial", J1263&gt;1, "Medial")</f>
        <v>Initial</v>
      </c>
      <c r="M1263" s="44" t="str">
        <f t="shared" si="2528"/>
        <v>Initial</v>
      </c>
      <c r="N1263" s="5" t="str">
        <f t="shared" si="5"/>
        <v>0</v>
      </c>
      <c r="O1263" s="5" t="str">
        <f t="shared" si="6"/>
        <v>rɐ</v>
      </c>
      <c r="P1263" s="5" t="str">
        <f t="shared" si="7"/>
        <v>0</v>
      </c>
      <c r="Q1263" s="5" t="str">
        <f t="shared" si="8"/>
        <v>ʀɐ</v>
      </c>
      <c r="R1263" s="5"/>
      <c r="S1263" s="3" t="s">
        <v>3562</v>
      </c>
      <c r="T1263" s="3" t="s">
        <v>3563</v>
      </c>
      <c r="U1263" s="3" t="s">
        <v>22</v>
      </c>
      <c r="V1263" s="5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>
      <c r="A1264" s="3" t="s">
        <v>14</v>
      </c>
      <c r="B1264" s="3" t="s">
        <v>3558</v>
      </c>
      <c r="C1264" s="3" t="s">
        <v>3559</v>
      </c>
      <c r="D1264" s="3" t="s">
        <v>3560</v>
      </c>
      <c r="E1264" s="3" t="s">
        <v>3561</v>
      </c>
      <c r="F1264" s="3" t="s">
        <v>102</v>
      </c>
      <c r="G1264" s="3" t="s">
        <v>668</v>
      </c>
      <c r="H1264" s="43">
        <f t="shared" ref="H1264:I1264" si="2529">LEN(D1264)-LEN(B1264)+1</f>
        <v>2</v>
      </c>
      <c r="I1264" s="43">
        <f t="shared" si="2529"/>
        <v>2</v>
      </c>
      <c r="J1264" s="4">
        <v>2.0</v>
      </c>
      <c r="K1264" s="4">
        <v>2.0</v>
      </c>
      <c r="L1264" s="5" t="str">
        <f t="shared" ref="L1264:M1264" si="2530">IFS(J1264="-", "-", J1264=H1264, "Final", J1264=1, "Initial", J1264&gt;1, "Medial")</f>
        <v>Final</v>
      </c>
      <c r="M1264" s="44" t="str">
        <f t="shared" si="2530"/>
        <v>Final</v>
      </c>
      <c r="N1264" s="5" t="str">
        <f t="shared" si="5"/>
        <v>ˈsɛ</v>
      </c>
      <c r="O1264" s="5">
        <f t="shared" si="6"/>
        <v>2</v>
      </c>
      <c r="P1264" s="5" t="str">
        <f t="shared" si="7"/>
        <v>ˈsɛ</v>
      </c>
      <c r="Q1264" s="5">
        <f t="shared" si="8"/>
        <v>2</v>
      </c>
      <c r="R1264" s="5"/>
      <c r="S1264" s="3" t="s">
        <v>3562</v>
      </c>
      <c r="T1264" s="3" t="s">
        <v>3563</v>
      </c>
      <c r="U1264" s="3" t="s">
        <v>22</v>
      </c>
      <c r="V1264" s="5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>
      <c r="A1265" s="3" t="s">
        <v>14</v>
      </c>
      <c r="B1265" s="3" t="s">
        <v>3564</v>
      </c>
      <c r="C1265" s="3" t="s">
        <v>3565</v>
      </c>
      <c r="D1265" s="3" t="s">
        <v>3566</v>
      </c>
      <c r="E1265" s="3" t="s">
        <v>3567</v>
      </c>
      <c r="F1265" s="3" t="s">
        <v>3568</v>
      </c>
      <c r="G1265" s="3" t="s">
        <v>3569</v>
      </c>
      <c r="H1265" s="43">
        <f t="shared" ref="H1265:I1265" si="2531">LEN(D1265)-LEN(B1265)+1</f>
        <v>2</v>
      </c>
      <c r="I1265" s="43">
        <f t="shared" si="2531"/>
        <v>2</v>
      </c>
      <c r="J1265" s="4">
        <v>1.0</v>
      </c>
      <c r="K1265" s="4">
        <v>1.0</v>
      </c>
      <c r="L1265" s="5" t="str">
        <f t="shared" ref="L1265:M1265" si="2532">IFS(J1265="-", "-", J1265=H1265, "Final", J1265=1, "Initial", J1265&gt;1, "Medial")</f>
        <v>Initial</v>
      </c>
      <c r="M1265" s="44" t="str">
        <f t="shared" si="2532"/>
        <v>Initial</v>
      </c>
      <c r="N1265" s="5" t="str">
        <f t="shared" si="5"/>
        <v>0</v>
      </c>
      <c r="O1265" s="5" t="str">
        <f t="shared" si="6"/>
        <v>tɐ</v>
      </c>
      <c r="P1265" s="5" t="str">
        <f t="shared" si="7"/>
        <v>0</v>
      </c>
      <c r="Q1265" s="5" t="str">
        <f t="shared" si="8"/>
        <v>tɐ</v>
      </c>
      <c r="R1265" s="5"/>
      <c r="S1265" s="3" t="s">
        <v>3570</v>
      </c>
      <c r="T1265" s="3" t="s">
        <v>3571</v>
      </c>
      <c r="U1265" s="3" t="s">
        <v>22</v>
      </c>
      <c r="V1265" s="5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>
      <c r="A1266" s="3" t="s">
        <v>14</v>
      </c>
      <c r="B1266" s="3" t="s">
        <v>3564</v>
      </c>
      <c r="C1266" s="3" t="s">
        <v>3565</v>
      </c>
      <c r="D1266" s="3" t="s">
        <v>3566</v>
      </c>
      <c r="E1266" s="3" t="s">
        <v>3567</v>
      </c>
      <c r="F1266" s="3" t="s">
        <v>238</v>
      </c>
      <c r="G1266" s="3" t="s">
        <v>238</v>
      </c>
      <c r="H1266" s="43">
        <f t="shared" ref="H1266:I1266" si="2533">LEN(D1266)-LEN(B1266)+1</f>
        <v>2</v>
      </c>
      <c r="I1266" s="43">
        <f t="shared" si="2533"/>
        <v>2</v>
      </c>
      <c r="J1266" s="4">
        <v>2.0</v>
      </c>
      <c r="K1266" s="4">
        <v>2.0</v>
      </c>
      <c r="L1266" s="5" t="str">
        <f t="shared" ref="L1266:M1266" si="2534">IFS(J1266="-", "-", J1266=H1266, "Final", J1266=1, "Initial", J1266&gt;1, "Medial")</f>
        <v>Final</v>
      </c>
      <c r="M1266" s="44" t="str">
        <f t="shared" si="2534"/>
        <v>Final</v>
      </c>
      <c r="N1266" s="5" t="str">
        <f t="shared" si="5"/>
        <v>ˈt̠ʃĩ</v>
      </c>
      <c r="O1266" s="5">
        <f t="shared" si="6"/>
        <v>2</v>
      </c>
      <c r="P1266" s="5" t="str">
        <f t="shared" si="7"/>
        <v>ˈtĩ</v>
      </c>
      <c r="Q1266" s="5">
        <f t="shared" si="8"/>
        <v>2</v>
      </c>
      <c r="R1266" s="5"/>
      <c r="S1266" s="3" t="s">
        <v>3570</v>
      </c>
      <c r="T1266" s="3" t="s">
        <v>3571</v>
      </c>
      <c r="U1266" s="3" t="s">
        <v>22</v>
      </c>
      <c r="V1266" s="5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>
      <c r="A1267" s="3" t="s">
        <v>14</v>
      </c>
      <c r="B1267" s="3" t="s">
        <v>3572</v>
      </c>
      <c r="C1267" s="3" t="s">
        <v>3573</v>
      </c>
      <c r="D1267" s="3" t="s">
        <v>3574</v>
      </c>
      <c r="E1267" s="3" t="s">
        <v>3575</v>
      </c>
      <c r="F1267" s="3" t="s">
        <v>1807</v>
      </c>
      <c r="G1267" s="3" t="s">
        <v>3576</v>
      </c>
      <c r="H1267" s="43">
        <f t="shared" ref="H1267:I1267" si="2535">LEN(D1267)-LEN(B1267)+1</f>
        <v>3</v>
      </c>
      <c r="I1267" s="43">
        <f t="shared" si="2535"/>
        <v>3</v>
      </c>
      <c r="J1267" s="4">
        <v>1.0</v>
      </c>
      <c r="K1267" s="4">
        <v>1.0</v>
      </c>
      <c r="L1267" s="5" t="str">
        <f t="shared" ref="L1267:M1267" si="2536">IFS(J1267="-", "-", J1267=H1267, "Final", J1267=1, "Initial", J1267&gt;1, "Medial")</f>
        <v>Initial</v>
      </c>
      <c r="M1267" s="44" t="str">
        <f t="shared" si="2536"/>
        <v>Initial</v>
      </c>
      <c r="N1267" s="5" t="str">
        <f t="shared" si="5"/>
        <v>0</v>
      </c>
      <c r="O1267" s="5" t="str">
        <f t="shared" si="6"/>
        <v>ˈmɛ̃</v>
      </c>
      <c r="P1267" s="5" t="str">
        <f t="shared" si="7"/>
        <v>0</v>
      </c>
      <c r="Q1267" s="5" t="str">
        <f t="shared" si="8"/>
        <v>ˈmẽ</v>
      </c>
      <c r="R1267" s="3" t="s">
        <v>80</v>
      </c>
      <c r="S1267" s="3" t="s">
        <v>3577</v>
      </c>
      <c r="T1267" s="3" t="s">
        <v>3578</v>
      </c>
      <c r="U1267" s="3" t="s">
        <v>22</v>
      </c>
      <c r="V1267" s="5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>
      <c r="A1268" s="3" t="s">
        <v>14</v>
      </c>
      <c r="B1268" s="3" t="s">
        <v>3572</v>
      </c>
      <c r="C1268" s="3" t="s">
        <v>3573</v>
      </c>
      <c r="D1268" s="3" t="s">
        <v>3574</v>
      </c>
      <c r="E1268" s="3" t="s">
        <v>3575</v>
      </c>
      <c r="F1268" s="3" t="s">
        <v>236</v>
      </c>
      <c r="G1268" s="3" t="s">
        <v>1478</v>
      </c>
      <c r="H1268" s="43">
        <f t="shared" ref="H1268:I1268" si="2537">LEN(D1268)-LEN(B1268)+1</f>
        <v>3</v>
      </c>
      <c r="I1268" s="43">
        <f t="shared" si="2537"/>
        <v>3</v>
      </c>
      <c r="J1268" s="4">
        <v>2.0</v>
      </c>
      <c r="K1268" s="4">
        <v>2.0</v>
      </c>
      <c r="L1268" s="5" t="str">
        <f t="shared" ref="L1268:M1268" si="2538">IFS(J1268="-", "-", J1268=H1268, "Final", J1268=1, "Initial", J1268&gt;1, "Medial")</f>
        <v>Medial</v>
      </c>
      <c r="M1268" s="44" t="str">
        <f t="shared" si="2538"/>
        <v>Medial</v>
      </c>
      <c r="N1268" s="5" t="str">
        <f t="shared" si="5"/>
        <v>tɔ</v>
      </c>
      <c r="O1268" s="5" t="str">
        <f t="shared" si="6"/>
        <v>tu</v>
      </c>
      <c r="P1268" s="5" t="str">
        <f t="shared" si="7"/>
        <v>tuɾ</v>
      </c>
      <c r="Q1268" s="5" t="str">
        <f t="shared" si="8"/>
        <v>tu</v>
      </c>
      <c r="R1268" s="3"/>
      <c r="S1268" s="3" t="s">
        <v>3577</v>
      </c>
      <c r="T1268" s="3" t="s">
        <v>3578</v>
      </c>
      <c r="U1268" s="3" t="s">
        <v>22</v>
      </c>
      <c r="V1268" s="5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>
      <c r="A1269" s="3" t="s">
        <v>14</v>
      </c>
      <c r="B1269" s="3" t="s">
        <v>3572</v>
      </c>
      <c r="C1269" s="3" t="s">
        <v>3573</v>
      </c>
      <c r="D1269" s="3" t="s">
        <v>3574</v>
      </c>
      <c r="E1269" s="3" t="s">
        <v>3575</v>
      </c>
      <c r="F1269" s="3" t="s">
        <v>784</v>
      </c>
      <c r="G1269" s="3" t="s">
        <v>784</v>
      </c>
      <c r="H1269" s="43">
        <f t="shared" ref="H1269:I1269" si="2539">LEN(D1269)-LEN(B1269)+1</f>
        <v>3</v>
      </c>
      <c r="I1269" s="43">
        <f t="shared" si="2539"/>
        <v>3</v>
      </c>
      <c r="J1269" s="4">
        <v>3.0</v>
      </c>
      <c r="K1269" s="4">
        <v>3.0</v>
      </c>
      <c r="L1269" s="5" t="str">
        <f t="shared" ref="L1269:M1269" si="2540">IFS(J1269="-", "-", J1269=H1269, "Final", J1269=1, "Initial", J1269&gt;1, "Medial")</f>
        <v>Final</v>
      </c>
      <c r="M1269" s="44" t="str">
        <f t="shared" si="2540"/>
        <v>Final</v>
      </c>
      <c r="N1269" s="5" t="str">
        <f t="shared" si="5"/>
        <v>ˈmɛ̃</v>
      </c>
      <c r="O1269" s="5">
        <f t="shared" si="6"/>
        <v>3</v>
      </c>
      <c r="P1269" s="5" t="str">
        <f t="shared" si="7"/>
        <v>ˈmẽ</v>
      </c>
      <c r="Q1269" s="5">
        <f t="shared" si="8"/>
        <v>3</v>
      </c>
      <c r="R1269" s="3"/>
      <c r="S1269" s="3" t="s">
        <v>3577</v>
      </c>
      <c r="T1269" s="3" t="s">
        <v>3578</v>
      </c>
      <c r="U1269" s="3" t="s">
        <v>22</v>
      </c>
      <c r="V1269" s="5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>
      <c r="A1270" s="15" t="s">
        <v>14</v>
      </c>
      <c r="B1270" s="15" t="s">
        <v>3579</v>
      </c>
      <c r="C1270" s="15" t="s">
        <v>3580</v>
      </c>
      <c r="D1270" s="15" t="s">
        <v>3581</v>
      </c>
      <c r="E1270" s="15" t="s">
        <v>3582</v>
      </c>
      <c r="F1270" s="15"/>
      <c r="G1270" s="15"/>
      <c r="H1270" s="43">
        <f t="shared" ref="H1270:I1270" si="2541">LEN(D1270)-LEN(B1270)+1</f>
        <v>2</v>
      </c>
      <c r="I1270" s="43">
        <f t="shared" si="2541"/>
        <v>2</v>
      </c>
      <c r="J1270" s="18"/>
      <c r="K1270" s="18"/>
      <c r="L1270" s="5" t="str">
        <f t="shared" ref="L1270:M1270" si="2542">IFS(J1270="-", "-", J1270=H1270, "Final", J1270=1, "Initial", J1270&gt;1, "Medial")</f>
        <v>#N/A</v>
      </c>
      <c r="M1270" s="44" t="str">
        <f t="shared" si="2542"/>
        <v>#N/A</v>
      </c>
      <c r="N1270" s="5" t="str">
        <f t="shared" si="5"/>
        <v>0</v>
      </c>
      <c r="O1270" s="5" t="str">
        <f t="shared" si="6"/>
        <v/>
      </c>
      <c r="P1270" s="5" t="str">
        <f t="shared" si="7"/>
        <v>0</v>
      </c>
      <c r="Q1270" s="5" t="str">
        <f t="shared" si="8"/>
        <v/>
      </c>
      <c r="R1270" s="20"/>
      <c r="S1270" s="15" t="s">
        <v>3583</v>
      </c>
      <c r="T1270" s="15" t="s">
        <v>3584</v>
      </c>
      <c r="U1270" s="15" t="s">
        <v>22</v>
      </c>
      <c r="V1270" s="15" t="s">
        <v>560</v>
      </c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</row>
    <row r="1271">
      <c r="A1271" s="3" t="s">
        <v>14</v>
      </c>
      <c r="B1271" s="3" t="s">
        <v>3585</v>
      </c>
      <c r="C1271" s="3" t="s">
        <v>3586</v>
      </c>
      <c r="D1271" s="3" t="s">
        <v>3587</v>
      </c>
      <c r="E1271" s="3" t="s">
        <v>3588</v>
      </c>
      <c r="F1271" s="3" t="s">
        <v>2754</v>
      </c>
      <c r="G1271" s="3" t="s">
        <v>745</v>
      </c>
      <c r="H1271" s="43">
        <f t="shared" ref="H1271:I1271" si="2543">LEN(D1271)-LEN(B1271)+1</f>
        <v>3</v>
      </c>
      <c r="I1271" s="43">
        <f t="shared" si="2543"/>
        <v>3</v>
      </c>
      <c r="J1271" s="4">
        <v>1.0</v>
      </c>
      <c r="K1271" s="4">
        <v>1.0</v>
      </c>
      <c r="L1271" s="5" t="str">
        <f t="shared" ref="L1271:M1271" si="2544">IFS(J1271="-", "-", J1271=H1271, "Final", J1271=1, "Initial", J1271&gt;1, "Medial")</f>
        <v>Initial</v>
      </c>
      <c r="M1271" s="44" t="str">
        <f t="shared" si="2544"/>
        <v>Initial</v>
      </c>
      <c r="N1271" s="5" t="str">
        <f t="shared" si="5"/>
        <v>0</v>
      </c>
      <c r="O1271" s="5" t="str">
        <f t="shared" si="6"/>
        <v>ˈda</v>
      </c>
      <c r="P1271" s="5" t="str">
        <f t="shared" si="7"/>
        <v>0</v>
      </c>
      <c r="Q1271" s="5" t="str">
        <f t="shared" si="8"/>
        <v>ˈda</v>
      </c>
      <c r="R1271" s="5"/>
      <c r="S1271" s="3" t="s">
        <v>3589</v>
      </c>
      <c r="T1271" s="3" t="s">
        <v>3590</v>
      </c>
      <c r="U1271" s="3" t="s">
        <v>22</v>
      </c>
      <c r="V1271" s="5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>
      <c r="A1272" s="3" t="s">
        <v>14</v>
      </c>
      <c r="B1272" s="3" t="s">
        <v>3585</v>
      </c>
      <c r="C1272" s="3" t="s">
        <v>3586</v>
      </c>
      <c r="D1272" s="3" t="s">
        <v>3587</v>
      </c>
      <c r="E1272" s="3" t="s">
        <v>3588</v>
      </c>
      <c r="F1272" s="3" t="s">
        <v>1118</v>
      </c>
      <c r="G1272" s="3" t="s">
        <v>1118</v>
      </c>
      <c r="H1272" s="43">
        <f t="shared" ref="H1272:I1272" si="2545">LEN(D1272)-LEN(B1272)+1</f>
        <v>3</v>
      </c>
      <c r="I1272" s="43">
        <f t="shared" si="2545"/>
        <v>3</v>
      </c>
      <c r="J1272" s="4">
        <v>2.0</v>
      </c>
      <c r="K1272" s="4">
        <v>2.0</v>
      </c>
      <c r="L1272" s="5" t="str">
        <f t="shared" ref="L1272:M1272" si="2546">IFS(J1272="-", "-", J1272=H1272, "Final", J1272=1, "Initial", J1272&gt;1, "Medial")</f>
        <v>Medial</v>
      </c>
      <c r="M1272" s="44" t="str">
        <f t="shared" si="2546"/>
        <v>Medial</v>
      </c>
      <c r="N1272" s="5" t="str">
        <f t="shared" si="5"/>
        <v>vɛ</v>
      </c>
      <c r="O1272" s="5" t="str">
        <f t="shared" si="6"/>
        <v>di</v>
      </c>
      <c r="P1272" s="5" t="str">
        <f t="shared" si="7"/>
        <v>vɨɾ</v>
      </c>
      <c r="Q1272" s="5" t="str">
        <f t="shared" si="8"/>
        <v>dɨ</v>
      </c>
      <c r="R1272" s="2"/>
      <c r="S1272" s="3" t="s">
        <v>3589</v>
      </c>
      <c r="T1272" s="3" t="s">
        <v>3590</v>
      </c>
      <c r="U1272" s="3" t="s">
        <v>22</v>
      </c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>
      <c r="A1273" s="3" t="s">
        <v>14</v>
      </c>
      <c r="B1273" s="3" t="s">
        <v>3585</v>
      </c>
      <c r="C1273" s="3" t="s">
        <v>3586</v>
      </c>
      <c r="D1273" s="3" t="s">
        <v>3587</v>
      </c>
      <c r="E1273" s="3" t="s">
        <v>3588</v>
      </c>
      <c r="F1273" s="3" t="s">
        <v>172</v>
      </c>
      <c r="G1273" s="3" t="s">
        <v>334</v>
      </c>
      <c r="H1273" s="43">
        <f t="shared" ref="H1273:I1273" si="2547">LEN(D1273)-LEN(B1273)+1</f>
        <v>3</v>
      </c>
      <c r="I1273" s="43">
        <f t="shared" si="2547"/>
        <v>3</v>
      </c>
      <c r="J1273" s="4">
        <v>3.0</v>
      </c>
      <c r="K1273" s="4">
        <v>3.0</v>
      </c>
      <c r="L1273" s="5" t="str">
        <f t="shared" ref="L1273:M1273" si="2548">IFS(J1273="-", "-", J1273=H1273, "Final", J1273=1, "Initial", J1273&gt;1, "Medial")</f>
        <v>Final</v>
      </c>
      <c r="M1273" s="44" t="str">
        <f t="shared" si="2548"/>
        <v>Final</v>
      </c>
      <c r="N1273" s="5" t="str">
        <f t="shared" si="5"/>
        <v>ˈda</v>
      </c>
      <c r="O1273" s="5">
        <f t="shared" si="6"/>
        <v>3</v>
      </c>
      <c r="P1273" s="5" t="str">
        <f t="shared" si="7"/>
        <v>ˈda</v>
      </c>
      <c r="Q1273" s="5">
        <f t="shared" si="8"/>
        <v>3</v>
      </c>
      <c r="R1273" s="2"/>
      <c r="S1273" s="3" t="s">
        <v>3589</v>
      </c>
      <c r="T1273" s="3" t="s">
        <v>3590</v>
      </c>
      <c r="U1273" s="3" t="s">
        <v>22</v>
      </c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>
      <c r="A1274" s="2"/>
      <c r="B1274" s="2"/>
      <c r="C1274" s="2"/>
      <c r="D1274" s="2"/>
      <c r="E1274" s="2"/>
      <c r="F1274" s="2"/>
      <c r="G1274" s="2"/>
      <c r="H1274" s="43"/>
      <c r="I1274" s="31"/>
      <c r="J1274" s="31"/>
      <c r="K1274" s="31"/>
      <c r="L1274" s="5"/>
      <c r="M1274" s="2"/>
      <c r="N1274" s="5"/>
      <c r="O1274" s="5" t="str">
        <f t="shared" si="6"/>
        <v/>
      </c>
      <c r="P1274" s="5"/>
      <c r="Q1274" s="5" t="str">
        <f t="shared" si="8"/>
        <v/>
      </c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>
      <c r="A1275" s="2"/>
      <c r="B1275" s="2"/>
      <c r="C1275" s="2"/>
      <c r="D1275" s="2"/>
      <c r="E1275" s="2"/>
      <c r="F1275" s="2"/>
      <c r="G1275" s="2"/>
      <c r="H1275" s="43"/>
      <c r="I1275" s="31"/>
      <c r="J1275" s="31"/>
      <c r="K1275" s="31"/>
      <c r="L1275" s="5"/>
      <c r="M1275" s="2"/>
      <c r="N1275" s="5" t="str">
        <f t="shared" ref="N1275:N1291" si="2549">IF(NE($B1275,$B1274), "0", $F1274)</f>
        <v/>
      </c>
      <c r="O1275" s="5" t="str">
        <f t="shared" si="6"/>
        <v/>
      </c>
      <c r="P1275" s="5" t="str">
        <f t="shared" ref="P1275:P1288" si="2550">IF(NE($C1275,$C1274), "0", $G1274)</f>
        <v/>
      </c>
      <c r="Q1275" s="5" t="str">
        <f t="shared" si="8"/>
        <v/>
      </c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>
      <c r="A1276" s="2"/>
      <c r="B1276" s="2"/>
      <c r="C1276" s="2"/>
      <c r="D1276" s="2"/>
      <c r="E1276" s="2"/>
      <c r="F1276" s="2"/>
      <c r="G1276" s="2"/>
      <c r="H1276" s="43"/>
      <c r="I1276" s="31"/>
      <c r="J1276" s="31"/>
      <c r="K1276" s="31"/>
      <c r="L1276" s="2"/>
      <c r="M1276" s="2"/>
      <c r="N1276" s="5" t="str">
        <f t="shared" si="2549"/>
        <v/>
      </c>
      <c r="O1276" s="5" t="str">
        <f t="shared" si="6"/>
        <v/>
      </c>
      <c r="P1276" s="5" t="str">
        <f t="shared" si="2550"/>
        <v/>
      </c>
      <c r="Q1276" s="5" t="str">
        <f t="shared" si="8"/>
        <v/>
      </c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>
      <c r="A1277" s="2"/>
      <c r="B1277" s="2"/>
      <c r="C1277" s="2"/>
      <c r="D1277" s="2"/>
      <c r="E1277" s="2"/>
      <c r="F1277" s="2"/>
      <c r="G1277" s="2"/>
      <c r="H1277" s="43"/>
      <c r="I1277" s="31"/>
      <c r="J1277" s="31"/>
      <c r="K1277" s="31"/>
      <c r="L1277" s="2"/>
      <c r="M1277" s="2"/>
      <c r="N1277" s="5" t="str">
        <f t="shared" si="2549"/>
        <v/>
      </c>
      <c r="O1277" s="5" t="str">
        <f t="shared" si="6"/>
        <v/>
      </c>
      <c r="P1277" s="5" t="str">
        <f t="shared" si="2550"/>
        <v/>
      </c>
      <c r="Q1277" s="5" t="str">
        <f t="shared" si="8"/>
        <v/>
      </c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>
      <c r="A1278" s="2"/>
      <c r="B1278" s="2"/>
      <c r="C1278" s="2"/>
      <c r="D1278" s="2"/>
      <c r="E1278" s="2"/>
      <c r="F1278" s="2"/>
      <c r="G1278" s="2"/>
      <c r="H1278" s="43"/>
      <c r="I1278" s="31"/>
      <c r="J1278" s="31"/>
      <c r="K1278" s="31"/>
      <c r="L1278" s="2"/>
      <c r="M1278" s="2"/>
      <c r="N1278" s="5" t="str">
        <f t="shared" si="2549"/>
        <v/>
      </c>
      <c r="O1278" s="5" t="str">
        <f t="shared" si="6"/>
        <v/>
      </c>
      <c r="P1278" s="5" t="str">
        <f t="shared" si="2550"/>
        <v/>
      </c>
      <c r="Q1278" s="5" t="str">
        <f t="shared" si="8"/>
        <v/>
      </c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>
      <c r="A1279" s="2"/>
      <c r="B1279" s="2"/>
      <c r="C1279" s="2"/>
      <c r="D1279" s="2"/>
      <c r="E1279" s="2"/>
      <c r="F1279" s="2"/>
      <c r="G1279" s="2"/>
      <c r="H1279" s="43"/>
      <c r="I1279" s="31"/>
      <c r="J1279" s="31"/>
      <c r="K1279" s="31"/>
      <c r="L1279" s="2"/>
      <c r="M1279" s="2"/>
      <c r="N1279" s="5" t="str">
        <f t="shared" si="2549"/>
        <v/>
      </c>
      <c r="O1279" s="5" t="str">
        <f t="shared" si="6"/>
        <v/>
      </c>
      <c r="P1279" s="5" t="str">
        <f t="shared" si="2550"/>
        <v/>
      </c>
      <c r="Q1279" s="5" t="str">
        <f t="shared" si="8"/>
        <v/>
      </c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>
      <c r="A1280" s="2"/>
      <c r="B1280" s="2"/>
      <c r="C1280" s="2"/>
      <c r="D1280" s="2"/>
      <c r="E1280" s="2"/>
      <c r="F1280" s="2"/>
      <c r="G1280" s="2"/>
      <c r="H1280" s="43"/>
      <c r="I1280" s="31"/>
      <c r="J1280" s="31"/>
      <c r="K1280" s="31"/>
      <c r="L1280" s="2"/>
      <c r="M1280" s="2"/>
      <c r="N1280" s="5" t="str">
        <f t="shared" si="2549"/>
        <v/>
      </c>
      <c r="O1280" s="5" t="str">
        <f t="shared" si="6"/>
        <v/>
      </c>
      <c r="P1280" s="5" t="str">
        <f t="shared" si="2550"/>
        <v/>
      </c>
      <c r="Q1280" s="5" t="str">
        <f t="shared" si="8"/>
        <v/>
      </c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>
      <c r="A1281" s="2"/>
      <c r="B1281" s="2"/>
      <c r="C1281" s="2"/>
      <c r="D1281" s="2"/>
      <c r="E1281" s="2"/>
      <c r="F1281" s="2"/>
      <c r="G1281" s="2"/>
      <c r="H1281" s="43"/>
      <c r="I1281" s="31"/>
      <c r="J1281" s="31"/>
      <c r="K1281" s="31"/>
      <c r="L1281" s="2"/>
      <c r="M1281" s="2"/>
      <c r="N1281" s="5" t="str">
        <f t="shared" si="2549"/>
        <v/>
      </c>
      <c r="O1281" s="5" t="str">
        <f t="shared" si="6"/>
        <v/>
      </c>
      <c r="P1281" s="5" t="str">
        <f t="shared" si="2550"/>
        <v/>
      </c>
      <c r="Q1281" s="5" t="str">
        <f t="shared" si="8"/>
        <v/>
      </c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>
      <c r="A1282" s="2"/>
      <c r="B1282" s="2"/>
      <c r="C1282" s="2"/>
      <c r="D1282" s="2"/>
      <c r="E1282" s="2"/>
      <c r="F1282" s="2"/>
      <c r="G1282" s="2"/>
      <c r="H1282" s="43"/>
      <c r="I1282" s="31"/>
      <c r="J1282" s="31"/>
      <c r="K1282" s="31"/>
      <c r="L1282" s="2"/>
      <c r="M1282" s="2"/>
      <c r="N1282" s="5" t="str">
        <f t="shared" si="2549"/>
        <v/>
      </c>
      <c r="O1282" s="5" t="str">
        <f t="shared" si="6"/>
        <v/>
      </c>
      <c r="P1282" s="5" t="str">
        <f t="shared" si="2550"/>
        <v/>
      </c>
      <c r="Q1282" s="5" t="str">
        <f t="shared" si="8"/>
        <v/>
      </c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>
      <c r="A1283" s="2"/>
      <c r="B1283" s="2"/>
      <c r="C1283" s="2"/>
      <c r="D1283" s="2"/>
      <c r="E1283" s="2"/>
      <c r="F1283" s="2"/>
      <c r="G1283" s="2"/>
      <c r="H1283" s="43"/>
      <c r="I1283" s="31"/>
      <c r="J1283" s="31"/>
      <c r="K1283" s="31"/>
      <c r="L1283" s="2"/>
      <c r="M1283" s="2"/>
      <c r="N1283" s="5" t="str">
        <f t="shared" si="2549"/>
        <v/>
      </c>
      <c r="O1283" s="5" t="str">
        <f t="shared" si="6"/>
        <v/>
      </c>
      <c r="P1283" s="5" t="str">
        <f t="shared" si="2550"/>
        <v/>
      </c>
      <c r="Q1283" s="5" t="str">
        <f t="shared" si="8"/>
        <v/>
      </c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>
      <c r="A1284" s="2"/>
      <c r="B1284" s="2"/>
      <c r="C1284" s="2"/>
      <c r="D1284" s="2"/>
      <c r="E1284" s="2"/>
      <c r="F1284" s="2"/>
      <c r="G1284" s="2"/>
      <c r="H1284" s="43"/>
      <c r="I1284" s="31"/>
      <c r="J1284" s="31"/>
      <c r="K1284" s="31"/>
      <c r="L1284" s="2"/>
      <c r="M1284" s="2"/>
      <c r="N1284" s="5" t="str">
        <f t="shared" si="2549"/>
        <v/>
      </c>
      <c r="O1284" s="5" t="str">
        <f t="shared" si="6"/>
        <v/>
      </c>
      <c r="P1284" s="5" t="str">
        <f t="shared" si="2550"/>
        <v/>
      </c>
      <c r="Q1284" s="5" t="str">
        <f t="shared" si="8"/>
        <v/>
      </c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>
      <c r="A1285" s="2"/>
      <c r="B1285" s="2"/>
      <c r="C1285" s="2"/>
      <c r="D1285" s="2"/>
      <c r="E1285" s="2"/>
      <c r="F1285" s="2"/>
      <c r="G1285" s="2"/>
      <c r="H1285" s="43"/>
      <c r="I1285" s="31"/>
      <c r="J1285" s="31"/>
      <c r="K1285" s="31"/>
      <c r="L1285" s="2"/>
      <c r="M1285" s="2"/>
      <c r="N1285" s="5" t="str">
        <f t="shared" si="2549"/>
        <v/>
      </c>
      <c r="O1285" s="5" t="str">
        <f t="shared" si="6"/>
        <v/>
      </c>
      <c r="P1285" s="5" t="str">
        <f t="shared" si="2550"/>
        <v/>
      </c>
      <c r="Q1285" s="5" t="str">
        <f t="shared" si="8"/>
        <v/>
      </c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>
      <c r="A1286" s="2"/>
      <c r="B1286" s="2"/>
      <c r="C1286" s="2"/>
      <c r="D1286" s="2"/>
      <c r="E1286" s="2"/>
      <c r="F1286" s="2"/>
      <c r="G1286" s="2"/>
      <c r="H1286" s="43"/>
      <c r="I1286" s="31"/>
      <c r="J1286" s="31"/>
      <c r="K1286" s="31"/>
      <c r="L1286" s="2"/>
      <c r="M1286" s="2"/>
      <c r="N1286" s="5" t="str">
        <f t="shared" si="2549"/>
        <v/>
      </c>
      <c r="O1286" s="5" t="str">
        <f t="shared" si="6"/>
        <v/>
      </c>
      <c r="P1286" s="5" t="str">
        <f t="shared" si="2550"/>
        <v/>
      </c>
      <c r="Q1286" s="5" t="str">
        <f t="shared" si="8"/>
        <v/>
      </c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>
      <c r="A1287" s="2"/>
      <c r="B1287" s="2"/>
      <c r="C1287" s="2"/>
      <c r="D1287" s="2"/>
      <c r="E1287" s="2"/>
      <c r="F1287" s="2"/>
      <c r="G1287" s="2"/>
      <c r="H1287" s="43"/>
      <c r="I1287" s="31"/>
      <c r="J1287" s="31"/>
      <c r="K1287" s="31"/>
      <c r="L1287" s="2"/>
      <c r="M1287" s="2"/>
      <c r="N1287" s="5" t="str">
        <f t="shared" si="2549"/>
        <v/>
      </c>
      <c r="O1287" s="5" t="str">
        <f t="shared" si="6"/>
        <v/>
      </c>
      <c r="P1287" s="5" t="str">
        <f t="shared" si="2550"/>
        <v/>
      </c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>
      <c r="A1288" s="2"/>
      <c r="B1288" s="2"/>
      <c r="C1288" s="2"/>
      <c r="D1288" s="2"/>
      <c r="E1288" s="2"/>
      <c r="F1288" s="2"/>
      <c r="G1288" s="2"/>
      <c r="H1288" s="43"/>
      <c r="I1288" s="31"/>
      <c r="J1288" s="31"/>
      <c r="K1288" s="31"/>
      <c r="L1288" s="2"/>
      <c r="M1288" s="2"/>
      <c r="N1288" s="5" t="str">
        <f t="shared" si="2549"/>
        <v/>
      </c>
      <c r="O1288" s="5" t="str">
        <f t="shared" si="6"/>
        <v/>
      </c>
      <c r="P1288" s="5" t="str">
        <f t="shared" si="2550"/>
        <v/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>
      <c r="A1289" s="2"/>
      <c r="B1289" s="2"/>
      <c r="C1289" s="2"/>
      <c r="D1289" s="2"/>
      <c r="E1289" s="2"/>
      <c r="F1289" s="2"/>
      <c r="G1289" s="2"/>
      <c r="H1289" s="43"/>
      <c r="I1289" s="31"/>
      <c r="J1289" s="31"/>
      <c r="K1289" s="31"/>
      <c r="L1289" s="2"/>
      <c r="M1289" s="2"/>
      <c r="N1289" s="5" t="str">
        <f t="shared" si="2549"/>
        <v/>
      </c>
      <c r="O1289" s="5" t="str">
        <f t="shared" si="6"/>
        <v/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>
      <c r="A1290" s="2"/>
      <c r="B1290" s="2"/>
      <c r="C1290" s="2"/>
      <c r="D1290" s="2"/>
      <c r="E1290" s="2"/>
      <c r="F1290" s="2"/>
      <c r="G1290" s="2"/>
      <c r="H1290" s="43"/>
      <c r="I1290" s="31"/>
      <c r="J1290" s="31"/>
      <c r="K1290" s="31"/>
      <c r="L1290" s="2"/>
      <c r="M1290" s="2"/>
      <c r="N1290" s="5" t="str">
        <f t="shared" si="2549"/>
        <v/>
      </c>
      <c r="O1290" s="5" t="str">
        <f t="shared" si="6"/>
        <v/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>
      <c r="A1291" s="2"/>
      <c r="B1291" s="2"/>
      <c r="C1291" s="2"/>
      <c r="D1291" s="2"/>
      <c r="E1291" s="2"/>
      <c r="F1291" s="2"/>
      <c r="G1291" s="2"/>
      <c r="H1291" s="43"/>
      <c r="I1291" s="31"/>
      <c r="J1291" s="31"/>
      <c r="K1291" s="31"/>
      <c r="L1291" s="2"/>
      <c r="M1291" s="2"/>
      <c r="N1291" s="5" t="str">
        <f t="shared" si="2549"/>
        <v/>
      </c>
      <c r="O1291" s="5" t="str">
        <f t="shared" si="6"/>
        <v/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>
      <c r="A1292" s="2"/>
      <c r="B1292" s="2"/>
      <c r="C1292" s="2"/>
      <c r="D1292" s="2"/>
      <c r="E1292" s="2"/>
      <c r="F1292" s="2"/>
      <c r="G1292" s="2"/>
      <c r="H1292" s="43"/>
      <c r="I1292" s="31"/>
      <c r="J1292" s="31"/>
      <c r="K1292" s="31"/>
      <c r="L1292" s="2"/>
      <c r="M1292" s="2"/>
      <c r="N1292" s="2"/>
      <c r="O1292" s="5" t="str">
        <f t="shared" si="6"/>
        <v/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>
      <c r="A1293" s="2"/>
      <c r="B1293" s="2"/>
      <c r="C1293" s="2"/>
      <c r="D1293" s="2"/>
      <c r="E1293" s="2"/>
      <c r="F1293" s="2"/>
      <c r="G1293" s="2"/>
      <c r="H1293" s="43"/>
      <c r="I1293" s="31"/>
      <c r="J1293" s="31"/>
      <c r="K1293" s="31"/>
      <c r="L1293" s="2"/>
      <c r="M1293" s="2"/>
      <c r="N1293" s="2"/>
      <c r="O1293" s="5" t="str">
        <f t="shared" si="6"/>
        <v/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>
      <c r="A1294" s="2"/>
      <c r="B1294" s="2"/>
      <c r="C1294" s="2"/>
      <c r="D1294" s="2"/>
      <c r="E1294" s="2"/>
      <c r="F1294" s="2"/>
      <c r="G1294" s="2"/>
      <c r="H1294" s="43"/>
      <c r="I1294" s="31"/>
      <c r="J1294" s="31"/>
      <c r="K1294" s="31"/>
      <c r="L1294" s="2"/>
      <c r="M1294" s="2"/>
      <c r="N1294" s="2"/>
      <c r="O1294" s="5" t="str">
        <f t="shared" si="6"/>
        <v/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>
      <c r="A1295" s="2"/>
      <c r="B1295" s="2"/>
      <c r="C1295" s="2"/>
      <c r="D1295" s="2"/>
      <c r="E1295" s="2"/>
      <c r="F1295" s="2"/>
      <c r="G1295" s="2"/>
      <c r="H1295" s="43"/>
      <c r="I1295" s="31"/>
      <c r="J1295" s="31"/>
      <c r="K1295" s="31"/>
      <c r="L1295" s="2"/>
      <c r="M1295" s="2"/>
      <c r="N1295" s="2"/>
      <c r="O1295" s="5" t="str">
        <f t="shared" si="6"/>
        <v/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>
      <c r="A1296" s="2"/>
      <c r="B1296" s="2"/>
      <c r="C1296" s="2"/>
      <c r="D1296" s="2"/>
      <c r="E1296" s="2"/>
      <c r="F1296" s="2"/>
      <c r="G1296" s="2"/>
      <c r="H1296" s="43"/>
      <c r="I1296" s="2"/>
      <c r="J1296" s="2"/>
      <c r="K1296" s="2"/>
      <c r="L1296" s="2"/>
      <c r="M1296" s="2"/>
      <c r="N1296" s="2"/>
      <c r="O1296" s="5" t="str">
        <f t="shared" si="6"/>
        <v/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>
      <c r="A1297" s="2"/>
      <c r="B1297" s="2"/>
      <c r="C1297" s="2"/>
      <c r="D1297" s="2"/>
      <c r="E1297" s="2"/>
      <c r="F1297" s="2"/>
      <c r="G1297" s="2"/>
      <c r="H1297" s="43"/>
      <c r="I1297" s="2"/>
      <c r="J1297" s="2"/>
      <c r="K1297" s="2"/>
      <c r="L1297" s="2"/>
      <c r="M1297" s="2"/>
      <c r="N1297" s="2"/>
      <c r="O1297" s="5" t="str">
        <f t="shared" si="6"/>
        <v/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hidden="1" min="6" max="9" width="12.63"/>
  </cols>
  <sheetData>
    <row r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6" t="s">
        <v>3641</v>
      </c>
      <c r="K1" s="46" t="s">
        <v>3642</v>
      </c>
      <c r="L1" s="46" t="s">
        <v>3633</v>
      </c>
      <c r="M1" s="47" t="s">
        <v>3634</v>
      </c>
      <c r="N1" s="47" t="s">
        <v>3643</v>
      </c>
      <c r="O1" s="47" t="s">
        <v>3644</v>
      </c>
      <c r="P1" s="47" t="s">
        <v>3645</v>
      </c>
      <c r="Q1" s="47" t="s">
        <v>3646</v>
      </c>
    </row>
    <row r="2">
      <c r="A2" s="48" t="s">
        <v>14</v>
      </c>
      <c r="B2" s="48" t="s">
        <v>15</v>
      </c>
      <c r="C2" s="48" t="s">
        <v>16</v>
      </c>
      <c r="D2" s="49" t="s">
        <v>17</v>
      </c>
      <c r="E2" s="48" t="s">
        <v>18</v>
      </c>
      <c r="F2" s="49" t="s">
        <v>19</v>
      </c>
      <c r="G2" s="49" t="s">
        <v>19</v>
      </c>
      <c r="H2" s="50">
        <v>1.0</v>
      </c>
      <c r="I2" s="50">
        <v>1.0</v>
      </c>
      <c r="J2" s="49">
        <f t="shared" ref="J2:K2" si="1">LEN(SUBSTITUTE(SUBSTITUTE(SUBSTITUTE(B2 ,"ˈ",""),"d̠ʒ","ʒ"),"t̠ʃ","ʃ"))</f>
        <v>3</v>
      </c>
      <c r="K2" s="44">
        <f t="shared" si="1"/>
        <v>3</v>
      </c>
      <c r="L2" s="51">
        <f t="shared" ref="L2:M2" si="2">LEN(D2)-LEN(B2)+1</f>
        <v>2</v>
      </c>
      <c r="M2" s="51">
        <f t="shared" si="2"/>
        <v>2</v>
      </c>
      <c r="N2" s="51">
        <f t="shared" ref="N2:N523" si="5">J2-K2</f>
        <v>0</v>
      </c>
      <c r="O2" s="51" t="str">
        <f t="shared" ref="O2:O523" si="6">IFS(N2&gt;0,"Source",N2&lt;0,"Target",N2=0,"Equal")</f>
        <v>Equal</v>
      </c>
      <c r="P2" s="51">
        <f t="shared" ref="P2:P523" si="7">L2-M2</f>
        <v>0</v>
      </c>
      <c r="Q2" s="51" t="str">
        <f t="shared" ref="Q2:Q523" si="8">IFS(P2&gt;0, "Source",P2&lt;0,"Target",P2=0,"Equal")</f>
        <v>Equal</v>
      </c>
    </row>
    <row r="3">
      <c r="A3" s="48" t="s">
        <v>14</v>
      </c>
      <c r="B3" s="48" t="s">
        <v>25</v>
      </c>
      <c r="C3" s="49" t="s">
        <v>26</v>
      </c>
      <c r="D3" s="48" t="s">
        <v>27</v>
      </c>
      <c r="E3" s="49" t="s">
        <v>28</v>
      </c>
      <c r="F3" s="48" t="s">
        <v>29</v>
      </c>
      <c r="G3" s="48" t="s">
        <v>30</v>
      </c>
      <c r="H3" s="50">
        <v>1.0</v>
      </c>
      <c r="I3" s="50">
        <v>1.0</v>
      </c>
      <c r="J3" s="49">
        <f t="shared" ref="J3:K3" si="3">LEN(SUBSTITUTE(SUBSTITUTE(SUBSTITUTE(B3 ,"ˈ",""),"d̠ʒ","ʒ"),"t̠ʃ","ʃ"))</f>
        <v>5</v>
      </c>
      <c r="K3" s="44">
        <f t="shared" si="3"/>
        <v>4</v>
      </c>
      <c r="L3" s="51">
        <f t="shared" ref="L3:M3" si="4">LEN(D3)-LEN(B3)+1</f>
        <v>3</v>
      </c>
      <c r="M3" s="51">
        <f t="shared" si="4"/>
        <v>2</v>
      </c>
      <c r="N3" s="51">
        <f t="shared" si="5"/>
        <v>1</v>
      </c>
      <c r="O3" s="51" t="str">
        <f t="shared" si="6"/>
        <v>Source</v>
      </c>
      <c r="P3" s="51">
        <f t="shared" si="7"/>
        <v>1</v>
      </c>
      <c r="Q3" s="51" t="str">
        <f t="shared" si="8"/>
        <v>Source</v>
      </c>
    </row>
    <row r="4">
      <c r="A4" s="48" t="s">
        <v>14</v>
      </c>
      <c r="B4" s="49" t="s">
        <v>37</v>
      </c>
      <c r="C4" s="49" t="s">
        <v>38</v>
      </c>
      <c r="D4" s="52" t="s">
        <v>39</v>
      </c>
      <c r="E4" s="53" t="s">
        <v>40</v>
      </c>
      <c r="F4" s="49" t="s">
        <v>19</v>
      </c>
      <c r="G4" s="49" t="s">
        <v>19</v>
      </c>
      <c r="H4" s="50">
        <v>1.0</v>
      </c>
      <c r="I4" s="50">
        <v>1.0</v>
      </c>
      <c r="J4" s="49">
        <f t="shared" ref="J4:K4" si="9">LEN(SUBSTITUTE(SUBSTITUTE(SUBSTITUTE(B4 ,"ˈ",""),"d̠ʒ","ʒ"),"t̠ʃ","ʃ"))</f>
        <v>3</v>
      </c>
      <c r="K4" s="44">
        <f t="shared" si="9"/>
        <v>4</v>
      </c>
      <c r="L4" s="51">
        <f t="shared" ref="L4:M4" si="10">LEN(D4)-LEN(B4)+1</f>
        <v>2</v>
      </c>
      <c r="M4" s="51">
        <f t="shared" si="10"/>
        <v>2</v>
      </c>
      <c r="N4" s="51">
        <f t="shared" si="5"/>
        <v>-1</v>
      </c>
      <c r="O4" s="51" t="str">
        <f t="shared" si="6"/>
        <v>Target</v>
      </c>
      <c r="P4" s="51">
        <f t="shared" si="7"/>
        <v>0</v>
      </c>
      <c r="Q4" s="51" t="str">
        <f t="shared" si="8"/>
        <v>Equal</v>
      </c>
    </row>
    <row r="5">
      <c r="A5" s="48" t="s">
        <v>14</v>
      </c>
      <c r="B5" s="49" t="s">
        <v>45</v>
      </c>
      <c r="C5" s="48" t="s">
        <v>46</v>
      </c>
      <c r="D5" s="52" t="s">
        <v>3647</v>
      </c>
      <c r="E5" s="48" t="s">
        <v>48</v>
      </c>
      <c r="F5" s="49" t="s">
        <v>37</v>
      </c>
      <c r="G5" s="48" t="s">
        <v>49</v>
      </c>
      <c r="H5" s="50">
        <v>1.0</v>
      </c>
      <c r="I5" s="50">
        <v>1.0</v>
      </c>
      <c r="J5" s="49">
        <f t="shared" ref="J5:K5" si="11">LEN(SUBSTITUTE(SUBSTITUTE(SUBSTITUTE(B5 ,"ˈ",""),"d̠ʒ","ʒ"),"t̠ʃ","ʃ"))</f>
        <v>8</v>
      </c>
      <c r="K5" s="44">
        <f t="shared" si="11"/>
        <v>10</v>
      </c>
      <c r="L5" s="51">
        <f t="shared" ref="L5:M5" si="12">LEN(D5)-LEN(B5)+1</f>
        <v>2</v>
      </c>
      <c r="M5" s="51">
        <f t="shared" si="12"/>
        <v>4</v>
      </c>
      <c r="N5" s="51">
        <f t="shared" si="5"/>
        <v>-2</v>
      </c>
      <c r="O5" s="51" t="str">
        <f t="shared" si="6"/>
        <v>Target</v>
      </c>
      <c r="P5" s="51">
        <f t="shared" si="7"/>
        <v>-2</v>
      </c>
      <c r="Q5" s="51" t="str">
        <f t="shared" si="8"/>
        <v>Target</v>
      </c>
    </row>
    <row r="6">
      <c r="A6" s="48" t="s">
        <v>14</v>
      </c>
      <c r="B6" s="49" t="s">
        <v>57</v>
      </c>
      <c r="C6" s="48" t="s">
        <v>58</v>
      </c>
      <c r="D6" s="48" t="s">
        <v>59</v>
      </c>
      <c r="E6" s="48" t="s">
        <v>60</v>
      </c>
      <c r="F6" s="48" t="s">
        <v>61</v>
      </c>
      <c r="G6" s="48" t="s">
        <v>62</v>
      </c>
      <c r="H6" s="50">
        <v>1.0</v>
      </c>
      <c r="I6" s="50">
        <v>1.0</v>
      </c>
      <c r="J6" s="49">
        <f t="shared" ref="J6:K6" si="13">LEN(SUBSTITUTE(SUBSTITUTE(SUBSTITUTE(B6 ,"ˈ",""),"d̠ʒ","ʒ"),"t̠ʃ","ʃ"))</f>
        <v>4</v>
      </c>
      <c r="K6" s="44">
        <f t="shared" si="13"/>
        <v>6</v>
      </c>
      <c r="L6" s="51">
        <f t="shared" ref="L6:M6" si="14">LEN(D6)-LEN(B6)+1</f>
        <v>2</v>
      </c>
      <c r="M6" s="51">
        <f t="shared" si="14"/>
        <v>3</v>
      </c>
      <c r="N6" s="51">
        <f t="shared" si="5"/>
        <v>-2</v>
      </c>
      <c r="O6" s="51" t="str">
        <f t="shared" si="6"/>
        <v>Target</v>
      </c>
      <c r="P6" s="51">
        <f t="shared" si="7"/>
        <v>-1</v>
      </c>
      <c r="Q6" s="51" t="str">
        <f t="shared" si="8"/>
        <v>Target</v>
      </c>
    </row>
    <row r="7">
      <c r="A7" s="48" t="s">
        <v>14</v>
      </c>
      <c r="B7" s="48" t="s">
        <v>66</v>
      </c>
      <c r="C7" s="48" t="s">
        <v>67</v>
      </c>
      <c r="D7" s="48" t="s">
        <v>68</v>
      </c>
      <c r="E7" s="48" t="s">
        <v>69</v>
      </c>
      <c r="F7" s="48" t="s">
        <v>70</v>
      </c>
      <c r="G7" s="48" t="s">
        <v>71</v>
      </c>
      <c r="H7" s="50">
        <v>1.0</v>
      </c>
      <c r="I7" s="50">
        <v>1.0</v>
      </c>
      <c r="J7" s="49">
        <f t="shared" ref="J7:K7" si="15">LEN(SUBSTITUTE(SUBSTITUTE(SUBSTITUTE(B7 ,"ˈ",""),"d̠ʒ","ʒ"),"t̠ʃ","ʃ"))</f>
        <v>5</v>
      </c>
      <c r="K7" s="44">
        <f t="shared" si="15"/>
        <v>4</v>
      </c>
      <c r="L7" s="51">
        <f t="shared" ref="L7:M7" si="16">LEN(D7)-LEN(B7)+1</f>
        <v>2</v>
      </c>
      <c r="M7" s="51">
        <f t="shared" si="16"/>
        <v>2</v>
      </c>
      <c r="N7" s="51">
        <f t="shared" si="5"/>
        <v>1</v>
      </c>
      <c r="O7" s="51" t="str">
        <f t="shared" si="6"/>
        <v>Source</v>
      </c>
      <c r="P7" s="51">
        <f t="shared" si="7"/>
        <v>0</v>
      </c>
      <c r="Q7" s="51" t="str">
        <f t="shared" si="8"/>
        <v>Equal</v>
      </c>
    </row>
    <row r="8">
      <c r="A8" s="48" t="s">
        <v>14</v>
      </c>
      <c r="B8" s="48" t="s">
        <v>76</v>
      </c>
      <c r="C8" s="48" t="s">
        <v>77</v>
      </c>
      <c r="D8" s="48" t="s">
        <v>76</v>
      </c>
      <c r="E8" s="48" t="s">
        <v>78</v>
      </c>
      <c r="F8" s="48" t="s">
        <v>76</v>
      </c>
      <c r="G8" s="48" t="s">
        <v>79</v>
      </c>
      <c r="H8" s="50">
        <v>1.0</v>
      </c>
      <c r="I8" s="50">
        <v>1.0</v>
      </c>
      <c r="J8" s="49">
        <f t="shared" ref="J8:K8" si="17">LEN(SUBSTITUTE(SUBSTITUTE(SUBSTITUTE(B8 ,"ˈ",""),"d̠ʒ","ʒ"),"t̠ʃ","ʃ"))</f>
        <v>4</v>
      </c>
      <c r="K8" s="44">
        <f t="shared" si="17"/>
        <v>6</v>
      </c>
      <c r="L8" s="51">
        <f t="shared" ref="L8:M8" si="18">LEN(D8)-LEN(B8)+1</f>
        <v>1</v>
      </c>
      <c r="M8" s="51">
        <f t="shared" si="18"/>
        <v>3</v>
      </c>
      <c r="N8" s="51">
        <f t="shared" si="5"/>
        <v>-2</v>
      </c>
      <c r="O8" s="51" t="str">
        <f t="shared" si="6"/>
        <v>Target</v>
      </c>
      <c r="P8" s="51">
        <f t="shared" si="7"/>
        <v>-2</v>
      </c>
      <c r="Q8" s="51" t="str">
        <f t="shared" si="8"/>
        <v>Target</v>
      </c>
    </row>
    <row r="9">
      <c r="A9" s="48" t="s">
        <v>14</v>
      </c>
      <c r="B9" s="49" t="s">
        <v>84</v>
      </c>
      <c r="C9" s="48" t="s">
        <v>85</v>
      </c>
      <c r="D9" s="48" t="s">
        <v>86</v>
      </c>
      <c r="E9" s="49" t="s">
        <v>87</v>
      </c>
      <c r="F9" s="48" t="s">
        <v>88</v>
      </c>
      <c r="G9" s="48" t="s">
        <v>89</v>
      </c>
      <c r="H9" s="50">
        <v>1.0</v>
      </c>
      <c r="I9" s="50">
        <v>1.0</v>
      </c>
      <c r="J9" s="49">
        <f t="shared" ref="J9:K9" si="19">LEN(SUBSTITUTE(SUBSTITUTE(SUBSTITUTE(B9 ,"ˈ",""),"d̠ʒ","ʒ"),"t̠ʃ","ʃ"))</f>
        <v>5</v>
      </c>
      <c r="K9" s="44">
        <f t="shared" si="19"/>
        <v>8</v>
      </c>
      <c r="L9" s="51">
        <f t="shared" ref="L9:M9" si="20">LEN(D9)-LEN(B9)+1</f>
        <v>2</v>
      </c>
      <c r="M9" s="51">
        <f t="shared" si="20"/>
        <v>2</v>
      </c>
      <c r="N9" s="51">
        <f t="shared" si="5"/>
        <v>-3</v>
      </c>
      <c r="O9" s="51" t="str">
        <f t="shared" si="6"/>
        <v>Target</v>
      </c>
      <c r="P9" s="51">
        <f t="shared" si="7"/>
        <v>0</v>
      </c>
      <c r="Q9" s="51" t="str">
        <f t="shared" si="8"/>
        <v>Equal</v>
      </c>
    </row>
    <row r="10">
      <c r="A10" s="48" t="s">
        <v>14</v>
      </c>
      <c r="B10" s="48" t="s">
        <v>94</v>
      </c>
      <c r="C10" s="48" t="s">
        <v>95</v>
      </c>
      <c r="D10" s="49" t="s">
        <v>96</v>
      </c>
      <c r="E10" s="49" t="s">
        <v>97</v>
      </c>
      <c r="F10" s="49" t="s">
        <v>102</v>
      </c>
      <c r="G10" s="49" t="s">
        <v>103</v>
      </c>
      <c r="H10" s="54">
        <v>3.0</v>
      </c>
      <c r="I10" s="54">
        <v>3.0</v>
      </c>
      <c r="J10" s="49">
        <f t="shared" ref="J10:K10" si="21">LEN(SUBSTITUTE(SUBSTITUTE(SUBSTITUTE(B10 ,"ˈ",""),"d̠ʒ","ʒ"),"t̠ʃ","ʃ"))</f>
        <v>6</v>
      </c>
      <c r="K10" s="44">
        <f t="shared" si="21"/>
        <v>7</v>
      </c>
      <c r="L10" s="51">
        <f t="shared" ref="L10:M10" si="22">LEN(D10)-LEN(B10)+1</f>
        <v>3</v>
      </c>
      <c r="M10" s="51">
        <f t="shared" si="22"/>
        <v>3</v>
      </c>
      <c r="N10" s="51">
        <f t="shared" si="5"/>
        <v>-1</v>
      </c>
      <c r="O10" s="51" t="str">
        <f t="shared" si="6"/>
        <v>Target</v>
      </c>
      <c r="P10" s="51">
        <f t="shared" si="7"/>
        <v>0</v>
      </c>
      <c r="Q10" s="51" t="str">
        <f t="shared" si="8"/>
        <v>Equal</v>
      </c>
    </row>
    <row r="11">
      <c r="A11" s="48" t="s">
        <v>14</v>
      </c>
      <c r="B11" s="48" t="s">
        <v>104</v>
      </c>
      <c r="C11" s="48" t="s">
        <v>105</v>
      </c>
      <c r="D11" s="55" t="s">
        <v>106</v>
      </c>
      <c r="E11" s="49" t="s">
        <v>107</v>
      </c>
      <c r="F11" s="49" t="s">
        <v>108</v>
      </c>
      <c r="G11" s="49" t="s">
        <v>109</v>
      </c>
      <c r="H11" s="54">
        <v>1.0</v>
      </c>
      <c r="I11" s="54">
        <v>1.0</v>
      </c>
      <c r="J11" s="49">
        <f t="shared" ref="J11:K11" si="23">LEN(SUBSTITUTE(SUBSTITUTE(SUBSTITUTE(B11 ,"ˈ",""),"d̠ʒ","ʒ"),"t̠ʃ","ʃ"))</f>
        <v>8</v>
      </c>
      <c r="K11" s="44">
        <f t="shared" si="23"/>
        <v>10</v>
      </c>
      <c r="L11" s="51">
        <f t="shared" ref="L11:M11" si="24">LEN(D11)-LEN(B11)+1</f>
        <v>4</v>
      </c>
      <c r="M11" s="51">
        <f t="shared" si="24"/>
        <v>4</v>
      </c>
      <c r="N11" s="51">
        <f t="shared" si="5"/>
        <v>-2</v>
      </c>
      <c r="O11" s="51" t="str">
        <f t="shared" si="6"/>
        <v>Target</v>
      </c>
      <c r="P11" s="51">
        <f t="shared" si="7"/>
        <v>0</v>
      </c>
      <c r="Q11" s="51" t="str">
        <f t="shared" si="8"/>
        <v>Equal</v>
      </c>
    </row>
    <row r="12">
      <c r="A12" s="48" t="s">
        <v>14</v>
      </c>
      <c r="B12" s="48" t="s">
        <v>117</v>
      </c>
      <c r="C12" s="48" t="s">
        <v>118</v>
      </c>
      <c r="D12" s="49" t="s">
        <v>119</v>
      </c>
      <c r="E12" s="49" t="s">
        <v>120</v>
      </c>
      <c r="F12" s="49" t="s">
        <v>108</v>
      </c>
      <c r="G12" s="49" t="s">
        <v>121</v>
      </c>
      <c r="H12" s="54">
        <v>1.0</v>
      </c>
      <c r="I12" s="54">
        <v>1.0</v>
      </c>
      <c r="J12" s="49">
        <f t="shared" ref="J12:K12" si="25">LEN(SUBSTITUTE(SUBSTITUTE(SUBSTITUTE(B12 ,"ˈ",""),"d̠ʒ","ʒ"),"t̠ʃ","ʃ"))</f>
        <v>4</v>
      </c>
      <c r="K12" s="44">
        <f t="shared" si="25"/>
        <v>4</v>
      </c>
      <c r="L12" s="51">
        <f t="shared" ref="L12:M12" si="26">LEN(D12)-LEN(B12)+1</f>
        <v>2</v>
      </c>
      <c r="M12" s="51">
        <f t="shared" si="26"/>
        <v>2</v>
      </c>
      <c r="N12" s="51">
        <f t="shared" si="5"/>
        <v>0</v>
      </c>
      <c r="O12" s="51" t="str">
        <f t="shared" si="6"/>
        <v>Equal</v>
      </c>
      <c r="P12" s="51">
        <f t="shared" si="7"/>
        <v>0</v>
      </c>
      <c r="Q12" s="51" t="str">
        <f t="shared" si="8"/>
        <v>Equal</v>
      </c>
    </row>
    <row r="13">
      <c r="A13" s="48" t="s">
        <v>14</v>
      </c>
      <c r="B13" s="48" t="s">
        <v>124</v>
      </c>
      <c r="C13" s="48" t="s">
        <v>125</v>
      </c>
      <c r="D13" s="49" t="s">
        <v>126</v>
      </c>
      <c r="E13" s="49" t="s">
        <v>127</v>
      </c>
      <c r="F13" s="49" t="s">
        <v>128</v>
      </c>
      <c r="G13" s="49" t="s">
        <v>132</v>
      </c>
      <c r="H13" s="54">
        <v>1.0</v>
      </c>
      <c r="I13" s="54">
        <v>1.0</v>
      </c>
      <c r="J13" s="49">
        <f t="shared" ref="J13:K13" si="27">LEN(SUBSTITUTE(SUBSTITUTE(SUBSTITUTE(B13 ,"ˈ",""),"d̠ʒ","ʒ"),"t̠ʃ","ʃ"))</f>
        <v>5</v>
      </c>
      <c r="K13" s="44">
        <f t="shared" si="27"/>
        <v>5</v>
      </c>
      <c r="L13" s="51">
        <f t="shared" ref="L13:M13" si="28">LEN(D13)-LEN(B13)+1</f>
        <v>3</v>
      </c>
      <c r="M13" s="51">
        <f t="shared" si="28"/>
        <v>2</v>
      </c>
      <c r="N13" s="51">
        <f t="shared" si="5"/>
        <v>0</v>
      </c>
      <c r="O13" s="51" t="str">
        <f t="shared" si="6"/>
        <v>Equal</v>
      </c>
      <c r="P13" s="51">
        <f t="shared" si="7"/>
        <v>1</v>
      </c>
      <c r="Q13" s="51" t="str">
        <f t="shared" si="8"/>
        <v>Source</v>
      </c>
    </row>
    <row r="14">
      <c r="A14" s="48" t="s">
        <v>14</v>
      </c>
      <c r="B14" s="48" t="s">
        <v>135</v>
      </c>
      <c r="C14" s="48" t="s">
        <v>136</v>
      </c>
      <c r="D14" s="52" t="s">
        <v>137</v>
      </c>
      <c r="E14" s="49" t="s">
        <v>138</v>
      </c>
      <c r="F14" s="49" t="s">
        <v>128</v>
      </c>
      <c r="G14" s="49" t="s">
        <v>142</v>
      </c>
      <c r="H14" s="54">
        <v>1.0</v>
      </c>
      <c r="I14" s="54">
        <v>1.0</v>
      </c>
      <c r="J14" s="49">
        <f t="shared" ref="J14:K14" si="29">LEN(SUBSTITUTE(SUBSTITUTE(SUBSTITUTE(B14 ,"ˈ",""),"d̠ʒ","ʒ"),"t̠ʃ","ʃ"))</f>
        <v>6</v>
      </c>
      <c r="K14" s="44">
        <f t="shared" si="29"/>
        <v>5</v>
      </c>
      <c r="L14" s="51">
        <f t="shared" ref="L14:M14" si="30">LEN(D14)-LEN(B14)+1</f>
        <v>3</v>
      </c>
      <c r="M14" s="51">
        <f t="shared" si="30"/>
        <v>3</v>
      </c>
      <c r="N14" s="51">
        <f t="shared" si="5"/>
        <v>1</v>
      </c>
      <c r="O14" s="51" t="str">
        <f t="shared" si="6"/>
        <v>Source</v>
      </c>
      <c r="P14" s="51">
        <f t="shared" si="7"/>
        <v>0</v>
      </c>
      <c r="Q14" s="51" t="str">
        <f t="shared" si="8"/>
        <v>Equal</v>
      </c>
    </row>
    <row r="15">
      <c r="A15" s="48" t="s">
        <v>14</v>
      </c>
      <c r="B15" s="48" t="s">
        <v>144</v>
      </c>
      <c r="C15" s="48" t="s">
        <v>145</v>
      </c>
      <c r="D15" s="49" t="s">
        <v>146</v>
      </c>
      <c r="E15" s="49" t="s">
        <v>147</v>
      </c>
      <c r="F15" s="55" t="s">
        <v>152</v>
      </c>
      <c r="G15" s="49" t="s">
        <v>56</v>
      </c>
      <c r="H15" s="54">
        <v>2.0</v>
      </c>
      <c r="I15" s="54">
        <v>2.0</v>
      </c>
      <c r="J15" s="49">
        <f t="shared" ref="J15:K15" si="31">LEN(SUBSTITUTE(SUBSTITUTE(SUBSTITUTE(B15 ,"ˈ",""),"d̠ʒ","ʒ"),"t̠ʃ","ʃ"))</f>
        <v>4</v>
      </c>
      <c r="K15" s="44">
        <f t="shared" si="31"/>
        <v>5</v>
      </c>
      <c r="L15" s="51">
        <f t="shared" ref="L15:M15" si="32">LEN(D15)-LEN(B15)+1</f>
        <v>2</v>
      </c>
      <c r="M15" s="51">
        <f t="shared" si="32"/>
        <v>2</v>
      </c>
      <c r="N15" s="51">
        <f t="shared" si="5"/>
        <v>-1</v>
      </c>
      <c r="O15" s="51" t="str">
        <f t="shared" si="6"/>
        <v>Target</v>
      </c>
      <c r="P15" s="51">
        <f t="shared" si="7"/>
        <v>0</v>
      </c>
      <c r="Q15" s="51" t="str">
        <f t="shared" si="8"/>
        <v>Equal</v>
      </c>
    </row>
    <row r="16">
      <c r="A16" s="48" t="s">
        <v>14</v>
      </c>
      <c r="B16" s="55" t="s">
        <v>161</v>
      </c>
      <c r="C16" s="48" t="s">
        <v>154</v>
      </c>
      <c r="D16" s="49" t="s">
        <v>155</v>
      </c>
      <c r="E16" s="49" t="s">
        <v>156</v>
      </c>
      <c r="F16" s="49" t="s">
        <v>162</v>
      </c>
      <c r="G16" s="49" t="s">
        <v>163</v>
      </c>
      <c r="H16" s="54">
        <v>2.0</v>
      </c>
      <c r="I16" s="54">
        <v>2.0</v>
      </c>
      <c r="J16" s="49">
        <f t="shared" ref="J16:K16" si="33">LEN(SUBSTITUTE(SUBSTITUTE(SUBSTITUTE(B16 ,"ˈ",""),"d̠ʒ","ʒ"),"t̠ʃ","ʃ"))</f>
        <v>5</v>
      </c>
      <c r="K16" s="44">
        <f t="shared" si="33"/>
        <v>7</v>
      </c>
      <c r="L16" s="51">
        <f t="shared" ref="L16:M16" si="34">LEN(D16)-LEN(B16)+1</f>
        <v>2</v>
      </c>
      <c r="M16" s="51">
        <f t="shared" si="34"/>
        <v>2</v>
      </c>
      <c r="N16" s="51">
        <f t="shared" si="5"/>
        <v>-2</v>
      </c>
      <c r="O16" s="51" t="str">
        <f t="shared" si="6"/>
        <v>Target</v>
      </c>
      <c r="P16" s="51">
        <f t="shared" si="7"/>
        <v>0</v>
      </c>
      <c r="Q16" s="51" t="str">
        <f t="shared" si="8"/>
        <v>Equal</v>
      </c>
    </row>
    <row r="17">
      <c r="A17" s="48" t="s">
        <v>14</v>
      </c>
      <c r="B17" s="48" t="s">
        <v>164</v>
      </c>
      <c r="C17" s="48" t="s">
        <v>165</v>
      </c>
      <c r="D17" s="52" t="s">
        <v>166</v>
      </c>
      <c r="E17" s="48" t="s">
        <v>167</v>
      </c>
      <c r="F17" s="52" t="s">
        <v>168</v>
      </c>
      <c r="G17" s="49" t="s">
        <v>158</v>
      </c>
      <c r="H17" s="54">
        <v>1.0</v>
      </c>
      <c r="I17" s="54">
        <v>1.0</v>
      </c>
      <c r="J17" s="49">
        <f t="shared" ref="J17:K17" si="35">LEN(SUBSTITUTE(SUBSTITUTE(SUBSTITUTE(B17 ,"ˈ",""),"d̠ʒ","ʒ"),"t̠ʃ","ʃ"))</f>
        <v>8</v>
      </c>
      <c r="K17" s="44">
        <f t="shared" si="35"/>
        <v>7</v>
      </c>
      <c r="L17" s="51">
        <f t="shared" ref="L17:M17" si="36">LEN(D17)-LEN(B17)+1</f>
        <v>3</v>
      </c>
      <c r="M17" s="51">
        <f t="shared" si="36"/>
        <v>4</v>
      </c>
      <c r="N17" s="51">
        <f t="shared" si="5"/>
        <v>1</v>
      </c>
      <c r="O17" s="51" t="str">
        <f t="shared" si="6"/>
        <v>Source</v>
      </c>
      <c r="P17" s="51">
        <f t="shared" si="7"/>
        <v>-1</v>
      </c>
      <c r="Q17" s="51" t="str">
        <f t="shared" si="8"/>
        <v>Target</v>
      </c>
    </row>
    <row r="18">
      <c r="A18" s="48" t="s">
        <v>14</v>
      </c>
      <c r="B18" s="48" t="s">
        <v>176</v>
      </c>
      <c r="C18" s="48" t="s">
        <v>177</v>
      </c>
      <c r="D18" s="49" t="s">
        <v>178</v>
      </c>
      <c r="E18" s="49" t="s">
        <v>178</v>
      </c>
      <c r="F18" s="49" t="s">
        <v>168</v>
      </c>
      <c r="G18" s="49" t="s">
        <v>168</v>
      </c>
      <c r="H18" s="54">
        <v>1.0</v>
      </c>
      <c r="I18" s="54">
        <v>1.0</v>
      </c>
      <c r="J18" s="49">
        <f t="shared" ref="J18:K18" si="37">LEN(SUBSTITUTE(SUBSTITUTE(SUBSTITUTE(B18 ,"ˈ",""),"d̠ʒ","ʒ"),"t̠ʃ","ʃ"))</f>
        <v>6</v>
      </c>
      <c r="K18" s="44">
        <f t="shared" si="37"/>
        <v>5</v>
      </c>
      <c r="L18" s="51">
        <f t="shared" ref="L18:M18" si="38">LEN(D18)-LEN(B18)+1</f>
        <v>2</v>
      </c>
      <c r="M18" s="51">
        <f t="shared" si="38"/>
        <v>3</v>
      </c>
      <c r="N18" s="51">
        <f t="shared" si="5"/>
        <v>1</v>
      </c>
      <c r="O18" s="51" t="str">
        <f t="shared" si="6"/>
        <v>Source</v>
      </c>
      <c r="P18" s="51">
        <f t="shared" si="7"/>
        <v>-1</v>
      </c>
      <c r="Q18" s="51" t="str">
        <f t="shared" si="8"/>
        <v>Target</v>
      </c>
    </row>
    <row r="19">
      <c r="A19" s="48" t="s">
        <v>14</v>
      </c>
      <c r="B19" s="48" t="s">
        <v>182</v>
      </c>
      <c r="C19" s="48" t="s">
        <v>183</v>
      </c>
      <c r="D19" s="55" t="s">
        <v>184</v>
      </c>
      <c r="E19" s="56" t="s">
        <v>185</v>
      </c>
      <c r="F19" s="55" t="s">
        <v>168</v>
      </c>
      <c r="G19" s="56" t="s">
        <v>168</v>
      </c>
      <c r="H19" s="54">
        <v>1.0</v>
      </c>
      <c r="I19" s="54">
        <v>1.0</v>
      </c>
      <c r="J19" s="49">
        <f t="shared" ref="J19:K19" si="39">LEN(SUBSTITUTE(SUBSTITUTE(SUBSTITUTE(B19 ,"ˈ",""),"d̠ʒ","ʒ"),"t̠ʃ","ʃ"))</f>
        <v>7</v>
      </c>
      <c r="K19" s="44">
        <f t="shared" si="39"/>
        <v>8</v>
      </c>
      <c r="L19" s="51">
        <f t="shared" ref="L19:M19" si="40">LEN(D19)-LEN(B19)+1</f>
        <v>3</v>
      </c>
      <c r="M19" s="51">
        <f t="shared" si="40"/>
        <v>2</v>
      </c>
      <c r="N19" s="51">
        <f t="shared" si="5"/>
        <v>-1</v>
      </c>
      <c r="O19" s="51" t="str">
        <f t="shared" si="6"/>
        <v>Target</v>
      </c>
      <c r="P19" s="51">
        <f t="shared" si="7"/>
        <v>1</v>
      </c>
      <c r="Q19" s="51" t="str">
        <f t="shared" si="8"/>
        <v>Source</v>
      </c>
    </row>
    <row r="20">
      <c r="A20" s="48" t="s">
        <v>14</v>
      </c>
      <c r="B20" s="48" t="s">
        <v>191</v>
      </c>
      <c r="C20" s="48" t="s">
        <v>192</v>
      </c>
      <c r="D20" s="49" t="s">
        <v>193</v>
      </c>
      <c r="E20" s="48" t="s">
        <v>192</v>
      </c>
      <c r="F20" s="49" t="s">
        <v>197</v>
      </c>
      <c r="G20" s="49" t="s">
        <v>36</v>
      </c>
      <c r="H20" s="54">
        <v>2.0</v>
      </c>
      <c r="I20" s="54" t="s">
        <v>36</v>
      </c>
      <c r="J20" s="49">
        <f t="shared" ref="J20:K20" si="41">LEN(SUBSTITUTE(SUBSTITUTE(SUBSTITUTE(B20 ,"ˈ",""),"d̠ʒ","ʒ"),"t̠ʃ","ʃ"))</f>
        <v>4</v>
      </c>
      <c r="K20" s="44">
        <f t="shared" si="41"/>
        <v>3</v>
      </c>
      <c r="L20" s="51">
        <f t="shared" ref="L20:M20" si="42">LEN(D20)-LEN(B20)+1</f>
        <v>2</v>
      </c>
      <c r="M20" s="51">
        <f t="shared" si="42"/>
        <v>1</v>
      </c>
      <c r="N20" s="51">
        <f t="shared" si="5"/>
        <v>1</v>
      </c>
      <c r="O20" s="51" t="str">
        <f t="shared" si="6"/>
        <v>Source</v>
      </c>
      <c r="P20" s="51">
        <f t="shared" si="7"/>
        <v>1</v>
      </c>
      <c r="Q20" s="51" t="str">
        <f t="shared" si="8"/>
        <v>Source</v>
      </c>
    </row>
    <row r="21">
      <c r="A21" s="48" t="s">
        <v>14</v>
      </c>
      <c r="B21" s="48" t="s">
        <v>198</v>
      </c>
      <c r="C21" s="48" t="s">
        <v>199</v>
      </c>
      <c r="D21" s="49" t="s">
        <v>200</v>
      </c>
      <c r="E21" s="49" t="s">
        <v>201</v>
      </c>
      <c r="F21" s="49" t="s">
        <v>205</v>
      </c>
      <c r="G21" s="49" t="s">
        <v>24</v>
      </c>
      <c r="H21" s="54">
        <v>2.0</v>
      </c>
      <c r="I21" s="54">
        <v>2.0</v>
      </c>
      <c r="J21" s="49">
        <f t="shared" ref="J21:K21" si="43">LEN(SUBSTITUTE(SUBSTITUTE(SUBSTITUTE(B21 ,"ˈ",""),"d̠ʒ","ʒ"),"t̠ʃ","ʃ"))</f>
        <v>4</v>
      </c>
      <c r="K21" s="44">
        <f t="shared" si="43"/>
        <v>4</v>
      </c>
      <c r="L21" s="51">
        <f t="shared" ref="L21:M21" si="44">LEN(D21)-LEN(B21)+1</f>
        <v>2</v>
      </c>
      <c r="M21" s="51">
        <f t="shared" si="44"/>
        <v>2</v>
      </c>
      <c r="N21" s="51">
        <f t="shared" si="5"/>
        <v>0</v>
      </c>
      <c r="O21" s="51" t="str">
        <f t="shared" si="6"/>
        <v>Equal</v>
      </c>
      <c r="P21" s="51">
        <f t="shared" si="7"/>
        <v>0</v>
      </c>
      <c r="Q21" s="51" t="str">
        <f t="shared" si="8"/>
        <v>Equal</v>
      </c>
    </row>
    <row r="22">
      <c r="A22" s="48" t="s">
        <v>14</v>
      </c>
      <c r="B22" s="48" t="s">
        <v>206</v>
      </c>
      <c r="C22" s="48" t="s">
        <v>207</v>
      </c>
      <c r="D22" s="49" t="s">
        <v>208</v>
      </c>
      <c r="E22" s="48" t="s">
        <v>209</v>
      </c>
      <c r="F22" s="49" t="s">
        <v>213</v>
      </c>
      <c r="G22" s="49" t="s">
        <v>214</v>
      </c>
      <c r="H22" s="54">
        <v>3.0</v>
      </c>
      <c r="I22" s="54">
        <v>4.0</v>
      </c>
      <c r="J22" s="49">
        <f t="shared" ref="J22:K22" si="45">LEN(SUBSTITUTE(SUBSTITUTE(SUBSTITUTE(B22 ,"ˈ",""),"d̠ʒ","ʒ"),"t̠ʃ","ʃ"))</f>
        <v>6</v>
      </c>
      <c r="K22" s="44">
        <f t="shared" si="45"/>
        <v>7</v>
      </c>
      <c r="L22" s="51">
        <f t="shared" ref="L22:M22" si="46">LEN(D22)-LEN(B22)+1</f>
        <v>3</v>
      </c>
      <c r="M22" s="51">
        <f t="shared" si="46"/>
        <v>4</v>
      </c>
      <c r="N22" s="51">
        <f t="shared" si="5"/>
        <v>-1</v>
      </c>
      <c r="O22" s="51" t="str">
        <f t="shared" si="6"/>
        <v>Target</v>
      </c>
      <c r="P22" s="51">
        <f t="shared" si="7"/>
        <v>-1</v>
      </c>
      <c r="Q22" s="51" t="str">
        <f t="shared" si="8"/>
        <v>Target</v>
      </c>
    </row>
    <row r="23">
      <c r="A23" s="49" t="s">
        <v>14</v>
      </c>
      <c r="B23" s="48" t="s">
        <v>215</v>
      </c>
      <c r="C23" s="48" t="s">
        <v>216</v>
      </c>
      <c r="D23" s="49" t="s">
        <v>217</v>
      </c>
      <c r="E23" s="48" t="s">
        <v>218</v>
      </c>
      <c r="F23" s="49" t="s">
        <v>173</v>
      </c>
      <c r="G23" s="49" t="s">
        <v>219</v>
      </c>
      <c r="H23" s="54">
        <v>1.0</v>
      </c>
      <c r="I23" s="54">
        <v>1.0</v>
      </c>
      <c r="J23" s="49">
        <f t="shared" ref="J23:K23" si="47">LEN(SUBSTITUTE(SUBSTITUTE(SUBSTITUTE(B23 ,"ˈ",""),"d̠ʒ","ʒ"),"t̠ʃ","ʃ"))</f>
        <v>3</v>
      </c>
      <c r="K23" s="44">
        <f t="shared" si="47"/>
        <v>3</v>
      </c>
      <c r="L23" s="51">
        <f t="shared" ref="L23:M23" si="48">LEN(D23)-LEN(B23)+1</f>
        <v>2</v>
      </c>
      <c r="M23" s="51">
        <f t="shared" si="48"/>
        <v>2</v>
      </c>
      <c r="N23" s="51">
        <f t="shared" si="5"/>
        <v>0</v>
      </c>
      <c r="O23" s="51" t="str">
        <f t="shared" si="6"/>
        <v>Equal</v>
      </c>
      <c r="P23" s="51">
        <f t="shared" si="7"/>
        <v>0</v>
      </c>
      <c r="Q23" s="51" t="str">
        <f t="shared" si="8"/>
        <v>Equal</v>
      </c>
    </row>
    <row r="24">
      <c r="A24" s="48" t="s">
        <v>14</v>
      </c>
      <c r="B24" s="48" t="s">
        <v>223</v>
      </c>
      <c r="C24" s="48" t="s">
        <v>224</v>
      </c>
      <c r="D24" s="49" t="s">
        <v>225</v>
      </c>
      <c r="E24" s="48" t="s">
        <v>224</v>
      </c>
      <c r="F24" s="49" t="s">
        <v>228</v>
      </c>
      <c r="G24" s="49" t="s">
        <v>36</v>
      </c>
      <c r="H24" s="54">
        <v>2.0</v>
      </c>
      <c r="I24" s="54" t="s">
        <v>36</v>
      </c>
      <c r="J24" s="49">
        <f t="shared" ref="J24:K24" si="49">LEN(SUBSTITUTE(SUBSTITUTE(SUBSTITUTE(B24 ,"ˈ",""),"d̠ʒ","ʒ"),"t̠ʃ","ʃ"))</f>
        <v>4</v>
      </c>
      <c r="K24" s="44">
        <f t="shared" si="49"/>
        <v>5</v>
      </c>
      <c r="L24" s="51">
        <f t="shared" ref="L24:M24" si="50">LEN(D24)-LEN(B24)+1</f>
        <v>2</v>
      </c>
      <c r="M24" s="51">
        <f t="shared" si="50"/>
        <v>1</v>
      </c>
      <c r="N24" s="51">
        <f t="shared" si="5"/>
        <v>-1</v>
      </c>
      <c r="O24" s="51" t="str">
        <f t="shared" si="6"/>
        <v>Target</v>
      </c>
      <c r="P24" s="51">
        <f t="shared" si="7"/>
        <v>1</v>
      </c>
      <c r="Q24" s="51" t="str">
        <f t="shared" si="8"/>
        <v>Source</v>
      </c>
    </row>
    <row r="25">
      <c r="A25" s="48" t="s">
        <v>14</v>
      </c>
      <c r="B25" s="48" t="s">
        <v>229</v>
      </c>
      <c r="C25" s="48" t="s">
        <v>230</v>
      </c>
      <c r="D25" s="49" t="s">
        <v>231</v>
      </c>
      <c r="E25" s="48" t="s">
        <v>232</v>
      </c>
      <c r="F25" s="49" t="s">
        <v>233</v>
      </c>
      <c r="G25" s="49" t="s">
        <v>233</v>
      </c>
      <c r="H25" s="54">
        <v>1.0</v>
      </c>
      <c r="I25" s="54">
        <v>1.0</v>
      </c>
      <c r="J25" s="49">
        <f t="shared" ref="J25:K25" si="51">LEN(SUBSTITUTE(SUBSTITUTE(SUBSTITUTE(B25 ,"ˈ",""),"d̠ʒ","ʒ"),"t̠ʃ","ʃ"))</f>
        <v>7</v>
      </c>
      <c r="K25" s="44">
        <f t="shared" si="51"/>
        <v>7</v>
      </c>
      <c r="L25" s="51">
        <f t="shared" ref="L25:M25" si="52">LEN(D25)-LEN(B25)+1</f>
        <v>3</v>
      </c>
      <c r="M25" s="51">
        <f t="shared" si="52"/>
        <v>3</v>
      </c>
      <c r="N25" s="51">
        <f t="shared" si="5"/>
        <v>0</v>
      </c>
      <c r="O25" s="51" t="str">
        <f t="shared" si="6"/>
        <v>Equal</v>
      </c>
      <c r="P25" s="51">
        <f t="shared" si="7"/>
        <v>0</v>
      </c>
      <c r="Q25" s="51" t="str">
        <f t="shared" si="8"/>
        <v>Equal</v>
      </c>
    </row>
    <row r="26">
      <c r="A26" s="48" t="s">
        <v>14</v>
      </c>
      <c r="B26" s="48" t="s">
        <v>239</v>
      </c>
      <c r="C26" s="48" t="s">
        <v>240</v>
      </c>
      <c r="D26" s="49" t="s">
        <v>241</v>
      </c>
      <c r="E26" s="57" t="s">
        <v>242</v>
      </c>
      <c r="F26" s="49" t="s">
        <v>245</v>
      </c>
      <c r="G26" s="49" t="s">
        <v>36</v>
      </c>
      <c r="H26" s="54">
        <v>3.0</v>
      </c>
      <c r="I26" s="54" t="s">
        <v>36</v>
      </c>
      <c r="J26" s="49">
        <f t="shared" ref="J26:K26" si="53">LEN(SUBSTITUTE(SUBSTITUTE(SUBSTITUTE(B26 ,"ˈ",""),"d̠ʒ","ʒ"),"t̠ʃ","ʃ"))</f>
        <v>5</v>
      </c>
      <c r="K26" s="44">
        <f t="shared" si="53"/>
        <v>3</v>
      </c>
      <c r="L26" s="51">
        <f t="shared" ref="L26:M26" si="54">LEN(D26)-LEN(B26)+1</f>
        <v>3</v>
      </c>
      <c r="M26" s="51">
        <f t="shared" si="54"/>
        <v>0</v>
      </c>
      <c r="N26" s="51">
        <f t="shared" si="5"/>
        <v>2</v>
      </c>
      <c r="O26" s="51" t="str">
        <f t="shared" si="6"/>
        <v>Source</v>
      </c>
      <c r="P26" s="51">
        <f t="shared" si="7"/>
        <v>3</v>
      </c>
      <c r="Q26" s="51" t="str">
        <f t="shared" si="8"/>
        <v>Source</v>
      </c>
    </row>
    <row r="27">
      <c r="A27" s="48" t="s">
        <v>14</v>
      </c>
      <c r="B27" s="48" t="s">
        <v>246</v>
      </c>
      <c r="C27" s="48" t="s">
        <v>247</v>
      </c>
      <c r="D27" s="49" t="s">
        <v>248</v>
      </c>
      <c r="E27" s="48" t="s">
        <v>249</v>
      </c>
      <c r="F27" s="49" t="s">
        <v>254</v>
      </c>
      <c r="G27" s="49" t="s">
        <v>254</v>
      </c>
      <c r="H27" s="54">
        <v>2.0</v>
      </c>
      <c r="I27" s="54">
        <v>2.0</v>
      </c>
      <c r="J27" s="49">
        <f t="shared" ref="J27:K27" si="55">LEN(SUBSTITUTE(SUBSTITUTE(SUBSTITUTE(B27 ,"ˈ",""),"d̠ʒ","ʒ"),"t̠ʃ","ʃ"))</f>
        <v>4</v>
      </c>
      <c r="K27" s="44">
        <f t="shared" si="55"/>
        <v>4</v>
      </c>
      <c r="L27" s="51">
        <f t="shared" ref="L27:M27" si="56">LEN(D27)-LEN(B27)+1</f>
        <v>2</v>
      </c>
      <c r="M27" s="51">
        <f t="shared" si="56"/>
        <v>2</v>
      </c>
      <c r="N27" s="51">
        <f t="shared" si="5"/>
        <v>0</v>
      </c>
      <c r="O27" s="51" t="str">
        <f t="shared" si="6"/>
        <v>Equal</v>
      </c>
      <c r="P27" s="51">
        <f t="shared" si="7"/>
        <v>0</v>
      </c>
      <c r="Q27" s="51" t="str">
        <f t="shared" si="8"/>
        <v>Equal</v>
      </c>
    </row>
    <row r="28">
      <c r="A28" s="48" t="s">
        <v>14</v>
      </c>
      <c r="B28" s="48" t="s">
        <v>255</v>
      </c>
      <c r="C28" s="48" t="s">
        <v>256</v>
      </c>
      <c r="D28" s="49" t="s">
        <v>257</v>
      </c>
      <c r="E28" s="48" t="s">
        <v>258</v>
      </c>
      <c r="F28" s="49" t="s">
        <v>262</v>
      </c>
      <c r="G28" s="49" t="s">
        <v>263</v>
      </c>
      <c r="H28" s="54">
        <v>2.0</v>
      </c>
      <c r="I28" s="54">
        <v>3.0</v>
      </c>
      <c r="J28" s="49">
        <f t="shared" ref="J28:K28" si="57">LEN(SUBSTITUTE(SUBSTITUTE(SUBSTITUTE(B28 ,"ˈ",""),"d̠ʒ","ʒ"),"t̠ʃ","ʃ"))</f>
        <v>4</v>
      </c>
      <c r="K28" s="44">
        <f t="shared" si="57"/>
        <v>6</v>
      </c>
      <c r="L28" s="51">
        <f t="shared" ref="L28:M28" si="58">LEN(D28)-LEN(B28)+1</f>
        <v>2</v>
      </c>
      <c r="M28" s="51">
        <f t="shared" si="58"/>
        <v>3</v>
      </c>
      <c r="N28" s="51">
        <f t="shared" si="5"/>
        <v>-2</v>
      </c>
      <c r="O28" s="51" t="str">
        <f t="shared" si="6"/>
        <v>Target</v>
      </c>
      <c r="P28" s="51">
        <f t="shared" si="7"/>
        <v>-1</v>
      </c>
      <c r="Q28" s="51" t="str">
        <f t="shared" si="8"/>
        <v>Target</v>
      </c>
    </row>
    <row r="29">
      <c r="A29" s="48" t="s">
        <v>14</v>
      </c>
      <c r="B29" s="48" t="s">
        <v>264</v>
      </c>
      <c r="C29" s="48" t="s">
        <v>265</v>
      </c>
      <c r="D29" s="49" t="s">
        <v>266</v>
      </c>
      <c r="E29" s="48" t="s">
        <v>267</v>
      </c>
      <c r="F29" s="49" t="s">
        <v>268</v>
      </c>
      <c r="G29" s="49" t="s">
        <v>269</v>
      </c>
      <c r="H29" s="54">
        <v>1.0</v>
      </c>
      <c r="I29" s="54">
        <v>1.0</v>
      </c>
      <c r="J29" s="49">
        <f t="shared" ref="J29:K29" si="59">LEN(SUBSTITUTE(SUBSTITUTE(SUBSTITUTE(B29 ,"ˈ",""),"d̠ʒ","ʒ"),"t̠ʃ","ʃ"))</f>
        <v>4</v>
      </c>
      <c r="K29" s="44">
        <f t="shared" si="59"/>
        <v>5</v>
      </c>
      <c r="L29" s="51">
        <f t="shared" ref="L29:M29" si="60">LEN(D29)-LEN(B29)+1</f>
        <v>2</v>
      </c>
      <c r="M29" s="51">
        <f t="shared" si="60"/>
        <v>2</v>
      </c>
      <c r="N29" s="51">
        <f t="shared" si="5"/>
        <v>-1</v>
      </c>
      <c r="O29" s="51" t="str">
        <f t="shared" si="6"/>
        <v>Target</v>
      </c>
      <c r="P29" s="51">
        <f t="shared" si="7"/>
        <v>0</v>
      </c>
      <c r="Q29" s="51" t="str">
        <f t="shared" si="8"/>
        <v>Equal</v>
      </c>
    </row>
    <row r="30">
      <c r="A30" s="48" t="s">
        <v>14</v>
      </c>
      <c r="B30" s="48" t="s">
        <v>272</v>
      </c>
      <c r="C30" s="48" t="s">
        <v>273</v>
      </c>
      <c r="D30" s="49" t="s">
        <v>274</v>
      </c>
      <c r="E30" s="48" t="s">
        <v>275</v>
      </c>
      <c r="F30" s="49" t="s">
        <v>276</v>
      </c>
      <c r="G30" s="49" t="s">
        <v>276</v>
      </c>
      <c r="H30" s="54">
        <v>1.0</v>
      </c>
      <c r="I30" s="54">
        <v>1.0</v>
      </c>
      <c r="J30" s="49">
        <f t="shared" ref="J30:K30" si="61">LEN(SUBSTITUTE(SUBSTITUTE(SUBSTITUTE(B30 ,"ˈ",""),"d̠ʒ","ʒ"),"t̠ʃ","ʃ"))</f>
        <v>6</v>
      </c>
      <c r="K30" s="44">
        <f t="shared" si="61"/>
        <v>7</v>
      </c>
      <c r="L30" s="51">
        <f t="shared" ref="L30:M30" si="62">LEN(D30)-LEN(B30)+1</f>
        <v>3</v>
      </c>
      <c r="M30" s="51">
        <f t="shared" si="62"/>
        <v>3</v>
      </c>
      <c r="N30" s="51">
        <f t="shared" si="5"/>
        <v>-1</v>
      </c>
      <c r="O30" s="51" t="str">
        <f t="shared" si="6"/>
        <v>Target</v>
      </c>
      <c r="P30" s="51">
        <f t="shared" si="7"/>
        <v>0</v>
      </c>
      <c r="Q30" s="51" t="str">
        <f t="shared" si="8"/>
        <v>Equal</v>
      </c>
    </row>
    <row r="31">
      <c r="A31" s="48" t="s">
        <v>14</v>
      </c>
      <c r="B31" s="48" t="s">
        <v>283</v>
      </c>
      <c r="C31" s="48" t="s">
        <v>284</v>
      </c>
      <c r="D31" s="49" t="s">
        <v>285</v>
      </c>
      <c r="E31" s="48" t="s">
        <v>286</v>
      </c>
      <c r="F31" s="49" t="s">
        <v>55</v>
      </c>
      <c r="G31" s="49" t="s">
        <v>56</v>
      </c>
      <c r="H31" s="54">
        <v>3.0</v>
      </c>
      <c r="I31" s="54">
        <v>3.0</v>
      </c>
      <c r="J31" s="49">
        <f t="shared" ref="J31:K31" si="63">LEN(SUBSTITUTE(SUBSTITUTE(SUBSTITUTE(B31 ,"ˈ",""),"d̠ʒ","ʒ"),"t̠ʃ","ʃ"))</f>
        <v>5</v>
      </c>
      <c r="K31" s="44">
        <f t="shared" si="63"/>
        <v>6</v>
      </c>
      <c r="L31" s="51">
        <f t="shared" ref="L31:M31" si="64">LEN(D31)-LEN(B31)+1</f>
        <v>3</v>
      </c>
      <c r="M31" s="51">
        <f t="shared" si="64"/>
        <v>3</v>
      </c>
      <c r="N31" s="51">
        <f t="shared" si="5"/>
        <v>-1</v>
      </c>
      <c r="O31" s="51" t="str">
        <f t="shared" si="6"/>
        <v>Target</v>
      </c>
      <c r="P31" s="51">
        <f t="shared" si="7"/>
        <v>0</v>
      </c>
      <c r="Q31" s="51" t="str">
        <f t="shared" si="8"/>
        <v>Equal</v>
      </c>
    </row>
    <row r="32">
      <c r="A32" s="48" t="s">
        <v>14</v>
      </c>
      <c r="B32" s="48" t="s">
        <v>292</v>
      </c>
      <c r="C32" s="48" t="s">
        <v>292</v>
      </c>
      <c r="D32" s="49" t="s">
        <v>293</v>
      </c>
      <c r="E32" s="48" t="s">
        <v>293</v>
      </c>
      <c r="F32" s="49" t="s">
        <v>296</v>
      </c>
      <c r="G32" s="49" t="s">
        <v>296</v>
      </c>
      <c r="H32" s="54">
        <v>2.0</v>
      </c>
      <c r="I32" s="54">
        <v>2.0</v>
      </c>
      <c r="J32" s="49">
        <f t="shared" ref="J32:K32" si="65">LEN(SUBSTITUTE(SUBSTITUTE(SUBSTITUTE(B32 ,"ˈ",""),"d̠ʒ","ʒ"),"t̠ʃ","ʃ"))</f>
        <v>3</v>
      </c>
      <c r="K32" s="44">
        <f t="shared" si="65"/>
        <v>3</v>
      </c>
      <c r="L32" s="51">
        <f t="shared" ref="L32:M32" si="66">LEN(D32)-LEN(B32)+1</f>
        <v>2</v>
      </c>
      <c r="M32" s="51">
        <f t="shared" si="66"/>
        <v>2</v>
      </c>
      <c r="N32" s="51">
        <f t="shared" si="5"/>
        <v>0</v>
      </c>
      <c r="O32" s="51" t="str">
        <f t="shared" si="6"/>
        <v>Equal</v>
      </c>
      <c r="P32" s="51">
        <f t="shared" si="7"/>
        <v>0</v>
      </c>
      <c r="Q32" s="51" t="str">
        <f t="shared" si="8"/>
        <v>Equal</v>
      </c>
    </row>
    <row r="33">
      <c r="A33" s="48" t="s">
        <v>14</v>
      </c>
      <c r="B33" s="48" t="s">
        <v>297</v>
      </c>
      <c r="C33" s="48" t="s">
        <v>3648</v>
      </c>
      <c r="D33" s="49" t="s">
        <v>299</v>
      </c>
      <c r="E33" s="48" t="s">
        <v>3649</v>
      </c>
      <c r="F33" s="49" t="s">
        <v>158</v>
      </c>
      <c r="G33" s="49" t="s">
        <v>870</v>
      </c>
      <c r="H33" s="54">
        <v>2.0</v>
      </c>
      <c r="I33" s="54">
        <v>6.0</v>
      </c>
      <c r="J33" s="49">
        <f t="shared" ref="J33:K33" si="67">LEN(SUBSTITUTE(SUBSTITUTE(SUBSTITUTE(B33 ,"ˈ",""),"d̠ʒ","ʒ"),"t̠ʃ","ʃ"))</f>
        <v>4</v>
      </c>
      <c r="K33" s="44">
        <f t="shared" si="67"/>
        <v>14</v>
      </c>
      <c r="L33" s="51">
        <f t="shared" ref="L33:M33" si="68">LEN(D33)-LEN(B33)+1</f>
        <v>2</v>
      </c>
      <c r="M33" s="51">
        <f t="shared" si="68"/>
        <v>4</v>
      </c>
      <c r="N33" s="51">
        <f t="shared" si="5"/>
        <v>-10</v>
      </c>
      <c r="O33" s="51" t="str">
        <f t="shared" si="6"/>
        <v>Target</v>
      </c>
      <c r="P33" s="51">
        <f t="shared" si="7"/>
        <v>-2</v>
      </c>
      <c r="Q33" s="51" t="str">
        <f t="shared" si="8"/>
        <v>Target</v>
      </c>
    </row>
    <row r="34">
      <c r="A34" s="48" t="s">
        <v>14</v>
      </c>
      <c r="B34" s="48" t="s">
        <v>304</v>
      </c>
      <c r="C34" s="48" t="s">
        <v>305</v>
      </c>
      <c r="D34" s="49" t="s">
        <v>306</v>
      </c>
      <c r="E34" s="48" t="s">
        <v>307</v>
      </c>
      <c r="F34" s="49" t="s">
        <v>308</v>
      </c>
      <c r="G34" s="49" t="s">
        <v>309</v>
      </c>
      <c r="H34" s="54">
        <v>1.0</v>
      </c>
      <c r="I34" s="54">
        <v>1.0</v>
      </c>
      <c r="J34" s="49">
        <f t="shared" ref="J34:K34" si="69">LEN(SUBSTITUTE(SUBSTITUTE(SUBSTITUTE(B34 ,"ˈ",""),"d̠ʒ","ʒ"),"t̠ʃ","ʃ"))</f>
        <v>4</v>
      </c>
      <c r="K34" s="44">
        <f t="shared" si="69"/>
        <v>5</v>
      </c>
      <c r="L34" s="51">
        <f t="shared" ref="L34:M34" si="70">LEN(D34)-LEN(B34)+1</f>
        <v>2</v>
      </c>
      <c r="M34" s="51">
        <f t="shared" si="70"/>
        <v>2</v>
      </c>
      <c r="N34" s="51">
        <f t="shared" si="5"/>
        <v>-1</v>
      </c>
      <c r="O34" s="51" t="str">
        <f t="shared" si="6"/>
        <v>Target</v>
      </c>
      <c r="P34" s="51">
        <f t="shared" si="7"/>
        <v>0</v>
      </c>
      <c r="Q34" s="51" t="str">
        <f t="shared" si="8"/>
        <v>Equal</v>
      </c>
    </row>
    <row r="35">
      <c r="A35" s="48" t="s">
        <v>14</v>
      </c>
      <c r="B35" s="48" t="s">
        <v>313</v>
      </c>
      <c r="C35" s="48" t="s">
        <v>314</v>
      </c>
      <c r="D35" s="49" t="s">
        <v>315</v>
      </c>
      <c r="E35" s="48" t="s">
        <v>316</v>
      </c>
      <c r="F35" s="49" t="s">
        <v>65</v>
      </c>
      <c r="G35" s="49" t="s">
        <v>245</v>
      </c>
      <c r="H35" s="54">
        <v>2.0</v>
      </c>
      <c r="I35" s="54">
        <v>2.0</v>
      </c>
      <c r="J35" s="49">
        <f t="shared" ref="J35:K35" si="71">LEN(SUBSTITUTE(SUBSTITUTE(SUBSTITUTE(B35 ,"ˈ",""),"d̠ʒ","ʒ"),"t̠ʃ","ʃ"))</f>
        <v>4</v>
      </c>
      <c r="K35" s="44">
        <f t="shared" si="71"/>
        <v>4</v>
      </c>
      <c r="L35" s="51">
        <f t="shared" ref="L35:M35" si="72">LEN(D35)-LEN(B35)+1</f>
        <v>2</v>
      </c>
      <c r="M35" s="51">
        <f t="shared" si="72"/>
        <v>2</v>
      </c>
      <c r="N35" s="51">
        <f t="shared" si="5"/>
        <v>0</v>
      </c>
      <c r="O35" s="51" t="str">
        <f t="shared" si="6"/>
        <v>Equal</v>
      </c>
      <c r="P35" s="51">
        <f t="shared" si="7"/>
        <v>0</v>
      </c>
      <c r="Q35" s="51" t="str">
        <f t="shared" si="8"/>
        <v>Equal</v>
      </c>
    </row>
    <row r="36">
      <c r="A36" s="48" t="s">
        <v>14</v>
      </c>
      <c r="B36" s="48" t="s">
        <v>320</v>
      </c>
      <c r="C36" s="49" t="s">
        <v>321</v>
      </c>
      <c r="D36" s="49" t="s">
        <v>322</v>
      </c>
      <c r="E36" s="49" t="s">
        <v>323</v>
      </c>
      <c r="F36" s="49" t="s">
        <v>143</v>
      </c>
      <c r="G36" s="49" t="s">
        <v>143</v>
      </c>
      <c r="H36" s="54">
        <v>3.0</v>
      </c>
      <c r="I36" s="54">
        <v>2.0</v>
      </c>
      <c r="J36" s="49">
        <f t="shared" ref="J36:K36" si="73">LEN(SUBSTITUTE(SUBSTITUTE(SUBSTITUTE(B36 ,"ˈ",""),"d̠ʒ","ʒ"),"t̠ʃ","ʃ"))</f>
        <v>5</v>
      </c>
      <c r="K36" s="44">
        <f t="shared" si="73"/>
        <v>4</v>
      </c>
      <c r="L36" s="51">
        <f t="shared" ref="L36:M36" si="74">LEN(D36)-LEN(B36)+1</f>
        <v>3</v>
      </c>
      <c r="M36" s="51">
        <f t="shared" si="74"/>
        <v>2</v>
      </c>
      <c r="N36" s="51">
        <f t="shared" si="5"/>
        <v>1</v>
      </c>
      <c r="O36" s="51" t="str">
        <f t="shared" si="6"/>
        <v>Source</v>
      </c>
      <c r="P36" s="51">
        <f t="shared" si="7"/>
        <v>1</v>
      </c>
      <c r="Q36" s="51" t="str">
        <f t="shared" si="8"/>
        <v>Source</v>
      </c>
    </row>
    <row r="37">
      <c r="A37" s="48" t="s">
        <v>14</v>
      </c>
      <c r="B37" s="48" t="s">
        <v>328</v>
      </c>
      <c r="C37" s="48" t="s">
        <v>329</v>
      </c>
      <c r="D37" s="52" t="s">
        <v>330</v>
      </c>
      <c r="E37" s="48" t="s">
        <v>331</v>
      </c>
      <c r="F37" s="52" t="s">
        <v>335</v>
      </c>
      <c r="G37" s="49" t="s">
        <v>24</v>
      </c>
      <c r="H37" s="54">
        <v>4.0</v>
      </c>
      <c r="I37" s="54">
        <v>5.0</v>
      </c>
      <c r="J37" s="49">
        <f t="shared" ref="J37:K37" si="75">LEN(SUBSTITUTE(SUBSTITUTE(SUBSTITUTE(B37 ,"ˈ",""),"d̠ʒ","ʒ"),"t̠ʃ","ʃ"))</f>
        <v>6</v>
      </c>
      <c r="K37" s="44">
        <f t="shared" si="75"/>
        <v>11</v>
      </c>
      <c r="L37" s="51">
        <f t="shared" ref="L37:M37" si="76">LEN(D37)-LEN(B37)+1</f>
        <v>4</v>
      </c>
      <c r="M37" s="51">
        <f t="shared" si="76"/>
        <v>3</v>
      </c>
      <c r="N37" s="51">
        <f t="shared" si="5"/>
        <v>-5</v>
      </c>
      <c r="O37" s="51" t="str">
        <f t="shared" si="6"/>
        <v>Target</v>
      </c>
      <c r="P37" s="51">
        <f t="shared" si="7"/>
        <v>1</v>
      </c>
      <c r="Q37" s="51" t="str">
        <f t="shared" si="8"/>
        <v>Source</v>
      </c>
    </row>
    <row r="38">
      <c r="A38" s="48" t="s">
        <v>14</v>
      </c>
      <c r="B38" s="48" t="s">
        <v>336</v>
      </c>
      <c r="C38" s="48" t="s">
        <v>337</v>
      </c>
      <c r="D38" s="49" t="s">
        <v>343</v>
      </c>
      <c r="E38" s="49" t="s">
        <v>339</v>
      </c>
      <c r="F38" s="49" t="s">
        <v>190</v>
      </c>
      <c r="G38" s="49" t="s">
        <v>190</v>
      </c>
      <c r="H38" s="54">
        <v>3.0</v>
      </c>
      <c r="I38" s="54">
        <v>3.0</v>
      </c>
      <c r="J38" s="49">
        <f t="shared" ref="J38:K38" si="77">LEN(SUBSTITUTE(SUBSTITUTE(SUBSTITUTE(B38 ,"ˈ",""),"d̠ʒ","ʒ"),"t̠ʃ","ʃ"))</f>
        <v>5</v>
      </c>
      <c r="K38" s="44">
        <f t="shared" si="77"/>
        <v>6</v>
      </c>
      <c r="L38" s="51">
        <f t="shared" ref="L38:M38" si="78">LEN(D38)-LEN(B38)+1</f>
        <v>3</v>
      </c>
      <c r="M38" s="51">
        <f t="shared" si="78"/>
        <v>3</v>
      </c>
      <c r="N38" s="51">
        <f t="shared" si="5"/>
        <v>-1</v>
      </c>
      <c r="O38" s="51" t="str">
        <f t="shared" si="6"/>
        <v>Target</v>
      </c>
      <c r="P38" s="51">
        <f t="shared" si="7"/>
        <v>0</v>
      </c>
      <c r="Q38" s="51" t="str">
        <f t="shared" si="8"/>
        <v>Equal</v>
      </c>
    </row>
    <row r="39">
      <c r="A39" s="48" t="s">
        <v>14</v>
      </c>
      <c r="B39" s="48" t="s">
        <v>345</v>
      </c>
      <c r="C39" s="48" t="s">
        <v>346</v>
      </c>
      <c r="D39" s="49" t="s">
        <v>347</v>
      </c>
      <c r="E39" s="48" t="s">
        <v>348</v>
      </c>
      <c r="F39" s="49" t="s">
        <v>172</v>
      </c>
      <c r="G39" s="49" t="s">
        <v>334</v>
      </c>
      <c r="H39" s="54">
        <v>3.0</v>
      </c>
      <c r="I39" s="54">
        <v>3.0</v>
      </c>
      <c r="J39" s="49">
        <f t="shared" ref="J39:K39" si="79">LEN(SUBSTITUTE(SUBSTITUTE(SUBSTITUTE(B39 ,"ˈ",""),"d̠ʒ","ʒ"),"t̠ʃ","ʃ"))</f>
        <v>6</v>
      </c>
      <c r="K39" s="44">
        <f t="shared" si="79"/>
        <v>6</v>
      </c>
      <c r="L39" s="51">
        <f t="shared" ref="L39:M39" si="80">LEN(D39)-LEN(B39)+1</f>
        <v>2</v>
      </c>
      <c r="M39" s="51">
        <f t="shared" si="80"/>
        <v>3</v>
      </c>
      <c r="N39" s="51">
        <f t="shared" si="5"/>
        <v>0</v>
      </c>
      <c r="O39" s="51" t="str">
        <f t="shared" si="6"/>
        <v>Equal</v>
      </c>
      <c r="P39" s="51">
        <f t="shared" si="7"/>
        <v>-1</v>
      </c>
      <c r="Q39" s="51" t="str">
        <f t="shared" si="8"/>
        <v>Target</v>
      </c>
    </row>
    <row r="40">
      <c r="A40" s="48" t="s">
        <v>14</v>
      </c>
      <c r="B40" s="48" t="s">
        <v>354</v>
      </c>
      <c r="C40" s="48" t="s">
        <v>355</v>
      </c>
      <c r="D40" s="52" t="s">
        <v>356</v>
      </c>
      <c r="E40" s="48" t="s">
        <v>357</v>
      </c>
      <c r="F40" s="52" t="s">
        <v>362</v>
      </c>
      <c r="G40" s="49" t="s">
        <v>362</v>
      </c>
      <c r="H40" s="54">
        <v>3.0</v>
      </c>
      <c r="I40" s="54">
        <v>2.0</v>
      </c>
      <c r="J40" s="49">
        <f t="shared" ref="J40:K40" si="81">LEN(SUBSTITUTE(SUBSTITUTE(SUBSTITUTE(B40 ,"ˈ",""),"d̠ʒ","ʒ"),"t̠ʃ","ʃ"))</f>
        <v>6</v>
      </c>
      <c r="K40" s="44">
        <f t="shared" si="81"/>
        <v>5</v>
      </c>
      <c r="L40" s="51">
        <f t="shared" ref="L40:M40" si="82">LEN(D40)-LEN(B40)+1</f>
        <v>3</v>
      </c>
      <c r="M40" s="51">
        <f t="shared" si="82"/>
        <v>2</v>
      </c>
      <c r="N40" s="51">
        <f t="shared" si="5"/>
        <v>1</v>
      </c>
      <c r="O40" s="51" t="str">
        <f t="shared" si="6"/>
        <v>Source</v>
      </c>
      <c r="P40" s="51">
        <f t="shared" si="7"/>
        <v>1</v>
      </c>
      <c r="Q40" s="51" t="str">
        <f t="shared" si="8"/>
        <v>Source</v>
      </c>
    </row>
    <row r="41">
      <c r="A41" s="48" t="s">
        <v>14</v>
      </c>
      <c r="B41" s="48" t="s">
        <v>363</v>
      </c>
      <c r="C41" s="48" t="s">
        <v>364</v>
      </c>
      <c r="D41" s="49" t="s">
        <v>365</v>
      </c>
      <c r="E41" s="48" t="s">
        <v>366</v>
      </c>
      <c r="F41" s="49" t="s">
        <v>175</v>
      </c>
      <c r="G41" s="49" t="s">
        <v>175</v>
      </c>
      <c r="H41" s="54">
        <v>3.0</v>
      </c>
      <c r="I41" s="54">
        <v>2.0</v>
      </c>
      <c r="J41" s="49">
        <f t="shared" ref="J41:K41" si="83">LEN(SUBSTITUTE(SUBSTITUTE(SUBSTITUTE(B41 ,"ˈ",""),"d̠ʒ","ʒ"),"t̠ʃ","ʃ"))</f>
        <v>5</v>
      </c>
      <c r="K41" s="44">
        <f t="shared" si="83"/>
        <v>4</v>
      </c>
      <c r="L41" s="51">
        <f t="shared" ref="L41:M41" si="84">LEN(D41)-LEN(B41)+1</f>
        <v>3</v>
      </c>
      <c r="M41" s="51">
        <f t="shared" si="84"/>
        <v>2</v>
      </c>
      <c r="N41" s="51">
        <f t="shared" si="5"/>
        <v>1</v>
      </c>
      <c r="O41" s="51" t="str">
        <f t="shared" si="6"/>
        <v>Source</v>
      </c>
      <c r="P41" s="51">
        <f t="shared" si="7"/>
        <v>1</v>
      </c>
      <c r="Q41" s="51" t="str">
        <f t="shared" si="8"/>
        <v>Source</v>
      </c>
    </row>
    <row r="42">
      <c r="A42" s="48" t="s">
        <v>14</v>
      </c>
      <c r="B42" s="48" t="s">
        <v>371</v>
      </c>
      <c r="C42" s="48" t="s">
        <v>372</v>
      </c>
      <c r="D42" s="49" t="s">
        <v>373</v>
      </c>
      <c r="E42" s="48" t="s">
        <v>374</v>
      </c>
      <c r="F42" s="49" t="s">
        <v>378</v>
      </c>
      <c r="G42" s="49" t="s">
        <v>56</v>
      </c>
      <c r="H42" s="54">
        <v>3.0</v>
      </c>
      <c r="I42" s="54">
        <v>2.0</v>
      </c>
      <c r="J42" s="49">
        <f t="shared" ref="J42:K42" si="85">LEN(SUBSTITUTE(SUBSTITUTE(SUBSTITUTE(B42 ,"ˈ",""),"d̠ʒ","ʒ"),"t̠ʃ","ʃ"))</f>
        <v>6</v>
      </c>
      <c r="K42" s="44">
        <f t="shared" si="85"/>
        <v>5</v>
      </c>
      <c r="L42" s="51">
        <f t="shared" ref="L42:M42" si="86">LEN(D42)-LEN(B42)+1</f>
        <v>3</v>
      </c>
      <c r="M42" s="51">
        <f t="shared" si="86"/>
        <v>2</v>
      </c>
      <c r="N42" s="51">
        <f t="shared" si="5"/>
        <v>1</v>
      </c>
      <c r="O42" s="51" t="str">
        <f t="shared" si="6"/>
        <v>Source</v>
      </c>
      <c r="P42" s="51">
        <f t="shared" si="7"/>
        <v>1</v>
      </c>
      <c r="Q42" s="51" t="str">
        <f t="shared" si="8"/>
        <v>Source</v>
      </c>
    </row>
    <row r="43">
      <c r="A43" s="48" t="s">
        <v>14</v>
      </c>
      <c r="B43" s="48" t="s">
        <v>379</v>
      </c>
      <c r="C43" s="48" t="s">
        <v>380</v>
      </c>
      <c r="D43" s="49" t="s">
        <v>381</v>
      </c>
      <c r="E43" s="48" t="s">
        <v>382</v>
      </c>
      <c r="F43" s="49" t="s">
        <v>387</v>
      </c>
      <c r="G43" s="49" t="s">
        <v>387</v>
      </c>
      <c r="H43" s="54">
        <v>3.0</v>
      </c>
      <c r="I43" s="54">
        <v>3.0</v>
      </c>
      <c r="J43" s="49">
        <f t="shared" ref="J43:K43" si="87">LEN(SUBSTITUTE(SUBSTITUTE(SUBSTITUTE(B43 ,"ˈ",""),"d̠ʒ","ʒ"),"t̠ʃ","ʃ"))</f>
        <v>6</v>
      </c>
      <c r="K43" s="44">
        <f t="shared" si="87"/>
        <v>6</v>
      </c>
      <c r="L43" s="51">
        <f t="shared" ref="L43:M43" si="88">LEN(D43)-LEN(B43)+1</f>
        <v>3</v>
      </c>
      <c r="M43" s="51">
        <f t="shared" si="88"/>
        <v>3</v>
      </c>
      <c r="N43" s="51">
        <f t="shared" si="5"/>
        <v>0</v>
      </c>
      <c r="O43" s="51" t="str">
        <f t="shared" si="6"/>
        <v>Equal</v>
      </c>
      <c r="P43" s="51">
        <f t="shared" si="7"/>
        <v>0</v>
      </c>
      <c r="Q43" s="51" t="str">
        <f t="shared" si="8"/>
        <v>Equal</v>
      </c>
    </row>
    <row r="44">
      <c r="A44" s="48" t="s">
        <v>14</v>
      </c>
      <c r="B44" s="49" t="s">
        <v>388</v>
      </c>
      <c r="C44" s="48" t="s">
        <v>389</v>
      </c>
      <c r="D44" s="49" t="s">
        <v>390</v>
      </c>
      <c r="E44" s="48" t="s">
        <v>391</v>
      </c>
      <c r="F44" s="49" t="s">
        <v>245</v>
      </c>
      <c r="G44" s="49" t="s">
        <v>245</v>
      </c>
      <c r="H44" s="54">
        <v>3.0</v>
      </c>
      <c r="I44" s="54">
        <v>3.0</v>
      </c>
      <c r="J44" s="49">
        <f t="shared" ref="J44:K44" si="89">LEN(SUBSTITUTE(SUBSTITUTE(SUBSTITUTE(B44 ,"ˈ",""),"d̠ʒ","ʒ"),"t̠ʃ","ʃ"))</f>
        <v>6</v>
      </c>
      <c r="K44" s="44">
        <f t="shared" si="89"/>
        <v>6</v>
      </c>
      <c r="L44" s="51">
        <f t="shared" ref="L44:M44" si="90">LEN(D44)-LEN(B44)+1</f>
        <v>3</v>
      </c>
      <c r="M44" s="51">
        <f t="shared" si="90"/>
        <v>3</v>
      </c>
      <c r="N44" s="51">
        <f t="shared" si="5"/>
        <v>0</v>
      </c>
      <c r="O44" s="51" t="str">
        <f t="shared" si="6"/>
        <v>Equal</v>
      </c>
      <c r="P44" s="51">
        <f t="shared" si="7"/>
        <v>0</v>
      </c>
      <c r="Q44" s="51" t="str">
        <f t="shared" si="8"/>
        <v>Equal</v>
      </c>
    </row>
    <row r="45">
      <c r="A45" s="48" t="s">
        <v>14</v>
      </c>
      <c r="B45" s="48" t="s">
        <v>395</v>
      </c>
      <c r="C45" s="48" t="s">
        <v>396</v>
      </c>
      <c r="D45" s="49" t="s">
        <v>397</v>
      </c>
      <c r="E45" s="48" t="s">
        <v>398</v>
      </c>
      <c r="F45" s="49" t="s">
        <v>401</v>
      </c>
      <c r="G45" s="49" t="s">
        <v>402</v>
      </c>
      <c r="H45" s="54">
        <v>3.0</v>
      </c>
      <c r="I45" s="54">
        <v>3.0</v>
      </c>
      <c r="J45" s="49">
        <f t="shared" ref="J45:K45" si="91">LEN(SUBSTITUTE(SUBSTITUTE(SUBSTITUTE(B45 ,"ˈ",""),"d̠ʒ","ʒ"),"t̠ʃ","ʃ"))</f>
        <v>6</v>
      </c>
      <c r="K45" s="44">
        <f t="shared" si="91"/>
        <v>6</v>
      </c>
      <c r="L45" s="51">
        <f t="shared" ref="L45:M45" si="92">LEN(D45)-LEN(B45)+1</f>
        <v>3</v>
      </c>
      <c r="M45" s="51">
        <f t="shared" si="92"/>
        <v>3</v>
      </c>
      <c r="N45" s="51">
        <f t="shared" si="5"/>
        <v>0</v>
      </c>
      <c r="O45" s="51" t="str">
        <f t="shared" si="6"/>
        <v>Equal</v>
      </c>
      <c r="P45" s="51">
        <f t="shared" si="7"/>
        <v>0</v>
      </c>
      <c r="Q45" s="51" t="str">
        <f t="shared" si="8"/>
        <v>Equal</v>
      </c>
    </row>
    <row r="46">
      <c r="A46" s="48" t="s">
        <v>14</v>
      </c>
      <c r="B46" s="48" t="s">
        <v>403</v>
      </c>
      <c r="C46" s="48" t="s">
        <v>404</v>
      </c>
      <c r="D46" s="49" t="s">
        <v>405</v>
      </c>
      <c r="E46" s="48" t="s">
        <v>406</v>
      </c>
      <c r="F46" s="49" t="s">
        <v>409</v>
      </c>
      <c r="G46" s="49" t="s">
        <v>410</v>
      </c>
      <c r="H46" s="54">
        <v>2.0</v>
      </c>
      <c r="I46" s="54">
        <v>3.0</v>
      </c>
      <c r="J46" s="49">
        <f t="shared" ref="J46:K46" si="93">LEN(SUBSTITUTE(SUBSTITUTE(SUBSTITUTE(B46 ,"ˈ",""),"d̠ʒ","ʒ"),"t̠ʃ","ʃ"))</f>
        <v>5</v>
      </c>
      <c r="K46" s="44">
        <f t="shared" si="93"/>
        <v>7</v>
      </c>
      <c r="L46" s="51">
        <f t="shared" ref="L46:M46" si="94">LEN(D46)-LEN(B46)+1</f>
        <v>2</v>
      </c>
      <c r="M46" s="51">
        <f t="shared" si="94"/>
        <v>3</v>
      </c>
      <c r="N46" s="51">
        <f t="shared" si="5"/>
        <v>-2</v>
      </c>
      <c r="O46" s="51" t="str">
        <f t="shared" si="6"/>
        <v>Target</v>
      </c>
      <c r="P46" s="51">
        <f t="shared" si="7"/>
        <v>-1</v>
      </c>
      <c r="Q46" s="51" t="str">
        <f t="shared" si="8"/>
        <v>Target</v>
      </c>
    </row>
    <row r="47">
      <c r="A47" s="48" t="s">
        <v>14</v>
      </c>
      <c r="B47" s="48" t="s">
        <v>411</v>
      </c>
      <c r="C47" s="48" t="s">
        <v>412</v>
      </c>
      <c r="D47" s="49" t="s">
        <v>413</v>
      </c>
      <c r="E47" s="48" t="s">
        <v>414</v>
      </c>
      <c r="F47" s="49" t="s">
        <v>420</v>
      </c>
      <c r="G47" s="49" t="s">
        <v>362</v>
      </c>
      <c r="H47" s="54">
        <v>2.0</v>
      </c>
      <c r="I47" s="54">
        <v>3.0</v>
      </c>
      <c r="J47" s="49">
        <f t="shared" ref="J47:K47" si="95">LEN(SUBSTITUTE(SUBSTITUTE(SUBSTITUTE(B47 ,"ˈ",""),"d̠ʒ","ʒ"),"t̠ʃ","ʃ"))</f>
        <v>4</v>
      </c>
      <c r="K47" s="44">
        <f t="shared" si="95"/>
        <v>7</v>
      </c>
      <c r="L47" s="51">
        <f t="shared" ref="L47:M47" si="96">LEN(D47)-LEN(B47)+1</f>
        <v>2</v>
      </c>
      <c r="M47" s="51">
        <f t="shared" si="96"/>
        <v>3</v>
      </c>
      <c r="N47" s="51">
        <f t="shared" si="5"/>
        <v>-3</v>
      </c>
      <c r="O47" s="51" t="str">
        <f t="shared" si="6"/>
        <v>Target</v>
      </c>
      <c r="P47" s="51">
        <f t="shared" si="7"/>
        <v>-1</v>
      </c>
      <c r="Q47" s="51" t="str">
        <f t="shared" si="8"/>
        <v>Target</v>
      </c>
    </row>
    <row r="48">
      <c r="A48" s="48" t="s">
        <v>14</v>
      </c>
      <c r="B48" s="48" t="s">
        <v>421</v>
      </c>
      <c r="C48" s="49" t="s">
        <v>422</v>
      </c>
      <c r="D48" s="49" t="s">
        <v>423</v>
      </c>
      <c r="E48" s="48" t="s">
        <v>424</v>
      </c>
      <c r="F48" s="49" t="s">
        <v>181</v>
      </c>
      <c r="G48" s="49" t="s">
        <v>428</v>
      </c>
      <c r="H48" s="54">
        <v>2.0</v>
      </c>
      <c r="I48" s="54">
        <v>3.0</v>
      </c>
      <c r="J48" s="49">
        <f t="shared" ref="J48:K48" si="97">LEN(SUBSTITUTE(SUBSTITUTE(SUBSTITUTE(B48 ,"ˈ",""),"d̠ʒ","ʒ"),"t̠ʃ","ʃ"))</f>
        <v>5</v>
      </c>
      <c r="K48" s="44">
        <f t="shared" si="97"/>
        <v>9</v>
      </c>
      <c r="L48" s="51">
        <f t="shared" ref="L48:M48" si="98">LEN(D48)-LEN(B48)+1</f>
        <v>2</v>
      </c>
      <c r="M48" s="51">
        <f t="shared" si="98"/>
        <v>3</v>
      </c>
      <c r="N48" s="51">
        <f t="shared" si="5"/>
        <v>-4</v>
      </c>
      <c r="O48" s="51" t="str">
        <f t="shared" si="6"/>
        <v>Target</v>
      </c>
      <c r="P48" s="51">
        <f t="shared" si="7"/>
        <v>-1</v>
      </c>
      <c r="Q48" s="51" t="str">
        <f t="shared" si="8"/>
        <v>Target</v>
      </c>
    </row>
    <row r="49">
      <c r="A49" s="48" t="s">
        <v>14</v>
      </c>
      <c r="B49" s="48" t="s">
        <v>429</v>
      </c>
      <c r="C49" s="48" t="s">
        <v>430</v>
      </c>
      <c r="D49" s="49" t="s">
        <v>431</v>
      </c>
      <c r="E49" s="48" t="s">
        <v>432</v>
      </c>
      <c r="F49" s="49" t="s">
        <v>436</v>
      </c>
      <c r="G49" s="49" t="s">
        <v>437</v>
      </c>
      <c r="H49" s="54">
        <v>2.0</v>
      </c>
      <c r="I49" s="54">
        <v>2.0</v>
      </c>
      <c r="J49" s="49">
        <f t="shared" ref="J49:K49" si="99">LEN(SUBSTITUTE(SUBSTITUTE(SUBSTITUTE(B49 ,"ˈ",""),"d̠ʒ","ʒ"),"t̠ʃ","ʃ"))</f>
        <v>4</v>
      </c>
      <c r="K49" s="44">
        <f t="shared" si="99"/>
        <v>5</v>
      </c>
      <c r="L49" s="51">
        <f t="shared" ref="L49:M49" si="100">LEN(D49)-LEN(B49)+1</f>
        <v>2</v>
      </c>
      <c r="M49" s="51">
        <f t="shared" si="100"/>
        <v>2</v>
      </c>
      <c r="N49" s="51">
        <f t="shared" si="5"/>
        <v>-1</v>
      </c>
      <c r="O49" s="51" t="str">
        <f t="shared" si="6"/>
        <v>Target</v>
      </c>
      <c r="P49" s="51">
        <f t="shared" si="7"/>
        <v>0</v>
      </c>
      <c r="Q49" s="51" t="str">
        <f t="shared" si="8"/>
        <v>Equal</v>
      </c>
    </row>
    <row r="50">
      <c r="A50" s="48" t="s">
        <v>14</v>
      </c>
      <c r="B50" s="48" t="s">
        <v>438</v>
      </c>
      <c r="C50" s="48" t="s">
        <v>439</v>
      </c>
      <c r="D50" s="52" t="s">
        <v>440</v>
      </c>
      <c r="E50" s="48" t="s">
        <v>441</v>
      </c>
      <c r="F50" s="52" t="s">
        <v>446</v>
      </c>
      <c r="G50" s="49" t="s">
        <v>44</v>
      </c>
      <c r="H50" s="54">
        <v>2.0</v>
      </c>
      <c r="I50" s="54">
        <v>2.0</v>
      </c>
      <c r="J50" s="49">
        <f t="shared" ref="J50:K50" si="101">LEN(SUBSTITUTE(SUBSTITUTE(SUBSTITUTE(B50 ,"ˈ",""),"d̠ʒ","ʒ"),"t̠ʃ","ʃ"))</f>
        <v>6</v>
      </c>
      <c r="K50" s="44">
        <f t="shared" si="101"/>
        <v>5</v>
      </c>
      <c r="L50" s="51">
        <f t="shared" ref="L50:M50" si="102">LEN(D50)-LEN(B50)+1</f>
        <v>2</v>
      </c>
      <c r="M50" s="51">
        <f t="shared" si="102"/>
        <v>3</v>
      </c>
      <c r="N50" s="51">
        <f t="shared" si="5"/>
        <v>1</v>
      </c>
      <c r="O50" s="51" t="str">
        <f t="shared" si="6"/>
        <v>Source</v>
      </c>
      <c r="P50" s="51">
        <f t="shared" si="7"/>
        <v>-1</v>
      </c>
      <c r="Q50" s="51" t="str">
        <f t="shared" si="8"/>
        <v>Target</v>
      </c>
    </row>
    <row r="51">
      <c r="A51" s="48" t="s">
        <v>14</v>
      </c>
      <c r="B51" s="48" t="s">
        <v>447</v>
      </c>
      <c r="C51" s="48" t="s">
        <v>448</v>
      </c>
      <c r="D51" s="49" t="s">
        <v>449</v>
      </c>
      <c r="E51" s="48" t="s">
        <v>450</v>
      </c>
      <c r="F51" s="49" t="s">
        <v>158</v>
      </c>
      <c r="G51" s="49" t="s">
        <v>158</v>
      </c>
      <c r="H51" s="54">
        <v>1.0</v>
      </c>
      <c r="I51" s="54">
        <v>2.0</v>
      </c>
      <c r="J51" s="49">
        <f t="shared" ref="J51:K51" si="103">LEN(SUBSTITUTE(SUBSTITUTE(SUBSTITUTE(B51 ,"ˈ",""),"d̠ʒ","ʒ"),"t̠ʃ","ʃ"))</f>
        <v>4</v>
      </c>
      <c r="K51" s="44">
        <f t="shared" si="103"/>
        <v>4</v>
      </c>
      <c r="L51" s="51">
        <f t="shared" ref="L51:M51" si="104">LEN(D51)-LEN(B51)+1</f>
        <v>2</v>
      </c>
      <c r="M51" s="51">
        <f t="shared" si="104"/>
        <v>2</v>
      </c>
      <c r="N51" s="51">
        <f t="shared" si="5"/>
        <v>0</v>
      </c>
      <c r="O51" s="51" t="str">
        <f t="shared" si="6"/>
        <v>Equal</v>
      </c>
      <c r="P51" s="51">
        <f t="shared" si="7"/>
        <v>0</v>
      </c>
      <c r="Q51" s="51" t="str">
        <f t="shared" si="8"/>
        <v>Equal</v>
      </c>
    </row>
    <row r="52">
      <c r="A52" s="48" t="s">
        <v>14</v>
      </c>
      <c r="B52" s="48" t="s">
        <v>455</v>
      </c>
      <c r="C52" s="48" t="s">
        <v>163</v>
      </c>
      <c r="D52" s="49" t="s">
        <v>456</v>
      </c>
      <c r="E52" s="48" t="s">
        <v>163</v>
      </c>
      <c r="F52" s="49" t="s">
        <v>162</v>
      </c>
      <c r="G52" s="49" t="s">
        <v>36</v>
      </c>
      <c r="H52" s="54">
        <v>2.0</v>
      </c>
      <c r="I52" s="54" t="s">
        <v>36</v>
      </c>
      <c r="J52" s="49">
        <f t="shared" ref="J52:K52" si="105">LEN(SUBSTITUTE(SUBSTITUTE(SUBSTITUTE(B52 ,"ˈ",""),"d̠ʒ","ʒ"),"t̠ʃ","ʃ"))</f>
        <v>4</v>
      </c>
      <c r="K52" s="44">
        <f t="shared" si="105"/>
        <v>5</v>
      </c>
      <c r="L52" s="51">
        <f t="shared" ref="L52:M52" si="106">LEN(D52)-LEN(B52)+1</f>
        <v>2</v>
      </c>
      <c r="M52" s="51">
        <f t="shared" si="106"/>
        <v>1</v>
      </c>
      <c r="N52" s="51">
        <f t="shared" si="5"/>
        <v>-1</v>
      </c>
      <c r="O52" s="51" t="str">
        <f t="shared" si="6"/>
        <v>Target</v>
      </c>
      <c r="P52" s="51">
        <f t="shared" si="7"/>
        <v>1</v>
      </c>
      <c r="Q52" s="51" t="str">
        <f t="shared" si="8"/>
        <v>Source</v>
      </c>
    </row>
    <row r="53">
      <c r="A53" s="48" t="s">
        <v>14</v>
      </c>
      <c r="B53" s="48" t="s">
        <v>458</v>
      </c>
      <c r="C53" s="49" t="s">
        <v>459</v>
      </c>
      <c r="D53" s="52" t="s">
        <v>460</v>
      </c>
      <c r="E53" s="49" t="s">
        <v>461</v>
      </c>
      <c r="F53" s="52" t="s">
        <v>98</v>
      </c>
      <c r="G53" s="49" t="s">
        <v>98</v>
      </c>
      <c r="H53" s="54">
        <v>2.0</v>
      </c>
      <c r="I53" s="54">
        <v>3.0</v>
      </c>
      <c r="J53" s="49">
        <f t="shared" ref="J53:K53" si="107">LEN(SUBSTITUTE(SUBSTITUTE(SUBSTITUTE(B53 ,"ˈ",""),"d̠ʒ","ʒ"),"t̠ʃ","ʃ"))</f>
        <v>5</v>
      </c>
      <c r="K53" s="44">
        <f t="shared" si="107"/>
        <v>6</v>
      </c>
      <c r="L53" s="51">
        <f t="shared" ref="L53:M53" si="108">LEN(D53)-LEN(B53)+1</f>
        <v>2</v>
      </c>
      <c r="M53" s="51">
        <f t="shared" si="108"/>
        <v>3</v>
      </c>
      <c r="N53" s="51">
        <f t="shared" si="5"/>
        <v>-1</v>
      </c>
      <c r="O53" s="51" t="str">
        <f t="shared" si="6"/>
        <v>Target</v>
      </c>
      <c r="P53" s="51">
        <f t="shared" si="7"/>
        <v>-1</v>
      </c>
      <c r="Q53" s="51" t="str">
        <f t="shared" si="8"/>
        <v>Target</v>
      </c>
    </row>
    <row r="54">
      <c r="A54" s="48" t="s">
        <v>14</v>
      </c>
      <c r="B54" s="48" t="s">
        <v>468</v>
      </c>
      <c r="C54" s="49" t="s">
        <v>469</v>
      </c>
      <c r="D54" s="49" t="s">
        <v>470</v>
      </c>
      <c r="E54" s="49" t="s">
        <v>469</v>
      </c>
      <c r="F54" s="49" t="s">
        <v>469</v>
      </c>
      <c r="G54" s="49" t="s">
        <v>36</v>
      </c>
      <c r="H54" s="54">
        <v>2.0</v>
      </c>
      <c r="I54" s="54" t="s">
        <v>36</v>
      </c>
      <c r="J54" s="49">
        <f t="shared" ref="J54:K54" si="109">LEN(SUBSTITUTE(SUBSTITUTE(SUBSTITUTE(B54 ,"ˈ",""),"d̠ʒ","ʒ"),"t̠ʃ","ʃ"))</f>
        <v>3</v>
      </c>
      <c r="K54" s="44">
        <f t="shared" si="109"/>
        <v>2</v>
      </c>
      <c r="L54" s="51">
        <f t="shared" ref="L54:M54" si="110">LEN(D54)-LEN(B54)+1</f>
        <v>2</v>
      </c>
      <c r="M54" s="51">
        <f t="shared" si="110"/>
        <v>1</v>
      </c>
      <c r="N54" s="51">
        <f t="shared" si="5"/>
        <v>1</v>
      </c>
      <c r="O54" s="51" t="str">
        <f t="shared" si="6"/>
        <v>Source</v>
      </c>
      <c r="P54" s="51">
        <f t="shared" si="7"/>
        <v>1</v>
      </c>
      <c r="Q54" s="51" t="str">
        <f t="shared" si="8"/>
        <v>Source</v>
      </c>
    </row>
    <row r="55">
      <c r="A55" s="48" t="s">
        <v>14</v>
      </c>
      <c r="B55" s="48" t="s">
        <v>474</v>
      </c>
      <c r="C55" s="49" t="s">
        <v>475</v>
      </c>
      <c r="D55" s="49" t="s">
        <v>476</v>
      </c>
      <c r="E55" s="49" t="s">
        <v>477</v>
      </c>
      <c r="F55" s="49" t="s">
        <v>481</v>
      </c>
      <c r="G55" s="49" t="s">
        <v>482</v>
      </c>
      <c r="H55" s="54">
        <v>2.0</v>
      </c>
      <c r="I55" s="54">
        <v>3.0</v>
      </c>
      <c r="J55" s="49">
        <f t="shared" ref="J55:K55" si="111">LEN(SUBSTITUTE(SUBSTITUTE(SUBSTITUTE(B55 ,"ˈ",""),"d̠ʒ","ʒ"),"t̠ʃ","ʃ"))</f>
        <v>4</v>
      </c>
      <c r="K55" s="44">
        <f t="shared" si="111"/>
        <v>5</v>
      </c>
      <c r="L55" s="51">
        <f t="shared" ref="L55:M55" si="112">LEN(D55)-LEN(B55)+1</f>
        <v>2</v>
      </c>
      <c r="M55" s="51">
        <f t="shared" si="112"/>
        <v>3</v>
      </c>
      <c r="N55" s="51">
        <f t="shared" si="5"/>
        <v>-1</v>
      </c>
      <c r="O55" s="51" t="str">
        <f t="shared" si="6"/>
        <v>Target</v>
      </c>
      <c r="P55" s="51">
        <f t="shared" si="7"/>
        <v>-1</v>
      </c>
      <c r="Q55" s="51" t="str">
        <f t="shared" si="8"/>
        <v>Target</v>
      </c>
    </row>
    <row r="56">
      <c r="A56" s="48" t="s">
        <v>14</v>
      </c>
      <c r="B56" s="48" t="s">
        <v>483</v>
      </c>
      <c r="C56" s="49" t="s">
        <v>484</v>
      </c>
      <c r="D56" s="49" t="s">
        <v>485</v>
      </c>
      <c r="E56" s="49" t="s">
        <v>486</v>
      </c>
      <c r="F56" s="49" t="s">
        <v>362</v>
      </c>
      <c r="G56" s="49" t="s">
        <v>362</v>
      </c>
      <c r="H56" s="54">
        <v>2.0</v>
      </c>
      <c r="I56" s="54">
        <v>2.0</v>
      </c>
      <c r="J56" s="49">
        <f t="shared" ref="J56:K56" si="113">LEN(SUBSTITUTE(SUBSTITUTE(SUBSTITUTE(B56 ,"ˈ",""),"d̠ʒ","ʒ"),"t̠ʃ","ʃ"))</f>
        <v>3</v>
      </c>
      <c r="K56" s="44">
        <f t="shared" si="113"/>
        <v>3</v>
      </c>
      <c r="L56" s="51">
        <f t="shared" ref="L56:M56" si="114">LEN(D56)-LEN(B56)+1</f>
        <v>2</v>
      </c>
      <c r="M56" s="51">
        <f t="shared" si="114"/>
        <v>2</v>
      </c>
      <c r="N56" s="51">
        <f t="shared" si="5"/>
        <v>0</v>
      </c>
      <c r="O56" s="51" t="str">
        <f t="shared" si="6"/>
        <v>Equal</v>
      </c>
      <c r="P56" s="51">
        <f t="shared" si="7"/>
        <v>0</v>
      </c>
      <c r="Q56" s="51" t="str">
        <f t="shared" si="8"/>
        <v>Equal</v>
      </c>
    </row>
    <row r="57">
      <c r="A57" s="48" t="s">
        <v>14</v>
      </c>
      <c r="B57" s="48" t="s">
        <v>489</v>
      </c>
      <c r="C57" s="48" t="s">
        <v>490</v>
      </c>
      <c r="D57" s="49" t="s">
        <v>491</v>
      </c>
      <c r="E57" s="49" t="s">
        <v>492</v>
      </c>
      <c r="F57" s="49" t="s">
        <v>290</v>
      </c>
      <c r="G57" s="49" t="s">
        <v>24</v>
      </c>
      <c r="H57" s="54">
        <v>2.0</v>
      </c>
      <c r="I57" s="54">
        <v>3.0</v>
      </c>
      <c r="J57" s="49">
        <f t="shared" ref="J57:K57" si="115">LEN(SUBSTITUTE(SUBSTITUTE(SUBSTITUTE(B57 ,"ˈ",""),"d̠ʒ","ʒ"),"t̠ʃ","ʃ"))</f>
        <v>3</v>
      </c>
      <c r="K57" s="44">
        <f t="shared" si="115"/>
        <v>5</v>
      </c>
      <c r="L57" s="51">
        <f t="shared" ref="L57:M57" si="116">LEN(D57)-LEN(B57)+1</f>
        <v>2</v>
      </c>
      <c r="M57" s="51">
        <f t="shared" si="116"/>
        <v>3</v>
      </c>
      <c r="N57" s="51">
        <f t="shared" si="5"/>
        <v>-2</v>
      </c>
      <c r="O57" s="51" t="str">
        <f t="shared" si="6"/>
        <v>Target</v>
      </c>
      <c r="P57" s="51">
        <f t="shared" si="7"/>
        <v>-1</v>
      </c>
      <c r="Q57" s="51" t="str">
        <f t="shared" si="8"/>
        <v>Target</v>
      </c>
    </row>
    <row r="58">
      <c r="A58" s="48" t="s">
        <v>14</v>
      </c>
      <c r="B58" s="48" t="s">
        <v>497</v>
      </c>
      <c r="C58" s="49" t="s">
        <v>498</v>
      </c>
      <c r="D58" s="49" t="s">
        <v>499</v>
      </c>
      <c r="E58" s="49" t="s">
        <v>500</v>
      </c>
      <c r="F58" s="49" t="s">
        <v>197</v>
      </c>
      <c r="G58" s="49" t="s">
        <v>503</v>
      </c>
      <c r="H58" s="54">
        <v>2.0</v>
      </c>
      <c r="I58" s="54">
        <v>2.0</v>
      </c>
      <c r="J58" s="49">
        <f t="shared" ref="J58:K58" si="117">LEN(SUBSTITUTE(SUBSTITUTE(SUBSTITUTE(B58 ,"ˈ",""),"d̠ʒ","ʒ"),"t̠ʃ","ʃ"))</f>
        <v>4</v>
      </c>
      <c r="K58" s="44">
        <f t="shared" si="117"/>
        <v>4</v>
      </c>
      <c r="L58" s="51">
        <f t="shared" ref="L58:M58" si="118">LEN(D58)-LEN(B58)+1</f>
        <v>2</v>
      </c>
      <c r="M58" s="51">
        <f t="shared" si="118"/>
        <v>2</v>
      </c>
      <c r="N58" s="51">
        <f t="shared" si="5"/>
        <v>0</v>
      </c>
      <c r="O58" s="51" t="str">
        <f t="shared" si="6"/>
        <v>Equal</v>
      </c>
      <c r="P58" s="51">
        <f t="shared" si="7"/>
        <v>0</v>
      </c>
      <c r="Q58" s="51" t="str">
        <f t="shared" si="8"/>
        <v>Equal</v>
      </c>
    </row>
    <row r="59">
      <c r="A59" s="48" t="s">
        <v>14</v>
      </c>
      <c r="B59" s="48" t="s">
        <v>504</v>
      </c>
      <c r="C59" s="49" t="s">
        <v>505</v>
      </c>
      <c r="D59" s="49" t="s">
        <v>506</v>
      </c>
      <c r="E59" s="49" t="s">
        <v>507</v>
      </c>
      <c r="F59" s="49" t="s">
        <v>362</v>
      </c>
      <c r="G59" s="49" t="s">
        <v>362</v>
      </c>
      <c r="H59" s="54">
        <v>2.0</v>
      </c>
      <c r="I59" s="54">
        <v>2.0</v>
      </c>
      <c r="J59" s="49">
        <f t="shared" ref="J59:K59" si="119">LEN(SUBSTITUTE(SUBSTITUTE(SUBSTITUTE(B59 ,"ˈ",""),"d̠ʒ","ʒ"),"t̠ʃ","ʃ"))</f>
        <v>4</v>
      </c>
      <c r="K59" s="44">
        <f t="shared" si="119"/>
        <v>5</v>
      </c>
      <c r="L59" s="51">
        <f t="shared" ref="L59:M59" si="120">LEN(D59)-LEN(B59)+1</f>
        <v>2</v>
      </c>
      <c r="M59" s="51">
        <f t="shared" si="120"/>
        <v>2</v>
      </c>
      <c r="N59" s="51">
        <f t="shared" si="5"/>
        <v>-1</v>
      </c>
      <c r="O59" s="51" t="str">
        <f t="shared" si="6"/>
        <v>Target</v>
      </c>
      <c r="P59" s="51">
        <f t="shared" si="7"/>
        <v>0</v>
      </c>
      <c r="Q59" s="51" t="str">
        <f t="shared" si="8"/>
        <v>Equal</v>
      </c>
    </row>
    <row r="60">
      <c r="A60" s="48" t="s">
        <v>14</v>
      </c>
      <c r="B60" s="49" t="s">
        <v>512</v>
      </c>
      <c r="C60" s="49" t="s">
        <v>513</v>
      </c>
      <c r="D60" s="49" t="s">
        <v>514</v>
      </c>
      <c r="E60" s="49" t="s">
        <v>515</v>
      </c>
      <c r="F60" s="49" t="s">
        <v>162</v>
      </c>
      <c r="G60" s="49" t="s">
        <v>163</v>
      </c>
      <c r="H60" s="54">
        <v>3.0</v>
      </c>
      <c r="I60" s="54">
        <v>2.0</v>
      </c>
      <c r="J60" s="49">
        <f t="shared" ref="J60:K60" si="121">LEN(SUBSTITUTE(SUBSTITUTE(SUBSTITUTE(B60 ,"ˈ",""),"d̠ʒ","ʒ"),"t̠ʃ","ʃ"))</f>
        <v>7</v>
      </c>
      <c r="K60" s="44">
        <f t="shared" si="121"/>
        <v>8</v>
      </c>
      <c r="L60" s="51">
        <f t="shared" ref="L60:M60" si="122">LEN(D60)-LEN(B60)+1</f>
        <v>3</v>
      </c>
      <c r="M60" s="51">
        <f t="shared" si="122"/>
        <v>2</v>
      </c>
      <c r="N60" s="51">
        <f t="shared" si="5"/>
        <v>-1</v>
      </c>
      <c r="O60" s="51" t="str">
        <f t="shared" si="6"/>
        <v>Target</v>
      </c>
      <c r="P60" s="51">
        <f t="shared" si="7"/>
        <v>1</v>
      </c>
      <c r="Q60" s="51" t="str">
        <f t="shared" si="8"/>
        <v>Source</v>
      </c>
    </row>
    <row r="61">
      <c r="A61" s="48" t="s">
        <v>14</v>
      </c>
      <c r="B61" s="49" t="s">
        <v>519</v>
      </c>
      <c r="C61" s="49" t="s">
        <v>520</v>
      </c>
      <c r="D61" s="49" t="s">
        <v>521</v>
      </c>
      <c r="E61" s="49" t="s">
        <v>522</v>
      </c>
      <c r="F61" s="49" t="s">
        <v>527</v>
      </c>
      <c r="G61" s="49" t="s">
        <v>526</v>
      </c>
      <c r="H61" s="54">
        <v>3.0</v>
      </c>
      <c r="I61" s="54">
        <v>2.0</v>
      </c>
      <c r="J61" s="49">
        <f t="shared" ref="J61:K61" si="123">LEN(SUBSTITUTE(SUBSTITUTE(SUBSTITUTE(B61 ,"ˈ",""),"d̠ʒ","ʒ"),"t̠ʃ","ʃ"))</f>
        <v>5</v>
      </c>
      <c r="K61" s="44">
        <f t="shared" si="123"/>
        <v>5</v>
      </c>
      <c r="L61" s="51">
        <f t="shared" ref="L61:M61" si="124">LEN(D61)-LEN(B61)+1</f>
        <v>3</v>
      </c>
      <c r="M61" s="51">
        <f t="shared" si="124"/>
        <v>2</v>
      </c>
      <c r="N61" s="51">
        <f t="shared" si="5"/>
        <v>0</v>
      </c>
      <c r="O61" s="51" t="str">
        <f t="shared" si="6"/>
        <v>Equal</v>
      </c>
      <c r="P61" s="51">
        <f t="shared" si="7"/>
        <v>1</v>
      </c>
      <c r="Q61" s="51" t="str">
        <f t="shared" si="8"/>
        <v>Source</v>
      </c>
    </row>
    <row r="62">
      <c r="A62" s="48" t="s">
        <v>14</v>
      </c>
      <c r="B62" s="49" t="s">
        <v>528</v>
      </c>
      <c r="C62" s="49" t="s">
        <v>529</v>
      </c>
      <c r="D62" s="49" t="s">
        <v>530</v>
      </c>
      <c r="E62" s="49" t="s">
        <v>531</v>
      </c>
      <c r="F62" s="49" t="s">
        <v>534</v>
      </c>
      <c r="G62" s="49" t="s">
        <v>535</v>
      </c>
      <c r="H62" s="54">
        <v>2.0</v>
      </c>
      <c r="I62" s="54">
        <v>2.0</v>
      </c>
      <c r="J62" s="49">
        <f t="shared" ref="J62:K62" si="125">LEN(SUBSTITUTE(SUBSTITUTE(SUBSTITUTE(B62 ,"ˈ",""),"d̠ʒ","ʒ"),"t̠ʃ","ʃ"))</f>
        <v>5</v>
      </c>
      <c r="K62" s="44">
        <f t="shared" si="125"/>
        <v>5</v>
      </c>
      <c r="L62" s="51">
        <f t="shared" ref="L62:M62" si="126">LEN(D62)-LEN(B62)+1</f>
        <v>2</v>
      </c>
      <c r="M62" s="51">
        <f t="shared" si="126"/>
        <v>2</v>
      </c>
      <c r="N62" s="51">
        <f t="shared" si="5"/>
        <v>0</v>
      </c>
      <c r="O62" s="51" t="str">
        <f t="shared" si="6"/>
        <v>Equal</v>
      </c>
      <c r="P62" s="51">
        <f t="shared" si="7"/>
        <v>0</v>
      </c>
      <c r="Q62" s="51" t="str">
        <f t="shared" si="8"/>
        <v>Equal</v>
      </c>
    </row>
    <row r="63">
      <c r="A63" s="48" t="s">
        <v>14</v>
      </c>
      <c r="B63" s="49" t="s">
        <v>536</v>
      </c>
      <c r="C63" s="49" t="s">
        <v>3650</v>
      </c>
      <c r="D63" s="49" t="s">
        <v>538</v>
      </c>
      <c r="E63" s="49" t="s">
        <v>3651</v>
      </c>
      <c r="F63" s="49" t="s">
        <v>254</v>
      </c>
      <c r="G63" s="49" t="s">
        <v>312</v>
      </c>
      <c r="H63" s="54">
        <v>2.0</v>
      </c>
      <c r="I63" s="54">
        <v>4.0</v>
      </c>
      <c r="J63" s="49">
        <f t="shared" ref="J63:K63" si="127">LEN(SUBSTITUTE(SUBSTITUTE(SUBSTITUTE(B63 ,"ˈ",""),"d̠ʒ","ʒ"),"t̠ʃ","ʃ"))</f>
        <v>4</v>
      </c>
      <c r="K63" s="44">
        <f t="shared" si="127"/>
        <v>9</v>
      </c>
      <c r="L63" s="51">
        <f t="shared" ref="L63:M63" si="128">LEN(D63)-LEN(B63)+1</f>
        <v>2</v>
      </c>
      <c r="M63" s="51">
        <f t="shared" si="128"/>
        <v>4</v>
      </c>
      <c r="N63" s="51">
        <f t="shared" si="5"/>
        <v>-5</v>
      </c>
      <c r="O63" s="51" t="str">
        <f t="shared" si="6"/>
        <v>Target</v>
      </c>
      <c r="P63" s="51">
        <f t="shared" si="7"/>
        <v>-2</v>
      </c>
      <c r="Q63" s="51" t="str">
        <f t="shared" si="8"/>
        <v>Target</v>
      </c>
    </row>
    <row r="64">
      <c r="A64" s="48" t="s">
        <v>14</v>
      </c>
      <c r="B64" s="49" t="s">
        <v>542</v>
      </c>
      <c r="C64" s="49" t="s">
        <v>543</v>
      </c>
      <c r="D64" s="49" t="s">
        <v>544</v>
      </c>
      <c r="E64" s="49" t="s">
        <v>545</v>
      </c>
      <c r="F64" s="49" t="s">
        <v>75</v>
      </c>
      <c r="G64" s="49" t="s">
        <v>75</v>
      </c>
      <c r="H64" s="54">
        <v>3.0</v>
      </c>
      <c r="I64" s="54">
        <v>2.0</v>
      </c>
      <c r="J64" s="49">
        <f t="shared" ref="J64:K64" si="129">LEN(SUBSTITUTE(SUBSTITUTE(SUBSTITUTE(B64 ,"ˈ",""),"d̠ʒ","ʒ"),"t̠ʃ","ʃ"))</f>
        <v>5</v>
      </c>
      <c r="K64" s="44">
        <f t="shared" si="129"/>
        <v>3</v>
      </c>
      <c r="L64" s="51">
        <f t="shared" ref="L64:M64" si="130">LEN(D64)-LEN(B64)+1</f>
        <v>3</v>
      </c>
      <c r="M64" s="51">
        <f t="shared" si="130"/>
        <v>2</v>
      </c>
      <c r="N64" s="51">
        <f t="shared" si="5"/>
        <v>2</v>
      </c>
      <c r="O64" s="51" t="str">
        <f t="shared" si="6"/>
        <v>Source</v>
      </c>
      <c r="P64" s="51">
        <f t="shared" si="7"/>
        <v>1</v>
      </c>
      <c r="Q64" s="51" t="str">
        <f t="shared" si="8"/>
        <v>Source</v>
      </c>
    </row>
    <row r="65">
      <c r="A65" s="48" t="s">
        <v>14</v>
      </c>
      <c r="B65" s="49" t="s">
        <v>335</v>
      </c>
      <c r="C65" s="49" t="s">
        <v>550</v>
      </c>
      <c r="D65" s="49" t="s">
        <v>335</v>
      </c>
      <c r="E65" s="49" t="s">
        <v>551</v>
      </c>
      <c r="F65" s="49" t="s">
        <v>36</v>
      </c>
      <c r="G65" s="49" t="s">
        <v>24</v>
      </c>
      <c r="H65" s="54" t="s">
        <v>36</v>
      </c>
      <c r="I65" s="54">
        <v>2.0</v>
      </c>
      <c r="J65" s="49">
        <f t="shared" ref="J65:K65" si="131">LEN(SUBSTITUTE(SUBSTITUTE(SUBSTITUTE(B65 ,"ˈ",""),"d̠ʒ","ʒ"),"t̠ʃ","ʃ"))</f>
        <v>2</v>
      </c>
      <c r="K65" s="44">
        <f t="shared" si="131"/>
        <v>3</v>
      </c>
      <c r="L65" s="51">
        <f t="shared" ref="L65:M65" si="132">LEN(D65)-LEN(B65)+1</f>
        <v>1</v>
      </c>
      <c r="M65" s="51">
        <f t="shared" si="132"/>
        <v>2</v>
      </c>
      <c r="N65" s="51">
        <f t="shared" si="5"/>
        <v>-1</v>
      </c>
      <c r="O65" s="51" t="str">
        <f t="shared" si="6"/>
        <v>Target</v>
      </c>
      <c r="P65" s="51">
        <f t="shared" si="7"/>
        <v>-1</v>
      </c>
      <c r="Q65" s="51" t="str">
        <f t="shared" si="8"/>
        <v>Target</v>
      </c>
    </row>
    <row r="66">
      <c r="A66" s="48" t="s">
        <v>14</v>
      </c>
      <c r="B66" s="49" t="s">
        <v>554</v>
      </c>
      <c r="C66" s="49" t="s">
        <v>555</v>
      </c>
      <c r="D66" s="49" t="s">
        <v>556</v>
      </c>
      <c r="E66" s="49" t="s">
        <v>557</v>
      </c>
      <c r="F66" s="49" t="s">
        <v>3652</v>
      </c>
      <c r="G66" s="49" t="s">
        <v>437</v>
      </c>
      <c r="H66" s="54">
        <v>3.0</v>
      </c>
      <c r="I66" s="54">
        <v>2.0</v>
      </c>
      <c r="J66" s="49">
        <f t="shared" ref="J66:K66" si="133">LEN(SUBSTITUTE(SUBSTITUTE(SUBSTITUTE(B66 ,"ˈ",""),"d̠ʒ","ʒ"),"t̠ʃ","ʃ"))</f>
        <v>5</v>
      </c>
      <c r="K66" s="44">
        <f t="shared" si="133"/>
        <v>4</v>
      </c>
      <c r="L66" s="51">
        <f t="shared" ref="L66:M66" si="134">LEN(D66)-LEN(B66)+1</f>
        <v>3</v>
      </c>
      <c r="M66" s="51">
        <f t="shared" si="134"/>
        <v>2</v>
      </c>
      <c r="N66" s="51">
        <f t="shared" si="5"/>
        <v>1</v>
      </c>
      <c r="O66" s="51" t="str">
        <f t="shared" si="6"/>
        <v>Source</v>
      </c>
      <c r="P66" s="51">
        <f t="shared" si="7"/>
        <v>1</v>
      </c>
      <c r="Q66" s="51" t="str">
        <f t="shared" si="8"/>
        <v>Source</v>
      </c>
    </row>
    <row r="67">
      <c r="A67" s="48" t="s">
        <v>14</v>
      </c>
      <c r="B67" s="49" t="s">
        <v>561</v>
      </c>
      <c r="C67" s="49" t="s">
        <v>3653</v>
      </c>
      <c r="D67" s="49" t="s">
        <v>563</v>
      </c>
      <c r="E67" s="49" t="s">
        <v>3654</v>
      </c>
      <c r="F67" s="49" t="s">
        <v>362</v>
      </c>
      <c r="G67" s="49" t="s">
        <v>953</v>
      </c>
      <c r="H67" s="54">
        <v>2.0</v>
      </c>
      <c r="I67" s="54">
        <v>3.0</v>
      </c>
      <c r="J67" s="49">
        <f t="shared" ref="J67:K67" si="135">LEN(SUBSTITUTE(SUBSTITUTE(SUBSTITUTE(B67 ,"ˈ",""),"d̠ʒ","ʒ"),"t̠ʃ","ʃ"))</f>
        <v>4</v>
      </c>
      <c r="K67" s="44">
        <f t="shared" si="135"/>
        <v>6</v>
      </c>
      <c r="L67" s="51">
        <f t="shared" ref="L67:M67" si="136">LEN(D67)-LEN(B67)+1</f>
        <v>2</v>
      </c>
      <c r="M67" s="51">
        <f t="shared" si="136"/>
        <v>3</v>
      </c>
      <c r="N67" s="51">
        <f t="shared" si="5"/>
        <v>-2</v>
      </c>
      <c r="O67" s="51" t="str">
        <f t="shared" si="6"/>
        <v>Target</v>
      </c>
      <c r="P67" s="51">
        <f t="shared" si="7"/>
        <v>-1</v>
      </c>
      <c r="Q67" s="51" t="str">
        <f t="shared" si="8"/>
        <v>Target</v>
      </c>
    </row>
    <row r="68">
      <c r="A68" s="48" t="s">
        <v>14</v>
      </c>
      <c r="B68" s="49" t="s">
        <v>567</v>
      </c>
      <c r="C68" s="49" t="s">
        <v>574</v>
      </c>
      <c r="D68" s="52" t="s">
        <v>569</v>
      </c>
      <c r="E68" s="49" t="s">
        <v>574</v>
      </c>
      <c r="F68" s="52" t="s">
        <v>575</v>
      </c>
      <c r="G68" s="49" t="s">
        <v>36</v>
      </c>
      <c r="H68" s="54">
        <v>4.0</v>
      </c>
      <c r="I68" s="54" t="s">
        <v>36</v>
      </c>
      <c r="J68" s="49">
        <f t="shared" ref="J68:K68" si="137">LEN(SUBSTITUTE(SUBSTITUTE(SUBSTITUTE(B68 ,"ˈ",""),"d̠ʒ","ʒ"),"t̠ʃ","ʃ"))</f>
        <v>7</v>
      </c>
      <c r="K68" s="44">
        <f t="shared" si="137"/>
        <v>3</v>
      </c>
      <c r="L68" s="51">
        <f t="shared" ref="L68:M68" si="138">LEN(D68)-LEN(B68)+1</f>
        <v>4</v>
      </c>
      <c r="M68" s="51">
        <f t="shared" si="138"/>
        <v>1</v>
      </c>
      <c r="N68" s="51">
        <f t="shared" si="5"/>
        <v>4</v>
      </c>
      <c r="O68" s="51" t="str">
        <f t="shared" si="6"/>
        <v>Source</v>
      </c>
      <c r="P68" s="51">
        <f t="shared" si="7"/>
        <v>3</v>
      </c>
      <c r="Q68" s="51" t="str">
        <f t="shared" si="8"/>
        <v>Source</v>
      </c>
    </row>
    <row r="69">
      <c r="A69" s="48" t="s">
        <v>14</v>
      </c>
      <c r="B69" s="49" t="s">
        <v>577</v>
      </c>
      <c r="C69" s="48" t="s">
        <v>578</v>
      </c>
      <c r="D69" s="49" t="s">
        <v>579</v>
      </c>
      <c r="E69" s="49" t="s">
        <v>580</v>
      </c>
      <c r="F69" s="49" t="s">
        <v>62</v>
      </c>
      <c r="G69" s="49" t="s">
        <v>583</v>
      </c>
      <c r="H69" s="54">
        <v>2.0</v>
      </c>
      <c r="I69" s="54">
        <v>2.0</v>
      </c>
      <c r="J69" s="49">
        <f t="shared" ref="J69:K69" si="139">LEN(SUBSTITUTE(SUBSTITUTE(SUBSTITUTE(B69 ,"ˈ",""),"d̠ʒ","ʒ"),"t̠ʃ","ʃ"))</f>
        <v>4</v>
      </c>
      <c r="K69" s="44">
        <f t="shared" si="139"/>
        <v>5</v>
      </c>
      <c r="L69" s="51">
        <f t="shared" ref="L69:M69" si="140">LEN(D69)-LEN(B69)+1</f>
        <v>2</v>
      </c>
      <c r="M69" s="51">
        <f t="shared" si="140"/>
        <v>2</v>
      </c>
      <c r="N69" s="51">
        <f t="shared" si="5"/>
        <v>-1</v>
      </c>
      <c r="O69" s="51" t="str">
        <f t="shared" si="6"/>
        <v>Target</v>
      </c>
      <c r="P69" s="51">
        <f t="shared" si="7"/>
        <v>0</v>
      </c>
      <c r="Q69" s="51" t="str">
        <f t="shared" si="8"/>
        <v>Equal</v>
      </c>
    </row>
    <row r="70">
      <c r="A70" s="48" t="s">
        <v>14</v>
      </c>
      <c r="B70" s="49" t="s">
        <v>584</v>
      </c>
      <c r="C70" s="49" t="s">
        <v>585</v>
      </c>
      <c r="D70" s="49" t="s">
        <v>586</v>
      </c>
      <c r="E70" s="49" t="s">
        <v>587</v>
      </c>
      <c r="F70" s="49" t="s">
        <v>251</v>
      </c>
      <c r="G70" s="49" t="s">
        <v>591</v>
      </c>
      <c r="H70" s="54">
        <v>2.0</v>
      </c>
      <c r="I70" s="54">
        <v>3.0</v>
      </c>
      <c r="J70" s="49">
        <f t="shared" ref="J70:K70" si="141">LEN(SUBSTITUTE(SUBSTITUTE(SUBSTITUTE(B70 ,"ˈ",""),"d̠ʒ","ʒ"),"t̠ʃ","ʃ"))</f>
        <v>4</v>
      </c>
      <c r="K70" s="44">
        <f t="shared" si="141"/>
        <v>6</v>
      </c>
      <c r="L70" s="51">
        <f t="shared" ref="L70:M70" si="142">LEN(D70)-LEN(B70)+1</f>
        <v>2</v>
      </c>
      <c r="M70" s="51">
        <f t="shared" si="142"/>
        <v>3</v>
      </c>
      <c r="N70" s="51">
        <f t="shared" si="5"/>
        <v>-2</v>
      </c>
      <c r="O70" s="51" t="str">
        <f t="shared" si="6"/>
        <v>Target</v>
      </c>
      <c r="P70" s="51">
        <f t="shared" si="7"/>
        <v>-1</v>
      </c>
      <c r="Q70" s="51" t="str">
        <f t="shared" si="8"/>
        <v>Target</v>
      </c>
    </row>
    <row r="71">
      <c r="A71" s="48" t="s">
        <v>14</v>
      </c>
      <c r="B71" s="49" t="s">
        <v>592</v>
      </c>
      <c r="C71" s="49" t="s">
        <v>593</v>
      </c>
      <c r="D71" s="49" t="s">
        <v>594</v>
      </c>
      <c r="E71" s="49" t="s">
        <v>595</v>
      </c>
      <c r="F71" s="49" t="s">
        <v>599</v>
      </c>
      <c r="G71" s="49" t="s">
        <v>583</v>
      </c>
      <c r="H71" s="54">
        <v>2.0</v>
      </c>
      <c r="I71" s="54">
        <v>2.0</v>
      </c>
      <c r="J71" s="49">
        <f t="shared" ref="J71:K71" si="143">LEN(SUBSTITUTE(SUBSTITUTE(SUBSTITUTE(B71 ,"ˈ",""),"d̠ʒ","ʒ"),"t̠ʃ","ʃ"))</f>
        <v>4</v>
      </c>
      <c r="K71" s="44">
        <f t="shared" si="143"/>
        <v>5</v>
      </c>
      <c r="L71" s="51">
        <f t="shared" ref="L71:M71" si="144">LEN(D71)-LEN(B71)+1</f>
        <v>2</v>
      </c>
      <c r="M71" s="51">
        <f t="shared" si="144"/>
        <v>2</v>
      </c>
      <c r="N71" s="51">
        <f t="shared" si="5"/>
        <v>-1</v>
      </c>
      <c r="O71" s="51" t="str">
        <f t="shared" si="6"/>
        <v>Target</v>
      </c>
      <c r="P71" s="51">
        <f t="shared" si="7"/>
        <v>0</v>
      </c>
      <c r="Q71" s="51" t="str">
        <f t="shared" si="8"/>
        <v>Equal</v>
      </c>
    </row>
    <row r="72">
      <c r="A72" s="48" t="s">
        <v>14</v>
      </c>
      <c r="B72" s="49" t="s">
        <v>600</v>
      </c>
      <c r="C72" s="49" t="s">
        <v>601</v>
      </c>
      <c r="D72" s="49" t="s">
        <v>602</v>
      </c>
      <c r="E72" s="49" t="s">
        <v>603</v>
      </c>
      <c r="F72" s="49" t="s">
        <v>425</v>
      </c>
      <c r="G72" s="49" t="s">
        <v>425</v>
      </c>
      <c r="H72" s="54">
        <v>3.0</v>
      </c>
      <c r="I72" s="54">
        <v>3.0</v>
      </c>
      <c r="J72" s="49">
        <f t="shared" ref="J72:K72" si="145">LEN(SUBSTITUTE(SUBSTITUTE(SUBSTITUTE(B72 ,"ˈ",""),"d̠ʒ","ʒ"),"t̠ʃ","ʃ"))</f>
        <v>6</v>
      </c>
      <c r="K72" s="44">
        <f t="shared" si="145"/>
        <v>6</v>
      </c>
      <c r="L72" s="51">
        <f t="shared" ref="L72:M72" si="146">LEN(D72)-LEN(B72)+1</f>
        <v>3</v>
      </c>
      <c r="M72" s="51">
        <f t="shared" si="146"/>
        <v>3</v>
      </c>
      <c r="N72" s="51">
        <f t="shared" si="5"/>
        <v>0</v>
      </c>
      <c r="O72" s="51" t="str">
        <f t="shared" si="6"/>
        <v>Equal</v>
      </c>
      <c r="P72" s="51">
        <f t="shared" si="7"/>
        <v>0</v>
      </c>
      <c r="Q72" s="51" t="str">
        <f t="shared" si="8"/>
        <v>Equal</v>
      </c>
    </row>
    <row r="73">
      <c r="A73" s="48" t="s">
        <v>14</v>
      </c>
      <c r="B73" s="49" t="s">
        <v>606</v>
      </c>
      <c r="C73" s="49" t="s">
        <v>607</v>
      </c>
      <c r="D73" s="49" t="s">
        <v>608</v>
      </c>
      <c r="E73" s="49" t="s">
        <v>609</v>
      </c>
      <c r="F73" s="49" t="s">
        <v>98</v>
      </c>
      <c r="G73" s="49" t="s">
        <v>98</v>
      </c>
      <c r="H73" s="54">
        <v>3.0</v>
      </c>
      <c r="I73" s="54">
        <v>3.0</v>
      </c>
      <c r="J73" s="49">
        <f t="shared" ref="J73:K73" si="147">LEN(SUBSTITUTE(SUBSTITUTE(SUBSTITUTE(B73 ,"ˈ",""),"d̠ʒ","ʒ"),"t̠ʃ","ʃ"))</f>
        <v>6</v>
      </c>
      <c r="K73" s="44">
        <f t="shared" si="147"/>
        <v>7</v>
      </c>
      <c r="L73" s="51">
        <f t="shared" ref="L73:M73" si="148">LEN(D73)-LEN(B73)+1</f>
        <v>3</v>
      </c>
      <c r="M73" s="51">
        <f t="shared" si="148"/>
        <v>3</v>
      </c>
      <c r="N73" s="51">
        <f t="shared" si="5"/>
        <v>-1</v>
      </c>
      <c r="O73" s="51" t="str">
        <f t="shared" si="6"/>
        <v>Target</v>
      </c>
      <c r="P73" s="51">
        <f t="shared" si="7"/>
        <v>0</v>
      </c>
      <c r="Q73" s="51" t="str">
        <f t="shared" si="8"/>
        <v>Equal</v>
      </c>
    </row>
    <row r="74">
      <c r="A74" s="48" t="s">
        <v>14</v>
      </c>
      <c r="B74" s="49" t="s">
        <v>616</v>
      </c>
      <c r="C74" s="49" t="s">
        <v>617</v>
      </c>
      <c r="D74" s="49" t="s">
        <v>618</v>
      </c>
      <c r="E74" s="49" t="s">
        <v>619</v>
      </c>
      <c r="F74" s="49" t="s">
        <v>624</v>
      </c>
      <c r="G74" s="49" t="s">
        <v>75</v>
      </c>
      <c r="H74" s="54">
        <v>3.0</v>
      </c>
      <c r="I74" s="54">
        <v>3.0</v>
      </c>
      <c r="J74" s="49">
        <f t="shared" ref="J74:K74" si="149">LEN(SUBSTITUTE(SUBSTITUTE(SUBSTITUTE(B74 ,"ˈ",""),"d̠ʒ","ʒ"),"t̠ʃ","ʃ"))</f>
        <v>5</v>
      </c>
      <c r="K74" s="44">
        <f t="shared" si="149"/>
        <v>6</v>
      </c>
      <c r="L74" s="51">
        <f t="shared" ref="L74:M74" si="150">LEN(D74)-LEN(B74)+1</f>
        <v>2</v>
      </c>
      <c r="M74" s="51">
        <f t="shared" si="150"/>
        <v>3</v>
      </c>
      <c r="N74" s="51">
        <f t="shared" si="5"/>
        <v>-1</v>
      </c>
      <c r="O74" s="51" t="str">
        <f t="shared" si="6"/>
        <v>Target</v>
      </c>
      <c r="P74" s="51">
        <f t="shared" si="7"/>
        <v>-1</v>
      </c>
      <c r="Q74" s="51" t="str">
        <f t="shared" si="8"/>
        <v>Target</v>
      </c>
    </row>
    <row r="75">
      <c r="A75" s="48" t="s">
        <v>14</v>
      </c>
      <c r="B75" s="49" t="s">
        <v>625</v>
      </c>
      <c r="C75" s="49" t="s">
        <v>626</v>
      </c>
      <c r="D75" s="49" t="s">
        <v>627</v>
      </c>
      <c r="E75" s="49" t="s">
        <v>628</v>
      </c>
      <c r="F75" s="49" t="s">
        <v>402</v>
      </c>
      <c r="G75" s="49" t="s">
        <v>402</v>
      </c>
      <c r="H75" s="54">
        <v>2.0</v>
      </c>
      <c r="I75" s="54">
        <v>2.0</v>
      </c>
      <c r="J75" s="49">
        <f t="shared" ref="J75:K75" si="151">LEN(SUBSTITUTE(SUBSTITUTE(SUBSTITUTE(B75 ,"ˈ",""),"d̠ʒ","ʒ"),"t̠ʃ","ʃ"))</f>
        <v>4</v>
      </c>
      <c r="K75" s="44">
        <f t="shared" si="151"/>
        <v>5</v>
      </c>
      <c r="L75" s="51">
        <f t="shared" ref="L75:M75" si="152">LEN(D75)-LEN(B75)+1</f>
        <v>2</v>
      </c>
      <c r="M75" s="51">
        <f t="shared" si="152"/>
        <v>2</v>
      </c>
      <c r="N75" s="51">
        <f t="shared" si="5"/>
        <v>-1</v>
      </c>
      <c r="O75" s="51" t="str">
        <f t="shared" si="6"/>
        <v>Target</v>
      </c>
      <c r="P75" s="51">
        <f t="shared" si="7"/>
        <v>0</v>
      </c>
      <c r="Q75" s="51" t="str">
        <f t="shared" si="8"/>
        <v>Equal</v>
      </c>
    </row>
    <row r="76">
      <c r="A76" s="48" t="s">
        <v>14</v>
      </c>
      <c r="B76" s="49" t="s">
        <v>633</v>
      </c>
      <c r="C76" s="49" t="s">
        <v>634</v>
      </c>
      <c r="D76" s="49" t="s">
        <v>635</v>
      </c>
      <c r="E76" s="49" t="s">
        <v>636</v>
      </c>
      <c r="F76" s="56" t="s">
        <v>425</v>
      </c>
      <c r="G76" s="49" t="s">
        <v>65</v>
      </c>
      <c r="H76" s="54">
        <v>2.0</v>
      </c>
      <c r="I76" s="54">
        <v>8.0</v>
      </c>
      <c r="J76" s="49">
        <f t="shared" ref="J76:K76" si="153">LEN(SUBSTITUTE(SUBSTITUTE(SUBSTITUTE(B76 ,"ˈ",""),"d̠ʒ","ʒ"),"t̠ʃ","ʃ"))</f>
        <v>5</v>
      </c>
      <c r="K76" s="44">
        <f t="shared" si="153"/>
        <v>18</v>
      </c>
      <c r="L76" s="51">
        <f t="shared" ref="L76:M76" si="154">LEN(D76)-LEN(B76)+1</f>
        <v>2</v>
      </c>
      <c r="M76" s="51">
        <f t="shared" si="154"/>
        <v>7</v>
      </c>
      <c r="N76" s="51">
        <f t="shared" si="5"/>
        <v>-13</v>
      </c>
      <c r="O76" s="51" t="str">
        <f t="shared" si="6"/>
        <v>Target</v>
      </c>
      <c r="P76" s="51">
        <f t="shared" si="7"/>
        <v>-5</v>
      </c>
      <c r="Q76" s="51" t="str">
        <f t="shared" si="8"/>
        <v>Target</v>
      </c>
    </row>
    <row r="77">
      <c r="A77" s="48" t="s">
        <v>14</v>
      </c>
      <c r="B77" s="49" t="s">
        <v>639</v>
      </c>
      <c r="C77" s="49" t="s">
        <v>640</v>
      </c>
      <c r="D77" s="52" t="s">
        <v>641</v>
      </c>
      <c r="E77" s="49" t="s">
        <v>642</v>
      </c>
      <c r="F77" s="52" t="s">
        <v>419</v>
      </c>
      <c r="G77" s="49" t="s">
        <v>425</v>
      </c>
      <c r="H77" s="54">
        <v>2.0</v>
      </c>
      <c r="I77" s="54">
        <v>2.0</v>
      </c>
      <c r="J77" s="49">
        <f t="shared" ref="J77:K77" si="155">LEN(SUBSTITUTE(SUBSTITUTE(SUBSTITUTE(B77 ,"ˈ",""),"d̠ʒ","ʒ"),"t̠ʃ","ʃ"))</f>
        <v>5</v>
      </c>
      <c r="K77" s="44">
        <f t="shared" si="155"/>
        <v>5</v>
      </c>
      <c r="L77" s="51">
        <f t="shared" ref="L77:M77" si="156">LEN(D77)-LEN(B77)+1</f>
        <v>2</v>
      </c>
      <c r="M77" s="51">
        <f t="shared" si="156"/>
        <v>2</v>
      </c>
      <c r="N77" s="51">
        <f t="shared" si="5"/>
        <v>0</v>
      </c>
      <c r="O77" s="51" t="str">
        <f t="shared" si="6"/>
        <v>Equal</v>
      </c>
      <c r="P77" s="51">
        <f t="shared" si="7"/>
        <v>0</v>
      </c>
      <c r="Q77" s="51" t="str">
        <f t="shared" si="8"/>
        <v>Equal</v>
      </c>
    </row>
    <row r="78">
      <c r="A78" s="48" t="s">
        <v>14</v>
      </c>
      <c r="B78" s="49" t="s">
        <v>647</v>
      </c>
      <c r="C78" s="49" t="s">
        <v>648</v>
      </c>
      <c r="D78" s="52" t="s">
        <v>649</v>
      </c>
      <c r="E78" s="49" t="s">
        <v>650</v>
      </c>
      <c r="F78" s="52" t="s">
        <v>190</v>
      </c>
      <c r="G78" s="49" t="s">
        <v>190</v>
      </c>
      <c r="H78" s="54">
        <v>4.0</v>
      </c>
      <c r="I78" s="54">
        <v>4.0</v>
      </c>
      <c r="J78" s="49">
        <f t="shared" ref="J78:K78" si="157">LEN(SUBSTITUTE(SUBSTITUTE(SUBSTITUTE(B78 ,"ˈ",""),"d̠ʒ","ʒ"),"t̠ʃ","ʃ"))</f>
        <v>7</v>
      </c>
      <c r="K78" s="44">
        <f t="shared" si="157"/>
        <v>9</v>
      </c>
      <c r="L78" s="51">
        <f t="shared" ref="L78:M78" si="158">LEN(D78)-LEN(B78)+1</f>
        <v>3</v>
      </c>
      <c r="M78" s="51">
        <f t="shared" si="158"/>
        <v>4</v>
      </c>
      <c r="N78" s="51">
        <f t="shared" si="5"/>
        <v>-2</v>
      </c>
      <c r="O78" s="51" t="str">
        <f t="shared" si="6"/>
        <v>Target</v>
      </c>
      <c r="P78" s="51">
        <f t="shared" si="7"/>
        <v>-1</v>
      </c>
      <c r="Q78" s="51" t="str">
        <f t="shared" si="8"/>
        <v>Target</v>
      </c>
    </row>
    <row r="79">
      <c r="A79" s="48" t="s">
        <v>14</v>
      </c>
      <c r="B79" s="49" t="s">
        <v>655</v>
      </c>
      <c r="C79" s="49" t="s">
        <v>656</v>
      </c>
      <c r="D79" s="49" t="s">
        <v>657</v>
      </c>
      <c r="E79" s="49" t="s">
        <v>658</v>
      </c>
      <c r="F79" s="49" t="s">
        <v>661</v>
      </c>
      <c r="G79" s="49" t="s">
        <v>662</v>
      </c>
      <c r="H79" s="54">
        <v>2.0</v>
      </c>
      <c r="I79" s="54">
        <v>2.0</v>
      </c>
      <c r="J79" s="49">
        <f t="shared" ref="J79:K79" si="159">LEN(SUBSTITUTE(SUBSTITUTE(SUBSTITUTE(B79 ,"ˈ",""),"d̠ʒ","ʒ"),"t̠ʃ","ʃ"))</f>
        <v>4</v>
      </c>
      <c r="K79" s="44">
        <f t="shared" si="159"/>
        <v>4</v>
      </c>
      <c r="L79" s="51">
        <f t="shared" ref="L79:M79" si="160">LEN(D79)-LEN(B79)+1</f>
        <v>2</v>
      </c>
      <c r="M79" s="51">
        <f t="shared" si="160"/>
        <v>2</v>
      </c>
      <c r="N79" s="51">
        <f t="shared" si="5"/>
        <v>0</v>
      </c>
      <c r="O79" s="51" t="str">
        <f t="shared" si="6"/>
        <v>Equal</v>
      </c>
      <c r="P79" s="51">
        <f t="shared" si="7"/>
        <v>0</v>
      </c>
      <c r="Q79" s="51" t="str">
        <f t="shared" si="8"/>
        <v>Equal</v>
      </c>
    </row>
    <row r="80">
      <c r="A80" s="48" t="s">
        <v>14</v>
      </c>
      <c r="B80" s="49" t="s">
        <v>663</v>
      </c>
      <c r="C80" s="49" t="s">
        <v>664</v>
      </c>
      <c r="D80" s="49" t="s">
        <v>663</v>
      </c>
      <c r="E80" s="49" t="s">
        <v>665</v>
      </c>
      <c r="F80" s="49" t="s">
        <v>36</v>
      </c>
      <c r="G80" s="49" t="s">
        <v>668</v>
      </c>
      <c r="H80" s="54" t="s">
        <v>36</v>
      </c>
      <c r="I80" s="54">
        <v>2.0</v>
      </c>
      <c r="J80" s="49">
        <f t="shared" ref="J80:K80" si="161">LEN(SUBSTITUTE(SUBSTITUTE(SUBSTITUTE(B80 ,"ˈ",""),"d̠ʒ","ʒ"),"t̠ʃ","ʃ"))</f>
        <v>2</v>
      </c>
      <c r="K80" s="44">
        <f t="shared" si="161"/>
        <v>4</v>
      </c>
      <c r="L80" s="51">
        <f t="shared" ref="L80:M80" si="162">LEN(D80)-LEN(B80)+1</f>
        <v>1</v>
      </c>
      <c r="M80" s="51">
        <f t="shared" si="162"/>
        <v>2</v>
      </c>
      <c r="N80" s="51">
        <f t="shared" si="5"/>
        <v>-2</v>
      </c>
      <c r="O80" s="51" t="str">
        <f t="shared" si="6"/>
        <v>Target</v>
      </c>
      <c r="P80" s="51">
        <f t="shared" si="7"/>
        <v>-1</v>
      </c>
      <c r="Q80" s="51" t="str">
        <f t="shared" si="8"/>
        <v>Target</v>
      </c>
    </row>
    <row r="81">
      <c r="A81" s="48" t="s">
        <v>14</v>
      </c>
      <c r="B81" s="49" t="s">
        <v>669</v>
      </c>
      <c r="C81" s="49" t="s">
        <v>670</v>
      </c>
      <c r="D81" s="49" t="s">
        <v>671</v>
      </c>
      <c r="E81" s="49" t="s">
        <v>672</v>
      </c>
      <c r="F81" s="49" t="s">
        <v>158</v>
      </c>
      <c r="G81" s="49" t="s">
        <v>158</v>
      </c>
      <c r="H81" s="54">
        <v>3.0</v>
      </c>
      <c r="I81" s="54">
        <v>2.0</v>
      </c>
      <c r="J81" s="49">
        <f t="shared" ref="J81:K81" si="163">LEN(SUBSTITUTE(SUBSTITUTE(SUBSTITUTE(B81 ,"ˈ",""),"d̠ʒ","ʒ"),"t̠ʃ","ʃ"))</f>
        <v>6</v>
      </c>
      <c r="K81" s="44">
        <f t="shared" si="163"/>
        <v>5</v>
      </c>
      <c r="L81" s="51">
        <f t="shared" ref="L81:M81" si="164">LEN(D81)-LEN(B81)+1</f>
        <v>3</v>
      </c>
      <c r="M81" s="51">
        <f t="shared" si="164"/>
        <v>2</v>
      </c>
      <c r="N81" s="51">
        <f t="shared" si="5"/>
        <v>1</v>
      </c>
      <c r="O81" s="51" t="str">
        <f t="shared" si="6"/>
        <v>Source</v>
      </c>
      <c r="P81" s="51">
        <f t="shared" si="7"/>
        <v>1</v>
      </c>
      <c r="Q81" s="51" t="str">
        <f t="shared" si="8"/>
        <v>Source</v>
      </c>
    </row>
    <row r="82">
      <c r="A82" s="48" t="s">
        <v>14</v>
      </c>
      <c r="B82" s="49" t="s">
        <v>676</v>
      </c>
      <c r="C82" s="49" t="s">
        <v>677</v>
      </c>
      <c r="D82" s="49" t="s">
        <v>678</v>
      </c>
      <c r="E82" s="49" t="s">
        <v>679</v>
      </c>
      <c r="F82" s="49" t="s">
        <v>213</v>
      </c>
      <c r="G82" s="49" t="s">
        <v>682</v>
      </c>
      <c r="H82" s="54">
        <v>3.0</v>
      </c>
      <c r="I82" s="54">
        <v>3.0</v>
      </c>
      <c r="J82" s="49">
        <f t="shared" ref="J82:K82" si="165">LEN(SUBSTITUTE(SUBSTITUTE(SUBSTITUTE(B82 ,"ˈ",""),"d̠ʒ","ʒ"),"t̠ʃ","ʃ"))</f>
        <v>6</v>
      </c>
      <c r="K82" s="44">
        <f t="shared" si="165"/>
        <v>9</v>
      </c>
      <c r="L82" s="51">
        <f t="shared" ref="L82:M82" si="166">LEN(D82)-LEN(B82)+1</f>
        <v>3</v>
      </c>
      <c r="M82" s="51">
        <f t="shared" si="166"/>
        <v>3</v>
      </c>
      <c r="N82" s="51">
        <f t="shared" si="5"/>
        <v>-3</v>
      </c>
      <c r="O82" s="51" t="str">
        <f t="shared" si="6"/>
        <v>Target</v>
      </c>
      <c r="P82" s="51">
        <f t="shared" si="7"/>
        <v>0</v>
      </c>
      <c r="Q82" s="51" t="str">
        <f t="shared" si="8"/>
        <v>Equal</v>
      </c>
    </row>
    <row r="83">
      <c r="A83" s="48" t="s">
        <v>14</v>
      </c>
      <c r="B83" s="49" t="s">
        <v>683</v>
      </c>
      <c r="C83" s="49" t="s">
        <v>684</v>
      </c>
      <c r="D83" s="49" t="s">
        <v>685</v>
      </c>
      <c r="E83" s="49" t="s">
        <v>686</v>
      </c>
      <c r="F83" s="49" t="s">
        <v>689</v>
      </c>
      <c r="G83" s="49" t="s">
        <v>690</v>
      </c>
      <c r="H83" s="54">
        <v>2.0</v>
      </c>
      <c r="I83" s="54">
        <v>2.0</v>
      </c>
      <c r="J83" s="49">
        <f t="shared" ref="J83:K83" si="167">LEN(SUBSTITUTE(SUBSTITUTE(SUBSTITUTE(B83 ,"ˈ",""),"d̠ʒ","ʒ"),"t̠ʃ","ʃ"))</f>
        <v>4</v>
      </c>
      <c r="K83" s="44">
        <f t="shared" si="167"/>
        <v>4</v>
      </c>
      <c r="L83" s="51">
        <f t="shared" ref="L83:M83" si="168">LEN(D83)-LEN(B83)+1</f>
        <v>2</v>
      </c>
      <c r="M83" s="51">
        <f t="shared" si="168"/>
        <v>2</v>
      </c>
      <c r="N83" s="51">
        <f t="shared" si="5"/>
        <v>0</v>
      </c>
      <c r="O83" s="51" t="str">
        <f t="shared" si="6"/>
        <v>Equal</v>
      </c>
      <c r="P83" s="51">
        <f t="shared" si="7"/>
        <v>0</v>
      </c>
      <c r="Q83" s="51" t="str">
        <f t="shared" si="8"/>
        <v>Equal</v>
      </c>
    </row>
    <row r="84">
      <c r="A84" s="48" t="s">
        <v>14</v>
      </c>
      <c r="B84" s="49" t="s">
        <v>691</v>
      </c>
      <c r="C84" s="49" t="s">
        <v>692</v>
      </c>
      <c r="D84" s="49" t="s">
        <v>693</v>
      </c>
      <c r="E84" s="49" t="s">
        <v>694</v>
      </c>
      <c r="F84" s="49" t="s">
        <v>181</v>
      </c>
      <c r="G84" s="49" t="s">
        <v>428</v>
      </c>
      <c r="H84" s="54">
        <v>3.0</v>
      </c>
      <c r="I84" s="54">
        <v>3.0</v>
      </c>
      <c r="J84" s="49">
        <f t="shared" ref="J84:K84" si="169">LEN(SUBSTITUTE(SUBSTITUTE(SUBSTITUTE(B84 ,"ˈ",""),"d̠ʒ","ʒ"),"t̠ʃ","ʃ"))</f>
        <v>7</v>
      </c>
      <c r="K84" s="44">
        <f t="shared" si="169"/>
        <v>10</v>
      </c>
      <c r="L84" s="51">
        <f t="shared" ref="L84:M84" si="170">LEN(D84)-LEN(B84)+1</f>
        <v>3</v>
      </c>
      <c r="M84" s="51">
        <f t="shared" si="170"/>
        <v>3</v>
      </c>
      <c r="N84" s="51">
        <f t="shared" si="5"/>
        <v>-3</v>
      </c>
      <c r="O84" s="51" t="str">
        <f t="shared" si="6"/>
        <v>Target</v>
      </c>
      <c r="P84" s="51">
        <f t="shared" si="7"/>
        <v>0</v>
      </c>
      <c r="Q84" s="51" t="str">
        <f t="shared" si="8"/>
        <v>Equal</v>
      </c>
    </row>
    <row r="85">
      <c r="A85" s="48" t="s">
        <v>14</v>
      </c>
      <c r="B85" s="49" t="s">
        <v>698</v>
      </c>
      <c r="C85" s="49" t="s">
        <v>699</v>
      </c>
      <c r="D85" s="49" t="s">
        <v>700</v>
      </c>
      <c r="E85" s="49" t="s">
        <v>701</v>
      </c>
      <c r="F85" s="49" t="s">
        <v>706</v>
      </c>
      <c r="G85" s="49" t="s">
        <v>707</v>
      </c>
      <c r="H85" s="54">
        <v>2.0</v>
      </c>
      <c r="I85" s="54">
        <v>2.0</v>
      </c>
      <c r="J85" s="49">
        <f t="shared" ref="J85:K85" si="171">LEN(SUBSTITUTE(SUBSTITUTE(SUBSTITUTE(B85 ,"ˈ",""),"d̠ʒ","ʒ"),"t̠ʃ","ʃ"))</f>
        <v>5</v>
      </c>
      <c r="K85" s="44">
        <f t="shared" si="171"/>
        <v>8</v>
      </c>
      <c r="L85" s="51">
        <f t="shared" ref="L85:M85" si="172">LEN(D85)-LEN(B85)+1</f>
        <v>2</v>
      </c>
      <c r="M85" s="51">
        <f t="shared" si="172"/>
        <v>2</v>
      </c>
      <c r="N85" s="51">
        <f t="shared" si="5"/>
        <v>-3</v>
      </c>
      <c r="O85" s="51" t="str">
        <f t="shared" si="6"/>
        <v>Target</v>
      </c>
      <c r="P85" s="51">
        <f t="shared" si="7"/>
        <v>0</v>
      </c>
      <c r="Q85" s="51" t="str">
        <f t="shared" si="8"/>
        <v>Equal</v>
      </c>
    </row>
    <row r="86">
      <c r="A86" s="48" t="s">
        <v>14</v>
      </c>
      <c r="B86" s="49" t="s">
        <v>708</v>
      </c>
      <c r="C86" s="49" t="s">
        <v>709</v>
      </c>
      <c r="D86" s="49" t="s">
        <v>710</v>
      </c>
      <c r="E86" s="49" t="s">
        <v>711</v>
      </c>
      <c r="F86" s="49" t="s">
        <v>402</v>
      </c>
      <c r="G86" s="49" t="s">
        <v>402</v>
      </c>
      <c r="H86" s="54">
        <v>3.0</v>
      </c>
      <c r="I86" s="54">
        <v>3.0</v>
      </c>
      <c r="J86" s="49">
        <f t="shared" ref="J86:K86" si="173">LEN(SUBSTITUTE(SUBSTITUTE(SUBSTITUTE(B86 ,"ˈ",""),"d̠ʒ","ʒ"),"t̠ʃ","ʃ"))</f>
        <v>6</v>
      </c>
      <c r="K86" s="44">
        <f t="shared" si="173"/>
        <v>7</v>
      </c>
      <c r="L86" s="51">
        <f t="shared" ref="L86:M86" si="174">LEN(D86)-LEN(B86)+1</f>
        <v>3</v>
      </c>
      <c r="M86" s="51">
        <f t="shared" si="174"/>
        <v>3</v>
      </c>
      <c r="N86" s="51">
        <f t="shared" si="5"/>
        <v>-1</v>
      </c>
      <c r="O86" s="51" t="str">
        <f t="shared" si="6"/>
        <v>Target</v>
      </c>
      <c r="P86" s="51">
        <f t="shared" si="7"/>
        <v>0</v>
      </c>
      <c r="Q86" s="51" t="str">
        <f t="shared" si="8"/>
        <v>Equal</v>
      </c>
    </row>
    <row r="87">
      <c r="A87" s="48" t="s">
        <v>14</v>
      </c>
      <c r="B87" s="49" t="s">
        <v>716</v>
      </c>
      <c r="C87" s="49" t="s">
        <v>717</v>
      </c>
      <c r="D87" s="49" t="s">
        <v>718</v>
      </c>
      <c r="E87" s="49" t="s">
        <v>719</v>
      </c>
      <c r="F87" s="49" t="s">
        <v>724</v>
      </c>
      <c r="G87" s="49" t="s">
        <v>724</v>
      </c>
      <c r="H87" s="54">
        <v>2.0</v>
      </c>
      <c r="I87" s="54">
        <v>2.0</v>
      </c>
      <c r="J87" s="49">
        <f t="shared" ref="J87:K87" si="175">LEN(SUBSTITUTE(SUBSTITUTE(SUBSTITUTE(B87 ,"ˈ",""),"d̠ʒ","ʒ"),"t̠ʃ","ʃ"))</f>
        <v>4</v>
      </c>
      <c r="K87" s="44">
        <f t="shared" si="175"/>
        <v>5</v>
      </c>
      <c r="L87" s="51">
        <f t="shared" ref="L87:M87" si="176">LEN(D87)-LEN(B87)+1</f>
        <v>2</v>
      </c>
      <c r="M87" s="51">
        <f t="shared" si="176"/>
        <v>2</v>
      </c>
      <c r="N87" s="51">
        <f t="shared" si="5"/>
        <v>-1</v>
      </c>
      <c r="O87" s="51" t="str">
        <f t="shared" si="6"/>
        <v>Target</v>
      </c>
      <c r="P87" s="51">
        <f t="shared" si="7"/>
        <v>0</v>
      </c>
      <c r="Q87" s="51" t="str">
        <f t="shared" si="8"/>
        <v>Equal</v>
      </c>
    </row>
    <row r="88">
      <c r="A88" s="48" t="s">
        <v>14</v>
      </c>
      <c r="B88" s="49" t="s">
        <v>725</v>
      </c>
      <c r="C88" s="49" t="s">
        <v>726</v>
      </c>
      <c r="D88" s="49" t="s">
        <v>727</v>
      </c>
      <c r="E88" s="49" t="s">
        <v>728</v>
      </c>
      <c r="F88" s="49" t="s">
        <v>731</v>
      </c>
      <c r="G88" s="49" t="s">
        <v>334</v>
      </c>
      <c r="H88" s="54">
        <v>2.0</v>
      </c>
      <c r="I88" s="54">
        <v>2.0</v>
      </c>
      <c r="J88" s="49">
        <f t="shared" ref="J88:K88" si="177">LEN(SUBSTITUTE(SUBSTITUTE(SUBSTITUTE(B88 ,"ˈ",""),"d̠ʒ","ʒ"),"t̠ʃ","ʃ"))</f>
        <v>4</v>
      </c>
      <c r="K88" s="44">
        <f t="shared" si="177"/>
        <v>4</v>
      </c>
      <c r="L88" s="51">
        <f t="shared" ref="L88:M88" si="178">LEN(D88)-LEN(B88)+1</f>
        <v>2</v>
      </c>
      <c r="M88" s="51">
        <f t="shared" si="178"/>
        <v>2</v>
      </c>
      <c r="N88" s="51">
        <f t="shared" si="5"/>
        <v>0</v>
      </c>
      <c r="O88" s="51" t="str">
        <f t="shared" si="6"/>
        <v>Equal</v>
      </c>
      <c r="P88" s="51">
        <f t="shared" si="7"/>
        <v>0</v>
      </c>
      <c r="Q88" s="51" t="str">
        <f t="shared" si="8"/>
        <v>Equal</v>
      </c>
    </row>
    <row r="89">
      <c r="A89" s="48" t="s">
        <v>14</v>
      </c>
      <c r="B89" s="49" t="s">
        <v>732</v>
      </c>
      <c r="C89" s="49" t="s">
        <v>3655</v>
      </c>
      <c r="D89" s="49" t="s">
        <v>734</v>
      </c>
      <c r="E89" s="49" t="s">
        <v>3656</v>
      </c>
      <c r="F89" s="49" t="s">
        <v>575</v>
      </c>
      <c r="G89" s="49" t="s">
        <v>3657</v>
      </c>
      <c r="H89" s="54">
        <v>2.0</v>
      </c>
      <c r="I89" s="54">
        <v>3.0</v>
      </c>
      <c r="J89" s="49">
        <f t="shared" ref="J89:K89" si="179">LEN(SUBSTITUTE(SUBSTITUTE(SUBSTITUTE(B89 ,"ˈ",""),"d̠ʒ","ʒ"),"t̠ʃ","ʃ"))</f>
        <v>4</v>
      </c>
      <c r="K89" s="44">
        <f t="shared" si="179"/>
        <v>6</v>
      </c>
      <c r="L89" s="51">
        <f t="shared" ref="L89:M89" si="180">LEN(D89)-LEN(B89)+1</f>
        <v>2</v>
      </c>
      <c r="M89" s="51">
        <f t="shared" si="180"/>
        <v>3</v>
      </c>
      <c r="N89" s="51">
        <f t="shared" si="5"/>
        <v>-2</v>
      </c>
      <c r="O89" s="51" t="str">
        <f t="shared" si="6"/>
        <v>Target</v>
      </c>
      <c r="P89" s="51">
        <f t="shared" si="7"/>
        <v>-1</v>
      </c>
      <c r="Q89" s="51" t="str">
        <f t="shared" si="8"/>
        <v>Target</v>
      </c>
    </row>
    <row r="90">
      <c r="A90" s="48" t="s">
        <v>14</v>
      </c>
      <c r="B90" s="49" t="s">
        <v>740</v>
      </c>
      <c r="C90" s="49" t="s">
        <v>741</v>
      </c>
      <c r="D90" s="52" t="s">
        <v>742</v>
      </c>
      <c r="E90" s="49" t="s">
        <v>743</v>
      </c>
      <c r="F90" s="52" t="s">
        <v>748</v>
      </c>
      <c r="G90" s="49" t="s">
        <v>75</v>
      </c>
      <c r="H90" s="54">
        <v>2.0</v>
      </c>
      <c r="I90" s="54">
        <v>3.0</v>
      </c>
      <c r="J90" s="49">
        <f t="shared" ref="J90:K90" si="181">LEN(SUBSTITUTE(SUBSTITUTE(SUBSTITUTE(B90 ,"ˈ",""),"d̠ʒ","ʒ"),"t̠ʃ","ʃ"))</f>
        <v>6</v>
      </c>
      <c r="K90" s="44">
        <f t="shared" si="181"/>
        <v>7</v>
      </c>
      <c r="L90" s="51">
        <f t="shared" ref="L90:M90" si="182">LEN(D90)-LEN(B90)+1</f>
        <v>2</v>
      </c>
      <c r="M90" s="51">
        <f t="shared" si="182"/>
        <v>3</v>
      </c>
      <c r="N90" s="51">
        <f t="shared" si="5"/>
        <v>-1</v>
      </c>
      <c r="O90" s="51" t="str">
        <f t="shared" si="6"/>
        <v>Target</v>
      </c>
      <c r="P90" s="51">
        <f t="shared" si="7"/>
        <v>-1</v>
      </c>
      <c r="Q90" s="51" t="str">
        <f t="shared" si="8"/>
        <v>Target</v>
      </c>
    </row>
    <row r="91">
      <c r="A91" s="48" t="s">
        <v>14</v>
      </c>
      <c r="B91" s="49" t="s">
        <v>749</v>
      </c>
      <c r="C91" s="49" t="s">
        <v>750</v>
      </c>
      <c r="D91" s="49" t="s">
        <v>751</v>
      </c>
      <c r="E91" s="49" t="s">
        <v>752</v>
      </c>
      <c r="F91" s="49" t="s">
        <v>757</v>
      </c>
      <c r="G91" s="49" t="s">
        <v>758</v>
      </c>
      <c r="H91" s="54">
        <v>2.0</v>
      </c>
      <c r="I91" s="54">
        <v>3.0</v>
      </c>
      <c r="J91" s="49">
        <f t="shared" ref="J91:K91" si="183">LEN(SUBSTITUTE(SUBSTITUTE(SUBSTITUTE(B91 ,"ˈ",""),"d̠ʒ","ʒ"),"t̠ʃ","ʃ"))</f>
        <v>5</v>
      </c>
      <c r="K91" s="44">
        <f t="shared" si="183"/>
        <v>7</v>
      </c>
      <c r="L91" s="51">
        <f t="shared" ref="L91:M91" si="184">LEN(D91)-LEN(B91)+1</f>
        <v>2</v>
      </c>
      <c r="M91" s="51">
        <f t="shared" si="184"/>
        <v>3</v>
      </c>
      <c r="N91" s="51">
        <f t="shared" si="5"/>
        <v>-2</v>
      </c>
      <c r="O91" s="51" t="str">
        <f t="shared" si="6"/>
        <v>Target</v>
      </c>
      <c r="P91" s="51">
        <f t="shared" si="7"/>
        <v>-1</v>
      </c>
      <c r="Q91" s="51" t="str">
        <f t="shared" si="8"/>
        <v>Target</v>
      </c>
    </row>
    <row r="92">
      <c r="A92" s="48" t="s">
        <v>14</v>
      </c>
      <c r="B92" s="49" t="s">
        <v>759</v>
      </c>
      <c r="C92" s="49" t="s">
        <v>760</v>
      </c>
      <c r="D92" s="52" t="s">
        <v>761</v>
      </c>
      <c r="E92" s="49" t="s">
        <v>762</v>
      </c>
      <c r="F92" s="52" t="s">
        <v>425</v>
      </c>
      <c r="G92" s="49" t="s">
        <v>425</v>
      </c>
      <c r="H92" s="54">
        <v>2.0</v>
      </c>
      <c r="I92" s="54">
        <v>2.0</v>
      </c>
      <c r="J92" s="49">
        <f t="shared" ref="J92:K92" si="185">LEN(SUBSTITUTE(SUBSTITUTE(SUBSTITUTE(B92 ,"ˈ",""),"d̠ʒ","ʒ"),"t̠ʃ","ʃ"))</f>
        <v>6</v>
      </c>
      <c r="K92" s="44">
        <f t="shared" si="185"/>
        <v>6</v>
      </c>
      <c r="L92" s="51">
        <f t="shared" ref="L92:M92" si="186">LEN(D92)-LEN(B92)+1</f>
        <v>2</v>
      </c>
      <c r="M92" s="51">
        <f t="shared" si="186"/>
        <v>2</v>
      </c>
      <c r="N92" s="51">
        <f t="shared" si="5"/>
        <v>0</v>
      </c>
      <c r="O92" s="51" t="str">
        <f t="shared" si="6"/>
        <v>Equal</v>
      </c>
      <c r="P92" s="51">
        <f t="shared" si="7"/>
        <v>0</v>
      </c>
      <c r="Q92" s="51" t="str">
        <f t="shared" si="8"/>
        <v>Equal</v>
      </c>
    </row>
    <row r="93">
      <c r="A93" s="48" t="s">
        <v>14</v>
      </c>
      <c r="B93" s="49" t="s">
        <v>420</v>
      </c>
      <c r="C93" s="49" t="s">
        <v>309</v>
      </c>
      <c r="D93" s="49" t="s">
        <v>420</v>
      </c>
      <c r="E93" s="49" t="s">
        <v>309</v>
      </c>
      <c r="F93" s="49" t="s">
        <v>420</v>
      </c>
      <c r="G93" s="49" t="s">
        <v>309</v>
      </c>
      <c r="H93" s="54">
        <v>1.0</v>
      </c>
      <c r="I93" s="54">
        <v>1.0</v>
      </c>
      <c r="J93" s="49">
        <f t="shared" ref="J93:K93" si="187">LEN(SUBSTITUTE(SUBSTITUTE(SUBSTITUTE(B93 ,"ˈ",""),"d̠ʒ","ʒ"),"t̠ʃ","ʃ"))</f>
        <v>2</v>
      </c>
      <c r="K93" s="44">
        <f t="shared" si="187"/>
        <v>3</v>
      </c>
      <c r="L93" s="51">
        <f t="shared" ref="L93:M93" si="188">LEN(D93)-LEN(B93)+1</f>
        <v>1</v>
      </c>
      <c r="M93" s="51">
        <f t="shared" si="188"/>
        <v>1</v>
      </c>
      <c r="N93" s="51">
        <f t="shared" si="5"/>
        <v>-1</v>
      </c>
      <c r="O93" s="51" t="str">
        <f t="shared" si="6"/>
        <v>Target</v>
      </c>
      <c r="P93" s="51">
        <f t="shared" si="7"/>
        <v>0</v>
      </c>
      <c r="Q93" s="51" t="str">
        <f t="shared" si="8"/>
        <v>Equal</v>
      </c>
    </row>
    <row r="94">
      <c r="A94" s="48" t="s">
        <v>14</v>
      </c>
      <c r="B94" s="49" t="s">
        <v>769</v>
      </c>
      <c r="C94" s="49" t="s">
        <v>770</v>
      </c>
      <c r="D94" s="49" t="s">
        <v>771</v>
      </c>
      <c r="E94" s="49" t="s">
        <v>772</v>
      </c>
      <c r="F94" s="49" t="s">
        <v>245</v>
      </c>
      <c r="G94" s="49" t="s">
        <v>245</v>
      </c>
      <c r="H94" s="54">
        <v>3.0</v>
      </c>
      <c r="I94" s="54">
        <v>4.0</v>
      </c>
      <c r="J94" s="49">
        <f t="shared" ref="J94:K94" si="189">LEN(SUBSTITUTE(SUBSTITUTE(SUBSTITUTE(B94 ,"ˈ",""),"d̠ʒ","ʒ"),"t̠ʃ","ʃ"))</f>
        <v>6</v>
      </c>
      <c r="K94" s="44">
        <f t="shared" si="189"/>
        <v>7</v>
      </c>
      <c r="L94" s="51">
        <f t="shared" ref="L94:M94" si="190">LEN(D94)-LEN(B94)+1</f>
        <v>3</v>
      </c>
      <c r="M94" s="51">
        <f t="shared" si="190"/>
        <v>4</v>
      </c>
      <c r="N94" s="51">
        <f t="shared" si="5"/>
        <v>-1</v>
      </c>
      <c r="O94" s="51" t="str">
        <f t="shared" si="6"/>
        <v>Target</v>
      </c>
      <c r="P94" s="51">
        <f t="shared" si="7"/>
        <v>-1</v>
      </c>
      <c r="Q94" s="51" t="str">
        <f t="shared" si="8"/>
        <v>Target</v>
      </c>
    </row>
    <row r="95">
      <c r="A95" s="48" t="s">
        <v>14</v>
      </c>
      <c r="B95" s="49" t="s">
        <v>776</v>
      </c>
      <c r="C95" s="49" t="s">
        <v>777</v>
      </c>
      <c r="D95" s="52" t="s">
        <v>778</v>
      </c>
      <c r="E95" s="49" t="s">
        <v>779</v>
      </c>
      <c r="F95" s="52" t="s">
        <v>784</v>
      </c>
      <c r="G95" s="49" t="s">
        <v>784</v>
      </c>
      <c r="H95" s="54">
        <v>2.0</v>
      </c>
      <c r="I95" s="54">
        <v>2.0</v>
      </c>
      <c r="J95" s="49">
        <f t="shared" ref="J95:K95" si="191">LEN(SUBSTITUTE(SUBSTITUTE(SUBSTITUTE(B95 ,"ˈ",""),"d̠ʒ","ʒ"),"t̠ʃ","ʃ"))</f>
        <v>5</v>
      </c>
      <c r="K95" s="44">
        <f t="shared" si="191"/>
        <v>5</v>
      </c>
      <c r="L95" s="51">
        <f t="shared" ref="L95:M95" si="192">LEN(D95)-LEN(B95)+1</f>
        <v>2</v>
      </c>
      <c r="M95" s="51">
        <f t="shared" si="192"/>
        <v>2</v>
      </c>
      <c r="N95" s="51">
        <f t="shared" si="5"/>
        <v>0</v>
      </c>
      <c r="O95" s="51" t="str">
        <f t="shared" si="6"/>
        <v>Equal</v>
      </c>
      <c r="P95" s="51">
        <f t="shared" si="7"/>
        <v>0</v>
      </c>
      <c r="Q95" s="51" t="str">
        <f t="shared" si="8"/>
        <v>Equal</v>
      </c>
    </row>
    <row r="96">
      <c r="A96" s="48" t="s">
        <v>14</v>
      </c>
      <c r="B96" s="49" t="s">
        <v>785</v>
      </c>
      <c r="C96" s="49" t="s">
        <v>786</v>
      </c>
      <c r="D96" s="49" t="s">
        <v>787</v>
      </c>
      <c r="E96" s="49" t="s">
        <v>788</v>
      </c>
      <c r="F96" s="49" t="s">
        <v>296</v>
      </c>
      <c r="G96" s="49" t="s">
        <v>296</v>
      </c>
      <c r="H96" s="54">
        <v>2.0</v>
      </c>
      <c r="I96" s="54">
        <v>2.0</v>
      </c>
      <c r="J96" s="49">
        <f t="shared" ref="J96:K96" si="193">LEN(SUBSTITUTE(SUBSTITUTE(SUBSTITUTE(B96 ,"ˈ",""),"d̠ʒ","ʒ"),"t̠ʃ","ʃ"))</f>
        <v>4</v>
      </c>
      <c r="K96" s="44">
        <f t="shared" si="193"/>
        <v>4</v>
      </c>
      <c r="L96" s="51">
        <f t="shared" ref="L96:M96" si="194">LEN(D96)-LEN(B96)+1</f>
        <v>2</v>
      </c>
      <c r="M96" s="51">
        <f t="shared" si="194"/>
        <v>2</v>
      </c>
      <c r="N96" s="51">
        <f t="shared" si="5"/>
        <v>0</v>
      </c>
      <c r="O96" s="51" t="str">
        <f t="shared" si="6"/>
        <v>Equal</v>
      </c>
      <c r="P96" s="51">
        <f t="shared" si="7"/>
        <v>0</v>
      </c>
      <c r="Q96" s="51" t="str">
        <f t="shared" si="8"/>
        <v>Equal</v>
      </c>
    </row>
    <row r="97">
      <c r="A97" s="48" t="s">
        <v>14</v>
      </c>
      <c r="B97" s="49" t="s">
        <v>793</v>
      </c>
      <c r="C97" s="49" t="s">
        <v>794</v>
      </c>
      <c r="D97" s="49" t="s">
        <v>795</v>
      </c>
      <c r="E97" s="49" t="s">
        <v>796</v>
      </c>
      <c r="F97" s="49" t="s">
        <v>801</v>
      </c>
      <c r="G97" s="49" t="s">
        <v>334</v>
      </c>
      <c r="H97" s="54">
        <v>2.0</v>
      </c>
      <c r="I97" s="54">
        <v>2.0</v>
      </c>
      <c r="J97" s="49">
        <f t="shared" ref="J97:K97" si="195">LEN(SUBSTITUTE(SUBSTITUTE(SUBSTITUTE(B97 ,"ˈ",""),"d̠ʒ","ʒ"),"t̠ʃ","ʃ"))</f>
        <v>4</v>
      </c>
      <c r="K97" s="44">
        <f t="shared" si="195"/>
        <v>5</v>
      </c>
      <c r="L97" s="51">
        <f t="shared" ref="L97:M97" si="196">LEN(D97)-LEN(B97)+1</f>
        <v>2</v>
      </c>
      <c r="M97" s="51">
        <f t="shared" si="196"/>
        <v>2</v>
      </c>
      <c r="N97" s="51">
        <f t="shared" si="5"/>
        <v>-1</v>
      </c>
      <c r="O97" s="51" t="str">
        <f t="shared" si="6"/>
        <v>Target</v>
      </c>
      <c r="P97" s="51">
        <f t="shared" si="7"/>
        <v>0</v>
      </c>
      <c r="Q97" s="51" t="str">
        <f t="shared" si="8"/>
        <v>Equal</v>
      </c>
    </row>
    <row r="98">
      <c r="A98" s="48" t="s">
        <v>14</v>
      </c>
      <c r="B98" s="49" t="s">
        <v>802</v>
      </c>
      <c r="C98" s="49" t="s">
        <v>803</v>
      </c>
      <c r="D98" s="49" t="s">
        <v>804</v>
      </c>
      <c r="E98" s="49" t="s">
        <v>805</v>
      </c>
      <c r="F98" s="49" t="s">
        <v>809</v>
      </c>
      <c r="G98" s="49" t="s">
        <v>24</v>
      </c>
      <c r="H98" s="54">
        <v>2.0</v>
      </c>
      <c r="I98" s="54">
        <v>3.0</v>
      </c>
      <c r="J98" s="49">
        <f t="shared" ref="J98:K98" si="197">LEN(SUBSTITUTE(SUBSTITUTE(SUBSTITUTE(B98 ,"ˈ",""),"d̠ʒ","ʒ"),"t̠ʃ","ʃ"))</f>
        <v>4</v>
      </c>
      <c r="K98" s="44">
        <f t="shared" si="197"/>
        <v>8</v>
      </c>
      <c r="L98" s="51">
        <f t="shared" ref="L98:M98" si="198">LEN(D98)-LEN(B98)+1</f>
        <v>2</v>
      </c>
      <c r="M98" s="51">
        <f t="shared" si="198"/>
        <v>3</v>
      </c>
      <c r="N98" s="51">
        <f t="shared" si="5"/>
        <v>-4</v>
      </c>
      <c r="O98" s="51" t="str">
        <f t="shared" si="6"/>
        <v>Target</v>
      </c>
      <c r="P98" s="51">
        <f t="shared" si="7"/>
        <v>-1</v>
      </c>
      <c r="Q98" s="51" t="str">
        <f t="shared" si="8"/>
        <v>Target</v>
      </c>
    </row>
    <row r="99">
      <c r="A99" s="48" t="s">
        <v>14</v>
      </c>
      <c r="B99" s="49" t="s">
        <v>811</v>
      </c>
      <c r="C99" s="49" t="s">
        <v>812</v>
      </c>
      <c r="D99" s="49" t="s">
        <v>813</v>
      </c>
      <c r="E99" s="49" t="s">
        <v>814</v>
      </c>
      <c r="F99" s="49" t="s">
        <v>245</v>
      </c>
      <c r="G99" s="49" t="s">
        <v>818</v>
      </c>
      <c r="H99" s="54">
        <v>2.0</v>
      </c>
      <c r="I99" s="54">
        <v>2.0</v>
      </c>
      <c r="J99" s="49">
        <f t="shared" ref="J99:K99" si="199">LEN(SUBSTITUTE(SUBSTITUTE(SUBSTITUTE(B99 ,"ˈ",""),"d̠ʒ","ʒ"),"t̠ʃ","ʃ"))</f>
        <v>4</v>
      </c>
      <c r="K99" s="44">
        <f t="shared" si="199"/>
        <v>4</v>
      </c>
      <c r="L99" s="51">
        <f t="shared" ref="L99:M99" si="200">LEN(D99)-LEN(B99)+1</f>
        <v>2</v>
      </c>
      <c r="M99" s="51">
        <f t="shared" si="200"/>
        <v>2</v>
      </c>
      <c r="N99" s="51">
        <f t="shared" si="5"/>
        <v>0</v>
      </c>
      <c r="O99" s="51" t="str">
        <f t="shared" si="6"/>
        <v>Equal</v>
      </c>
      <c r="P99" s="51">
        <f t="shared" si="7"/>
        <v>0</v>
      </c>
      <c r="Q99" s="51" t="str">
        <f t="shared" si="8"/>
        <v>Equal</v>
      </c>
    </row>
    <row r="100">
      <c r="A100" s="48" t="s">
        <v>14</v>
      </c>
      <c r="B100" s="49" t="s">
        <v>819</v>
      </c>
      <c r="C100" s="49" t="s">
        <v>820</v>
      </c>
      <c r="D100" s="49" t="s">
        <v>821</v>
      </c>
      <c r="E100" s="49" t="s">
        <v>822</v>
      </c>
      <c r="F100" s="49" t="s">
        <v>108</v>
      </c>
      <c r="G100" s="49" t="s">
        <v>175</v>
      </c>
      <c r="H100" s="54">
        <v>1.0</v>
      </c>
      <c r="I100" s="54">
        <v>1.0</v>
      </c>
      <c r="J100" s="49">
        <f t="shared" ref="J100:K100" si="201">LEN(SUBSTITUTE(SUBSTITUTE(SUBSTITUTE(B100 ,"ˈ",""),"d̠ʒ","ʒ"),"t̠ʃ","ʃ"))</f>
        <v>4</v>
      </c>
      <c r="K100" s="44">
        <f t="shared" si="201"/>
        <v>10</v>
      </c>
      <c r="L100" s="51">
        <f t="shared" ref="L100:M100" si="202">LEN(D100)-LEN(B100)+1</f>
        <v>2</v>
      </c>
      <c r="M100" s="51">
        <f t="shared" si="202"/>
        <v>4</v>
      </c>
      <c r="N100" s="51">
        <f t="shared" si="5"/>
        <v>-6</v>
      </c>
      <c r="O100" s="51" t="str">
        <f t="shared" si="6"/>
        <v>Target</v>
      </c>
      <c r="P100" s="51">
        <f t="shared" si="7"/>
        <v>-2</v>
      </c>
      <c r="Q100" s="51" t="str">
        <f t="shared" si="8"/>
        <v>Target</v>
      </c>
    </row>
    <row r="101">
      <c r="A101" s="48" t="s">
        <v>14</v>
      </c>
      <c r="B101" s="49" t="s">
        <v>827</v>
      </c>
      <c r="C101" s="49" t="s">
        <v>828</v>
      </c>
      <c r="D101" s="49" t="s">
        <v>829</v>
      </c>
      <c r="E101" s="49" t="s">
        <v>830</v>
      </c>
      <c r="F101" s="49" t="s">
        <v>3658</v>
      </c>
      <c r="G101" s="49" t="s">
        <v>61</v>
      </c>
      <c r="H101" s="54">
        <v>1.0</v>
      </c>
      <c r="I101" s="54">
        <v>1.0</v>
      </c>
      <c r="J101" s="49">
        <f t="shared" ref="J101:K101" si="203">LEN(SUBSTITUTE(SUBSTITUTE(SUBSTITUTE(B101 ,"ˈ",""),"d̠ʒ","ʒ"),"t̠ʃ","ʃ"))</f>
        <v>6</v>
      </c>
      <c r="K101" s="44">
        <f t="shared" si="203"/>
        <v>8</v>
      </c>
      <c r="L101" s="51">
        <f t="shared" ref="L101:M101" si="204">LEN(D101)-LEN(B101)+1</f>
        <v>3</v>
      </c>
      <c r="M101" s="51">
        <f t="shared" si="204"/>
        <v>4</v>
      </c>
      <c r="N101" s="51">
        <f t="shared" si="5"/>
        <v>-2</v>
      </c>
      <c r="O101" s="51" t="str">
        <f t="shared" si="6"/>
        <v>Target</v>
      </c>
      <c r="P101" s="51">
        <f t="shared" si="7"/>
        <v>-1</v>
      </c>
      <c r="Q101" s="51" t="str">
        <f t="shared" si="8"/>
        <v>Target</v>
      </c>
    </row>
    <row r="102">
      <c r="A102" s="48" t="s">
        <v>14</v>
      </c>
      <c r="B102" s="49" t="s">
        <v>833</v>
      </c>
      <c r="C102" s="49" t="s">
        <v>834</v>
      </c>
      <c r="D102" s="49" t="s">
        <v>835</v>
      </c>
      <c r="E102" s="49" t="s">
        <v>836</v>
      </c>
      <c r="F102" s="49" t="s">
        <v>840</v>
      </c>
      <c r="G102" s="49" t="s">
        <v>482</v>
      </c>
      <c r="H102" s="54">
        <v>3.0</v>
      </c>
      <c r="I102" s="54">
        <v>3.0</v>
      </c>
      <c r="J102" s="49">
        <f t="shared" ref="J102:K102" si="205">LEN(SUBSTITUTE(SUBSTITUTE(SUBSTITUTE(B102 ,"ˈ",""),"d̠ʒ","ʒ"),"t̠ʃ","ʃ"))</f>
        <v>5</v>
      </c>
      <c r="K102" s="44">
        <f t="shared" si="205"/>
        <v>5</v>
      </c>
      <c r="L102" s="51">
        <f t="shared" ref="L102:M102" si="206">LEN(D102)-LEN(B102)+1</f>
        <v>3</v>
      </c>
      <c r="M102" s="51">
        <f t="shared" si="206"/>
        <v>3</v>
      </c>
      <c r="N102" s="51">
        <f t="shared" si="5"/>
        <v>0</v>
      </c>
      <c r="O102" s="51" t="str">
        <f t="shared" si="6"/>
        <v>Equal</v>
      </c>
      <c r="P102" s="51">
        <f t="shared" si="7"/>
        <v>0</v>
      </c>
      <c r="Q102" s="51" t="str">
        <f t="shared" si="8"/>
        <v>Equal</v>
      </c>
    </row>
    <row r="103">
      <c r="A103" s="48" t="s">
        <v>14</v>
      </c>
      <c r="B103" s="49" t="s">
        <v>841</v>
      </c>
      <c r="C103" s="49" t="s">
        <v>842</v>
      </c>
      <c r="D103" s="52" t="s">
        <v>3659</v>
      </c>
      <c r="E103" s="49" t="s">
        <v>844</v>
      </c>
      <c r="F103" s="52" t="s">
        <v>175</v>
      </c>
      <c r="G103" s="49" t="s">
        <v>175</v>
      </c>
      <c r="H103" s="54">
        <v>3.0</v>
      </c>
      <c r="I103" s="54">
        <v>2.0</v>
      </c>
      <c r="J103" s="49">
        <f t="shared" ref="J103:K103" si="207">LEN(SUBSTITUTE(SUBSTITUTE(SUBSTITUTE(B103 ,"ˈ",""),"d̠ʒ","ʒ"),"t̠ʃ","ʃ"))</f>
        <v>5</v>
      </c>
      <c r="K103" s="44">
        <f t="shared" si="207"/>
        <v>4</v>
      </c>
      <c r="L103" s="51">
        <f t="shared" ref="L103:M103" si="208">LEN(D103)-LEN(B103)+1</f>
        <v>3</v>
      </c>
      <c r="M103" s="51">
        <f t="shared" si="208"/>
        <v>2</v>
      </c>
      <c r="N103" s="51">
        <f t="shared" si="5"/>
        <v>1</v>
      </c>
      <c r="O103" s="51" t="str">
        <f t="shared" si="6"/>
        <v>Source</v>
      </c>
      <c r="P103" s="51">
        <f t="shared" si="7"/>
        <v>1</v>
      </c>
      <c r="Q103" s="51" t="str">
        <f t="shared" si="8"/>
        <v>Source</v>
      </c>
    </row>
    <row r="104">
      <c r="A104" s="48" t="s">
        <v>14</v>
      </c>
      <c r="B104" s="49" t="s">
        <v>850</v>
      </c>
      <c r="C104" s="49" t="s">
        <v>851</v>
      </c>
      <c r="D104" s="49" t="s">
        <v>852</v>
      </c>
      <c r="E104" s="49" t="s">
        <v>853</v>
      </c>
      <c r="F104" s="49" t="s">
        <v>290</v>
      </c>
      <c r="G104" s="49" t="s">
        <v>862</v>
      </c>
      <c r="H104" s="54">
        <v>2.0</v>
      </c>
      <c r="I104" s="54">
        <v>3.0</v>
      </c>
      <c r="J104" s="49">
        <f t="shared" ref="J104:K104" si="209">LEN(SUBSTITUTE(SUBSTITUTE(SUBSTITUTE(B104 ,"ˈ",""),"d̠ʒ","ʒ"),"t̠ʃ","ʃ"))</f>
        <v>3</v>
      </c>
      <c r="K104" s="44">
        <f t="shared" si="209"/>
        <v>9</v>
      </c>
      <c r="L104" s="51">
        <f t="shared" ref="L104:M104" si="210">LEN(D104)-LEN(B104)+1</f>
        <v>2</v>
      </c>
      <c r="M104" s="51">
        <f t="shared" si="210"/>
        <v>3</v>
      </c>
      <c r="N104" s="51">
        <f t="shared" si="5"/>
        <v>-6</v>
      </c>
      <c r="O104" s="51" t="str">
        <f t="shared" si="6"/>
        <v>Target</v>
      </c>
      <c r="P104" s="51">
        <f t="shared" si="7"/>
        <v>-1</v>
      </c>
      <c r="Q104" s="51" t="str">
        <f t="shared" si="8"/>
        <v>Target</v>
      </c>
    </row>
    <row r="105">
      <c r="A105" s="48" t="s">
        <v>14</v>
      </c>
      <c r="B105" s="49" t="s">
        <v>856</v>
      </c>
      <c r="C105" s="49" t="s">
        <v>857</v>
      </c>
      <c r="D105" s="49" t="s">
        <v>858</v>
      </c>
      <c r="E105" s="49" t="s">
        <v>859</v>
      </c>
      <c r="F105" s="49" t="s">
        <v>70</v>
      </c>
      <c r="G105" s="49" t="s">
        <v>862</v>
      </c>
      <c r="H105" s="54">
        <v>2.0</v>
      </c>
      <c r="I105" s="54">
        <v>3.0</v>
      </c>
      <c r="J105" s="49">
        <f t="shared" ref="J105:K105" si="211">LEN(SUBSTITUTE(SUBSTITUTE(SUBSTITUTE(B105 ,"ˈ",""),"d̠ʒ","ʒ"),"t̠ʃ","ʃ"))</f>
        <v>5</v>
      </c>
      <c r="K105" s="44">
        <f t="shared" si="211"/>
        <v>9</v>
      </c>
      <c r="L105" s="51">
        <f t="shared" ref="L105:M105" si="212">LEN(D105)-LEN(B105)+1</f>
        <v>2</v>
      </c>
      <c r="M105" s="51">
        <f t="shared" si="212"/>
        <v>3</v>
      </c>
      <c r="N105" s="51">
        <f t="shared" si="5"/>
        <v>-4</v>
      </c>
      <c r="O105" s="51" t="str">
        <f t="shared" si="6"/>
        <v>Target</v>
      </c>
      <c r="P105" s="51">
        <f t="shared" si="7"/>
        <v>-1</v>
      </c>
      <c r="Q105" s="51" t="str">
        <f t="shared" si="8"/>
        <v>Target</v>
      </c>
    </row>
    <row r="106">
      <c r="A106" s="48" t="s">
        <v>14</v>
      </c>
      <c r="B106" s="49" t="s">
        <v>863</v>
      </c>
      <c r="C106" s="49" t="s">
        <v>864</v>
      </c>
      <c r="D106" s="49" t="s">
        <v>865</v>
      </c>
      <c r="E106" s="49" t="s">
        <v>866</v>
      </c>
      <c r="F106" s="49" t="s">
        <v>848</v>
      </c>
      <c r="G106" s="49" t="s">
        <v>870</v>
      </c>
      <c r="H106" s="54">
        <v>2.0</v>
      </c>
      <c r="I106" s="54">
        <v>2.0</v>
      </c>
      <c r="J106" s="49">
        <f t="shared" ref="J106:K106" si="213">LEN(SUBSTITUTE(SUBSTITUTE(SUBSTITUTE(B106 ,"ˈ",""),"d̠ʒ","ʒ"),"t̠ʃ","ʃ"))</f>
        <v>4</v>
      </c>
      <c r="K106" s="44">
        <f t="shared" si="213"/>
        <v>5</v>
      </c>
      <c r="L106" s="51">
        <f t="shared" ref="L106:M106" si="214">LEN(D106)-LEN(B106)+1</f>
        <v>2</v>
      </c>
      <c r="M106" s="51">
        <f t="shared" si="214"/>
        <v>2</v>
      </c>
      <c r="N106" s="51">
        <f t="shared" si="5"/>
        <v>-1</v>
      </c>
      <c r="O106" s="51" t="str">
        <f t="shared" si="6"/>
        <v>Target</v>
      </c>
      <c r="P106" s="51">
        <f t="shared" si="7"/>
        <v>0</v>
      </c>
      <c r="Q106" s="51" t="str">
        <f t="shared" si="8"/>
        <v>Equal</v>
      </c>
    </row>
    <row r="107">
      <c r="A107" s="48" t="s">
        <v>14</v>
      </c>
      <c r="B107" s="49" t="s">
        <v>871</v>
      </c>
      <c r="C107" s="49" t="s">
        <v>872</v>
      </c>
      <c r="D107" s="49" t="s">
        <v>873</v>
      </c>
      <c r="E107" s="49" t="s">
        <v>874</v>
      </c>
      <c r="F107" s="49" t="s">
        <v>878</v>
      </c>
      <c r="G107" s="49" t="s">
        <v>879</v>
      </c>
      <c r="H107" s="54">
        <v>3.0</v>
      </c>
      <c r="I107" s="54">
        <v>3.0</v>
      </c>
      <c r="J107" s="49">
        <f t="shared" ref="J107:K107" si="215">LEN(SUBSTITUTE(SUBSTITUTE(SUBSTITUTE(B107 ,"ˈ",""),"d̠ʒ","ʒ"),"t̠ʃ","ʃ"))</f>
        <v>5</v>
      </c>
      <c r="K107" s="44">
        <f t="shared" si="215"/>
        <v>6</v>
      </c>
      <c r="L107" s="51">
        <f t="shared" ref="L107:M107" si="216">LEN(D107)-LEN(B107)+1</f>
        <v>3</v>
      </c>
      <c r="M107" s="51">
        <f t="shared" si="216"/>
        <v>3</v>
      </c>
      <c r="N107" s="51">
        <f t="shared" si="5"/>
        <v>-1</v>
      </c>
      <c r="O107" s="51" t="str">
        <f t="shared" si="6"/>
        <v>Target</v>
      </c>
      <c r="P107" s="51">
        <f t="shared" si="7"/>
        <v>0</v>
      </c>
      <c r="Q107" s="51" t="str">
        <f t="shared" si="8"/>
        <v>Equal</v>
      </c>
    </row>
    <row r="108">
      <c r="A108" s="48" t="s">
        <v>14</v>
      </c>
      <c r="B108" s="49" t="s">
        <v>880</v>
      </c>
      <c r="C108" s="49" t="s">
        <v>881</v>
      </c>
      <c r="D108" s="49" t="s">
        <v>882</v>
      </c>
      <c r="E108" s="49" t="s">
        <v>883</v>
      </c>
      <c r="F108" s="49" t="s">
        <v>362</v>
      </c>
      <c r="G108" s="49" t="s">
        <v>49</v>
      </c>
      <c r="H108" s="54">
        <v>2.0</v>
      </c>
      <c r="I108" s="54">
        <v>4.0</v>
      </c>
      <c r="J108" s="49">
        <f t="shared" ref="J108:K108" si="217">LEN(SUBSTITUTE(SUBSTITUTE(SUBSTITUTE(B108 ,"ˈ",""),"d̠ʒ","ʒ"),"t̠ʃ","ʃ"))</f>
        <v>4</v>
      </c>
      <c r="K108" s="44">
        <f t="shared" si="217"/>
        <v>7</v>
      </c>
      <c r="L108" s="51">
        <f t="shared" ref="L108:M108" si="218">LEN(D108)-LEN(B108)+1</f>
        <v>2</v>
      </c>
      <c r="M108" s="51">
        <f t="shared" si="218"/>
        <v>4</v>
      </c>
      <c r="N108" s="51">
        <f t="shared" si="5"/>
        <v>-3</v>
      </c>
      <c r="O108" s="51" t="str">
        <f t="shared" si="6"/>
        <v>Target</v>
      </c>
      <c r="P108" s="51">
        <f t="shared" si="7"/>
        <v>-2</v>
      </c>
      <c r="Q108" s="51" t="str">
        <f t="shared" si="8"/>
        <v>Target</v>
      </c>
    </row>
    <row r="109">
      <c r="A109" s="48" t="s">
        <v>14</v>
      </c>
      <c r="B109" s="49" t="s">
        <v>886</v>
      </c>
      <c r="C109" s="49" t="s">
        <v>3660</v>
      </c>
      <c r="D109" s="49" t="s">
        <v>888</v>
      </c>
      <c r="E109" s="49" t="s">
        <v>3661</v>
      </c>
      <c r="F109" s="49" t="s">
        <v>190</v>
      </c>
      <c r="G109" s="49" t="s">
        <v>1426</v>
      </c>
      <c r="H109" s="54">
        <v>3.0</v>
      </c>
      <c r="I109" s="54">
        <v>4.0</v>
      </c>
      <c r="J109" s="49">
        <f t="shared" ref="J109:K109" si="219">LEN(SUBSTITUTE(SUBSTITUTE(SUBSTITUTE(B109 ,"ˈ",""),"d̠ʒ","ʒ"),"t̠ʃ","ʃ"))</f>
        <v>6</v>
      </c>
      <c r="K109" s="44">
        <f t="shared" si="219"/>
        <v>7</v>
      </c>
      <c r="L109" s="51">
        <f t="shared" ref="L109:M109" si="220">LEN(D109)-LEN(B109)+1</f>
        <v>3</v>
      </c>
      <c r="M109" s="51">
        <f t="shared" si="220"/>
        <v>4</v>
      </c>
      <c r="N109" s="51">
        <f t="shared" si="5"/>
        <v>-1</v>
      </c>
      <c r="O109" s="51" t="str">
        <f t="shared" si="6"/>
        <v>Target</v>
      </c>
      <c r="P109" s="51">
        <f t="shared" si="7"/>
        <v>-1</v>
      </c>
      <c r="Q109" s="51" t="str">
        <f t="shared" si="8"/>
        <v>Target</v>
      </c>
    </row>
    <row r="110">
      <c r="A110" s="48" t="s">
        <v>14</v>
      </c>
      <c r="B110" s="49" t="s">
        <v>878</v>
      </c>
      <c r="C110" s="49" t="s">
        <v>879</v>
      </c>
      <c r="D110" s="49" t="s">
        <v>878</v>
      </c>
      <c r="E110" s="49" t="s">
        <v>879</v>
      </c>
      <c r="F110" s="49" t="s">
        <v>878</v>
      </c>
      <c r="G110" s="49" t="s">
        <v>879</v>
      </c>
      <c r="H110" s="54">
        <v>1.0</v>
      </c>
      <c r="I110" s="54">
        <v>1.0</v>
      </c>
      <c r="J110" s="49">
        <f t="shared" ref="J110:K110" si="221">LEN(SUBSTITUTE(SUBSTITUTE(SUBSTITUTE(B110 ,"ˈ",""),"d̠ʒ","ʒ"),"t̠ʃ","ʃ"))</f>
        <v>2</v>
      </c>
      <c r="K110" s="44">
        <f t="shared" si="221"/>
        <v>3</v>
      </c>
      <c r="L110" s="51">
        <f t="shared" ref="L110:M110" si="222">LEN(D110)-LEN(B110)+1</f>
        <v>1</v>
      </c>
      <c r="M110" s="51">
        <f t="shared" si="222"/>
        <v>1</v>
      </c>
      <c r="N110" s="51">
        <f t="shared" si="5"/>
        <v>-1</v>
      </c>
      <c r="O110" s="51" t="str">
        <f t="shared" si="6"/>
        <v>Target</v>
      </c>
      <c r="P110" s="51">
        <f t="shared" si="7"/>
        <v>0</v>
      </c>
      <c r="Q110" s="51" t="str">
        <f t="shared" si="8"/>
        <v>Equal</v>
      </c>
    </row>
    <row r="111">
      <c r="A111" s="48" t="s">
        <v>14</v>
      </c>
      <c r="B111" s="49" t="s">
        <v>895</v>
      </c>
      <c r="C111" s="49" t="s">
        <v>896</v>
      </c>
      <c r="D111" s="49" t="s">
        <v>897</v>
      </c>
      <c r="E111" s="49" t="s">
        <v>898</v>
      </c>
      <c r="F111" s="49" t="s">
        <v>349</v>
      </c>
      <c r="G111" s="49" t="s">
        <v>902</v>
      </c>
      <c r="H111" s="54">
        <v>2.0</v>
      </c>
      <c r="I111" s="54">
        <v>2.0</v>
      </c>
      <c r="J111" s="49">
        <f t="shared" ref="J111:K111" si="223">LEN(SUBSTITUTE(SUBSTITUTE(SUBSTITUTE(B111 ,"ˈ",""),"d̠ʒ","ʒ"),"t̠ʃ","ʃ"))</f>
        <v>4</v>
      </c>
      <c r="K111" s="44">
        <f t="shared" si="223"/>
        <v>5</v>
      </c>
      <c r="L111" s="51">
        <f t="shared" ref="L111:M111" si="224">LEN(D111)-LEN(B111)+1</f>
        <v>2</v>
      </c>
      <c r="M111" s="51">
        <f t="shared" si="224"/>
        <v>2</v>
      </c>
      <c r="N111" s="51">
        <f t="shared" si="5"/>
        <v>-1</v>
      </c>
      <c r="O111" s="51" t="str">
        <f t="shared" si="6"/>
        <v>Target</v>
      </c>
      <c r="P111" s="51">
        <f t="shared" si="7"/>
        <v>0</v>
      </c>
      <c r="Q111" s="51" t="str">
        <f t="shared" si="8"/>
        <v>Equal</v>
      </c>
    </row>
    <row r="112">
      <c r="A112" s="48" t="s">
        <v>14</v>
      </c>
      <c r="B112" s="49" t="s">
        <v>903</v>
      </c>
      <c r="C112" s="49" t="s">
        <v>904</v>
      </c>
      <c r="D112" s="49" t="s">
        <v>905</v>
      </c>
      <c r="E112" s="49" t="s">
        <v>906</v>
      </c>
      <c r="F112" s="49" t="s">
        <v>116</v>
      </c>
      <c r="G112" s="49" t="s">
        <v>116</v>
      </c>
      <c r="H112" s="54">
        <v>3.0</v>
      </c>
      <c r="I112" s="54">
        <v>3.0</v>
      </c>
      <c r="J112" s="49">
        <f t="shared" ref="J112:K112" si="225">LEN(SUBSTITUTE(SUBSTITUTE(SUBSTITUTE(B112 ,"ˈ",""),"d̠ʒ","ʒ"),"t̠ʃ","ʃ"))</f>
        <v>5</v>
      </c>
      <c r="K112" s="44">
        <f t="shared" si="225"/>
        <v>6</v>
      </c>
      <c r="L112" s="51">
        <f t="shared" ref="L112:M112" si="226">LEN(D112)-LEN(B112)+1</f>
        <v>2</v>
      </c>
      <c r="M112" s="51">
        <f t="shared" si="226"/>
        <v>3</v>
      </c>
      <c r="N112" s="51">
        <f t="shared" si="5"/>
        <v>-1</v>
      </c>
      <c r="O112" s="51" t="str">
        <f t="shared" si="6"/>
        <v>Target</v>
      </c>
      <c r="P112" s="51">
        <f t="shared" si="7"/>
        <v>-1</v>
      </c>
      <c r="Q112" s="51" t="str">
        <f t="shared" si="8"/>
        <v>Target</v>
      </c>
    </row>
    <row r="113">
      <c r="A113" s="48" t="s">
        <v>14</v>
      </c>
      <c r="B113" s="49" t="s">
        <v>911</v>
      </c>
      <c r="C113" s="49" t="s">
        <v>912</v>
      </c>
      <c r="D113" s="49" t="s">
        <v>913</v>
      </c>
      <c r="E113" s="49" t="s">
        <v>914</v>
      </c>
      <c r="F113" s="49" t="s">
        <v>784</v>
      </c>
      <c r="G113" s="49" t="s">
        <v>784</v>
      </c>
      <c r="H113" s="54">
        <v>3.0</v>
      </c>
      <c r="I113" s="54">
        <v>3.0</v>
      </c>
      <c r="J113" s="49">
        <f t="shared" ref="J113:K113" si="227">LEN(SUBSTITUTE(SUBSTITUTE(SUBSTITUTE(B113 ,"ˈ",""),"d̠ʒ","ʒ"),"t̠ʃ","ʃ"))</f>
        <v>6</v>
      </c>
      <c r="K113" s="44">
        <f t="shared" si="227"/>
        <v>6</v>
      </c>
      <c r="L113" s="51">
        <f t="shared" ref="L113:M113" si="228">LEN(D113)-LEN(B113)+1</f>
        <v>3</v>
      </c>
      <c r="M113" s="51">
        <f t="shared" si="228"/>
        <v>3</v>
      </c>
      <c r="N113" s="51">
        <f t="shared" si="5"/>
        <v>0</v>
      </c>
      <c r="O113" s="51" t="str">
        <f t="shared" si="6"/>
        <v>Equal</v>
      </c>
      <c r="P113" s="51">
        <f t="shared" si="7"/>
        <v>0</v>
      </c>
      <c r="Q113" s="51" t="str">
        <f t="shared" si="8"/>
        <v>Equal</v>
      </c>
    </row>
    <row r="114">
      <c r="A114" s="48" t="s">
        <v>14</v>
      </c>
      <c r="B114" s="49" t="s">
        <v>919</v>
      </c>
      <c r="C114" s="49" t="s">
        <v>920</v>
      </c>
      <c r="D114" s="49" t="s">
        <v>921</v>
      </c>
      <c r="E114" s="49" t="s">
        <v>922</v>
      </c>
      <c r="F114" s="49" t="s">
        <v>784</v>
      </c>
      <c r="G114" s="49" t="s">
        <v>437</v>
      </c>
      <c r="H114" s="54">
        <v>4.0</v>
      </c>
      <c r="I114" s="54">
        <v>3.0</v>
      </c>
      <c r="J114" s="49">
        <f t="shared" ref="J114:K114" si="229">LEN(SUBSTITUTE(SUBSTITUTE(SUBSTITUTE(B114 ,"ˈ",""),"d̠ʒ","ʒ"),"t̠ʃ","ʃ"))</f>
        <v>8</v>
      </c>
      <c r="K114" s="44">
        <f t="shared" si="229"/>
        <v>7</v>
      </c>
      <c r="L114" s="51">
        <f t="shared" ref="L114:M114" si="230">LEN(D114)-LEN(B114)+1</f>
        <v>4</v>
      </c>
      <c r="M114" s="51">
        <f t="shared" si="230"/>
        <v>3</v>
      </c>
      <c r="N114" s="51">
        <f t="shared" si="5"/>
        <v>1</v>
      </c>
      <c r="O114" s="51" t="str">
        <f t="shared" si="6"/>
        <v>Source</v>
      </c>
      <c r="P114" s="51">
        <f t="shared" si="7"/>
        <v>1</v>
      </c>
      <c r="Q114" s="51" t="str">
        <f t="shared" si="8"/>
        <v>Source</v>
      </c>
    </row>
    <row r="115">
      <c r="A115" s="48" t="s">
        <v>14</v>
      </c>
      <c r="B115" s="49" t="s">
        <v>925</v>
      </c>
      <c r="C115" s="49" t="s">
        <v>926</v>
      </c>
      <c r="D115" s="49" t="s">
        <v>927</v>
      </c>
      <c r="E115" s="49" t="s">
        <v>928</v>
      </c>
      <c r="F115" s="49" t="s">
        <v>245</v>
      </c>
      <c r="G115" s="49" t="s">
        <v>503</v>
      </c>
      <c r="H115" s="54">
        <v>3.0</v>
      </c>
      <c r="I115" s="54">
        <v>6.0</v>
      </c>
      <c r="J115" s="49">
        <f t="shared" ref="J115:K115" si="231">LEN(SUBSTITUTE(SUBSTITUTE(SUBSTITUTE(B115 ,"ˈ",""),"d̠ʒ","ʒ"),"t̠ʃ","ʃ"))</f>
        <v>5</v>
      </c>
      <c r="K115" s="44">
        <f t="shared" si="231"/>
        <v>14</v>
      </c>
      <c r="L115" s="51">
        <f t="shared" ref="L115:M115" si="232">LEN(D115)-LEN(B115)+1</f>
        <v>3</v>
      </c>
      <c r="M115" s="51">
        <f t="shared" si="232"/>
        <v>4</v>
      </c>
      <c r="N115" s="51">
        <f t="shared" si="5"/>
        <v>-9</v>
      </c>
      <c r="O115" s="51" t="str">
        <f t="shared" si="6"/>
        <v>Target</v>
      </c>
      <c r="P115" s="51">
        <f t="shared" si="7"/>
        <v>-1</v>
      </c>
      <c r="Q115" s="51" t="str">
        <f t="shared" si="8"/>
        <v>Target</v>
      </c>
    </row>
    <row r="116">
      <c r="A116" s="48" t="s">
        <v>14</v>
      </c>
      <c r="B116" s="49" t="s">
        <v>931</v>
      </c>
      <c r="C116" s="49" t="s">
        <v>932</v>
      </c>
      <c r="D116" s="49" t="s">
        <v>933</v>
      </c>
      <c r="E116" s="49" t="s">
        <v>934</v>
      </c>
      <c r="F116" s="49" t="s">
        <v>254</v>
      </c>
      <c r="G116" s="49" t="s">
        <v>938</v>
      </c>
      <c r="H116" s="54">
        <v>2.0</v>
      </c>
      <c r="I116" s="54">
        <v>2.0</v>
      </c>
      <c r="J116" s="49">
        <f t="shared" ref="J116:K116" si="233">LEN(SUBSTITUTE(SUBSTITUTE(SUBSTITUTE(B116 ,"ˈ",""),"d̠ʒ","ʒ"),"t̠ʃ","ʃ"))</f>
        <v>4</v>
      </c>
      <c r="K116" s="44">
        <f t="shared" si="233"/>
        <v>5</v>
      </c>
      <c r="L116" s="51">
        <f t="shared" ref="L116:M116" si="234">LEN(D116)-LEN(B116)+1</f>
        <v>2</v>
      </c>
      <c r="M116" s="51">
        <f t="shared" si="234"/>
        <v>2</v>
      </c>
      <c r="N116" s="51">
        <f t="shared" si="5"/>
        <v>-1</v>
      </c>
      <c r="O116" s="51" t="str">
        <f t="shared" si="6"/>
        <v>Target</v>
      </c>
      <c r="P116" s="51">
        <f t="shared" si="7"/>
        <v>0</v>
      </c>
      <c r="Q116" s="51" t="str">
        <f t="shared" si="8"/>
        <v>Equal</v>
      </c>
    </row>
    <row r="117">
      <c r="A117" s="48" t="s">
        <v>14</v>
      </c>
      <c r="B117" s="49" t="s">
        <v>939</v>
      </c>
      <c r="C117" s="49" t="s">
        <v>940</v>
      </c>
      <c r="D117" s="49" t="s">
        <v>941</v>
      </c>
      <c r="E117" s="49" t="s">
        <v>942</v>
      </c>
      <c r="F117" s="49" t="s">
        <v>190</v>
      </c>
      <c r="G117" s="49" t="s">
        <v>190</v>
      </c>
      <c r="H117" s="54">
        <v>3.0</v>
      </c>
      <c r="I117" s="54">
        <v>3.0</v>
      </c>
      <c r="J117" s="49">
        <f t="shared" ref="J117:K117" si="235">LEN(SUBSTITUTE(SUBSTITUTE(SUBSTITUTE(B117 ,"ˈ",""),"d̠ʒ","ʒ"),"t̠ʃ","ʃ"))</f>
        <v>8</v>
      </c>
      <c r="K117" s="44">
        <f t="shared" si="235"/>
        <v>8</v>
      </c>
      <c r="L117" s="51">
        <f t="shared" ref="L117:M117" si="236">LEN(D117)-LEN(B117)+1</f>
        <v>3</v>
      </c>
      <c r="M117" s="51">
        <f t="shared" si="236"/>
        <v>3</v>
      </c>
      <c r="N117" s="51">
        <f t="shared" si="5"/>
        <v>0</v>
      </c>
      <c r="O117" s="51" t="str">
        <f t="shared" si="6"/>
        <v>Equal</v>
      </c>
      <c r="P117" s="51">
        <f t="shared" si="7"/>
        <v>0</v>
      </c>
      <c r="Q117" s="51" t="str">
        <f t="shared" si="8"/>
        <v>Equal</v>
      </c>
    </row>
    <row r="118">
      <c r="A118" s="48" t="s">
        <v>14</v>
      </c>
      <c r="B118" s="49" t="s">
        <v>949</v>
      </c>
      <c r="C118" s="49" t="s">
        <v>950</v>
      </c>
      <c r="D118" s="52" t="s">
        <v>951</v>
      </c>
      <c r="E118" s="49" t="s">
        <v>952</v>
      </c>
      <c r="F118" s="52" t="s">
        <v>190</v>
      </c>
      <c r="G118" s="49" t="s">
        <v>190</v>
      </c>
      <c r="H118" s="54">
        <v>4.0</v>
      </c>
      <c r="I118" s="54">
        <v>5.0</v>
      </c>
      <c r="J118" s="49">
        <f t="shared" ref="J118:K118" si="237">LEN(SUBSTITUTE(SUBSTITUTE(SUBSTITUTE(B118 ,"ˈ",""),"d̠ʒ","ʒ"),"t̠ʃ","ʃ"))</f>
        <v>9</v>
      </c>
      <c r="K118" s="44">
        <f t="shared" si="237"/>
        <v>13</v>
      </c>
      <c r="L118" s="51">
        <f t="shared" ref="L118:M118" si="238">LEN(D118)-LEN(B118)+1</f>
        <v>4</v>
      </c>
      <c r="M118" s="51">
        <f t="shared" si="238"/>
        <v>3</v>
      </c>
      <c r="N118" s="51">
        <f t="shared" si="5"/>
        <v>-4</v>
      </c>
      <c r="O118" s="51" t="str">
        <f t="shared" si="6"/>
        <v>Target</v>
      </c>
      <c r="P118" s="51">
        <f t="shared" si="7"/>
        <v>1</v>
      </c>
      <c r="Q118" s="51" t="str">
        <f t="shared" si="8"/>
        <v>Source</v>
      </c>
    </row>
    <row r="119">
      <c r="A119" s="48" t="s">
        <v>14</v>
      </c>
      <c r="B119" s="49" t="s">
        <v>957</v>
      </c>
      <c r="C119" s="49" t="s">
        <v>3662</v>
      </c>
      <c r="D119" s="49" t="s">
        <v>959</v>
      </c>
      <c r="E119" s="49" t="s">
        <v>3663</v>
      </c>
      <c r="F119" s="49" t="s">
        <v>114</v>
      </c>
      <c r="G119" s="49" t="s">
        <v>128</v>
      </c>
      <c r="H119" s="54">
        <v>2.0</v>
      </c>
      <c r="I119" s="54">
        <v>4.0</v>
      </c>
      <c r="J119" s="49">
        <f t="shared" ref="J119:K119" si="239">LEN(SUBSTITUTE(SUBSTITUTE(SUBSTITUTE(B119 ,"ˈ",""),"d̠ʒ","ʒ"),"t̠ʃ","ʃ"))</f>
        <v>4</v>
      </c>
      <c r="K119" s="44">
        <f t="shared" si="239"/>
        <v>7</v>
      </c>
      <c r="L119" s="51">
        <f t="shared" ref="L119:M119" si="240">LEN(D119)-LEN(B119)+1</f>
        <v>2</v>
      </c>
      <c r="M119" s="51">
        <f t="shared" si="240"/>
        <v>4</v>
      </c>
      <c r="N119" s="51">
        <f t="shared" si="5"/>
        <v>-3</v>
      </c>
      <c r="O119" s="51" t="str">
        <f t="shared" si="6"/>
        <v>Target</v>
      </c>
      <c r="P119" s="51">
        <f t="shared" si="7"/>
        <v>-2</v>
      </c>
      <c r="Q119" s="51" t="str">
        <f t="shared" si="8"/>
        <v>Target</v>
      </c>
    </row>
    <row r="120">
      <c r="A120" s="48" t="s">
        <v>14</v>
      </c>
      <c r="B120" s="49" t="s">
        <v>964</v>
      </c>
      <c r="C120" s="49" t="s">
        <v>965</v>
      </c>
      <c r="D120" s="49" t="s">
        <v>966</v>
      </c>
      <c r="E120" s="49" t="s">
        <v>967</v>
      </c>
      <c r="F120" s="49" t="s">
        <v>55</v>
      </c>
      <c r="G120" s="49" t="s">
        <v>56</v>
      </c>
      <c r="H120" s="54">
        <v>2.0</v>
      </c>
      <c r="I120" s="54">
        <v>2.0</v>
      </c>
      <c r="J120" s="49">
        <f t="shared" ref="J120:K120" si="241">LEN(SUBSTITUTE(SUBSTITUTE(SUBSTITUTE(B120 ,"ˈ",""),"d̠ʒ","ʒ"),"t̠ʃ","ʃ"))</f>
        <v>5</v>
      </c>
      <c r="K120" s="44">
        <f t="shared" si="241"/>
        <v>5</v>
      </c>
      <c r="L120" s="51">
        <f t="shared" ref="L120:M120" si="242">LEN(D120)-LEN(B120)+1</f>
        <v>2</v>
      </c>
      <c r="M120" s="51">
        <f t="shared" si="242"/>
        <v>2</v>
      </c>
      <c r="N120" s="51">
        <f t="shared" si="5"/>
        <v>0</v>
      </c>
      <c r="O120" s="51" t="str">
        <f t="shared" si="6"/>
        <v>Equal</v>
      </c>
      <c r="P120" s="51">
        <f t="shared" si="7"/>
        <v>0</v>
      </c>
      <c r="Q120" s="51" t="str">
        <f t="shared" si="8"/>
        <v>Equal</v>
      </c>
    </row>
    <row r="121">
      <c r="A121" s="48" t="s">
        <v>14</v>
      </c>
      <c r="B121" s="49" t="s">
        <v>972</v>
      </c>
      <c r="C121" s="49" t="s">
        <v>973</v>
      </c>
      <c r="D121" s="49" t="s">
        <v>974</v>
      </c>
      <c r="E121" s="49" t="s">
        <v>975</v>
      </c>
      <c r="F121" s="49" t="s">
        <v>190</v>
      </c>
      <c r="G121" s="49" t="s">
        <v>190</v>
      </c>
      <c r="H121" s="54">
        <v>2.0</v>
      </c>
      <c r="I121" s="54">
        <v>2.0</v>
      </c>
      <c r="J121" s="49">
        <f t="shared" ref="J121:K121" si="243">LEN(SUBSTITUTE(SUBSTITUTE(SUBSTITUTE(B121 ,"ˈ",""),"d̠ʒ","ʒ"),"t̠ʃ","ʃ"))</f>
        <v>5</v>
      </c>
      <c r="K121" s="44">
        <f t="shared" si="243"/>
        <v>5</v>
      </c>
      <c r="L121" s="51">
        <f t="shared" ref="L121:M121" si="244">LEN(D121)-LEN(B121)+1</f>
        <v>2</v>
      </c>
      <c r="M121" s="51">
        <f t="shared" si="244"/>
        <v>2</v>
      </c>
      <c r="N121" s="51">
        <f t="shared" si="5"/>
        <v>0</v>
      </c>
      <c r="O121" s="51" t="str">
        <f t="shared" si="6"/>
        <v>Equal</v>
      </c>
      <c r="P121" s="51">
        <f t="shared" si="7"/>
        <v>0</v>
      </c>
      <c r="Q121" s="51" t="str">
        <f t="shared" si="8"/>
        <v>Equal</v>
      </c>
    </row>
    <row r="122">
      <c r="A122" s="48" t="s">
        <v>14</v>
      </c>
      <c r="B122" s="49" t="s">
        <v>979</v>
      </c>
      <c r="C122" s="49" t="s">
        <v>980</v>
      </c>
      <c r="D122" s="49" t="s">
        <v>981</v>
      </c>
      <c r="E122" s="49" t="s">
        <v>982</v>
      </c>
      <c r="F122" s="49" t="s">
        <v>848</v>
      </c>
      <c r="G122" s="49" t="s">
        <v>987</v>
      </c>
      <c r="H122" s="54">
        <v>2.0</v>
      </c>
      <c r="I122" s="54">
        <v>2.0</v>
      </c>
      <c r="J122" s="49">
        <f t="shared" ref="J122:K122" si="245">LEN(SUBSTITUTE(SUBSTITUTE(SUBSTITUTE(B122 ,"ˈ",""),"d̠ʒ","ʒ"),"t̠ʃ","ʃ"))</f>
        <v>4</v>
      </c>
      <c r="K122" s="44">
        <f t="shared" si="245"/>
        <v>4</v>
      </c>
      <c r="L122" s="51">
        <f t="shared" ref="L122:M122" si="246">LEN(D122)-LEN(B122)+1</f>
        <v>2</v>
      </c>
      <c r="M122" s="51">
        <f t="shared" si="246"/>
        <v>2</v>
      </c>
      <c r="N122" s="51">
        <f t="shared" si="5"/>
        <v>0</v>
      </c>
      <c r="O122" s="51" t="str">
        <f t="shared" si="6"/>
        <v>Equal</v>
      </c>
      <c r="P122" s="51">
        <f t="shared" si="7"/>
        <v>0</v>
      </c>
      <c r="Q122" s="51" t="str">
        <f t="shared" si="8"/>
        <v>Equal</v>
      </c>
    </row>
    <row r="123">
      <c r="A123" s="48" t="s">
        <v>14</v>
      </c>
      <c r="B123" s="49" t="s">
        <v>988</v>
      </c>
      <c r="C123" s="49" t="s">
        <v>989</v>
      </c>
      <c r="D123" s="49" t="s">
        <v>990</v>
      </c>
      <c r="E123" s="49" t="s">
        <v>991</v>
      </c>
      <c r="F123" s="49" t="s">
        <v>995</v>
      </c>
      <c r="G123" s="49" t="s">
        <v>996</v>
      </c>
      <c r="H123" s="54">
        <v>2.0</v>
      </c>
      <c r="I123" s="54">
        <v>2.0</v>
      </c>
      <c r="J123" s="49">
        <f t="shared" ref="J123:K123" si="247">LEN(SUBSTITUTE(SUBSTITUTE(SUBSTITUTE(B123 ,"ˈ",""),"d̠ʒ","ʒ"),"t̠ʃ","ʃ"))</f>
        <v>4</v>
      </c>
      <c r="K123" s="44">
        <f t="shared" si="247"/>
        <v>5</v>
      </c>
      <c r="L123" s="51">
        <f t="shared" ref="L123:M123" si="248">LEN(D123)-LEN(B123)+1</f>
        <v>2</v>
      </c>
      <c r="M123" s="51">
        <f t="shared" si="248"/>
        <v>2</v>
      </c>
      <c r="N123" s="51">
        <f t="shared" si="5"/>
        <v>-1</v>
      </c>
      <c r="O123" s="51" t="str">
        <f t="shared" si="6"/>
        <v>Target</v>
      </c>
      <c r="P123" s="51">
        <f t="shared" si="7"/>
        <v>0</v>
      </c>
      <c r="Q123" s="51" t="str">
        <f t="shared" si="8"/>
        <v>Equal</v>
      </c>
    </row>
    <row r="124">
      <c r="A124" s="48" t="s">
        <v>14</v>
      </c>
      <c r="B124" s="49" t="s">
        <v>997</v>
      </c>
      <c r="C124" s="49" t="s">
        <v>998</v>
      </c>
      <c r="D124" s="49" t="s">
        <v>997</v>
      </c>
      <c r="E124" s="49" t="s">
        <v>999</v>
      </c>
      <c r="F124" s="49" t="s">
        <v>36</v>
      </c>
      <c r="G124" s="49" t="s">
        <v>1002</v>
      </c>
      <c r="H124" s="54" t="s">
        <v>36</v>
      </c>
      <c r="I124" s="54">
        <v>2.0</v>
      </c>
      <c r="J124" s="49">
        <f t="shared" ref="J124:K124" si="249">LEN(SUBSTITUTE(SUBSTITUTE(SUBSTITUTE(B124 ,"ˈ",""),"d̠ʒ","ʒ"),"t̠ʃ","ʃ"))</f>
        <v>3</v>
      </c>
      <c r="K124" s="44">
        <f t="shared" si="249"/>
        <v>5</v>
      </c>
      <c r="L124" s="51">
        <f t="shared" ref="L124:M124" si="250">LEN(D124)-LEN(B124)+1</f>
        <v>1</v>
      </c>
      <c r="M124" s="51">
        <f t="shared" si="250"/>
        <v>2</v>
      </c>
      <c r="N124" s="51">
        <f t="shared" si="5"/>
        <v>-2</v>
      </c>
      <c r="O124" s="51" t="str">
        <f t="shared" si="6"/>
        <v>Target</v>
      </c>
      <c r="P124" s="51">
        <f t="shared" si="7"/>
        <v>-1</v>
      </c>
      <c r="Q124" s="51" t="str">
        <f t="shared" si="8"/>
        <v>Target</v>
      </c>
    </row>
    <row r="125">
      <c r="A125" s="48" t="s">
        <v>14</v>
      </c>
      <c r="B125" s="49" t="s">
        <v>1003</v>
      </c>
      <c r="C125" s="49" t="s">
        <v>1004</v>
      </c>
      <c r="D125" s="49" t="s">
        <v>1005</v>
      </c>
      <c r="E125" s="49" t="s">
        <v>1006</v>
      </c>
      <c r="F125" s="49" t="s">
        <v>280</v>
      </c>
      <c r="G125" s="49" t="s">
        <v>1009</v>
      </c>
      <c r="H125" s="54">
        <v>2.0</v>
      </c>
      <c r="I125" s="54">
        <v>3.0</v>
      </c>
      <c r="J125" s="49">
        <f t="shared" ref="J125:K125" si="251">LEN(SUBSTITUTE(SUBSTITUTE(SUBSTITUTE(B125 ,"ˈ",""),"d̠ʒ","ʒ"),"t̠ʃ","ʃ"))</f>
        <v>4</v>
      </c>
      <c r="K125" s="44">
        <f t="shared" si="251"/>
        <v>6</v>
      </c>
      <c r="L125" s="51">
        <f t="shared" ref="L125:M125" si="252">LEN(D125)-LEN(B125)+1</f>
        <v>2</v>
      </c>
      <c r="M125" s="51">
        <f t="shared" si="252"/>
        <v>3</v>
      </c>
      <c r="N125" s="51">
        <f t="shared" si="5"/>
        <v>-2</v>
      </c>
      <c r="O125" s="51" t="str">
        <f t="shared" si="6"/>
        <v>Target</v>
      </c>
      <c r="P125" s="51">
        <f t="shared" si="7"/>
        <v>-1</v>
      </c>
      <c r="Q125" s="51" t="str">
        <f t="shared" si="8"/>
        <v>Target</v>
      </c>
    </row>
    <row r="126">
      <c r="A126" s="48" t="s">
        <v>14</v>
      </c>
      <c r="B126" s="49" t="s">
        <v>1010</v>
      </c>
      <c r="C126" s="49" t="s">
        <v>1011</v>
      </c>
      <c r="D126" s="49" t="s">
        <v>1012</v>
      </c>
      <c r="E126" s="49" t="s">
        <v>1013</v>
      </c>
      <c r="F126" s="49" t="s">
        <v>280</v>
      </c>
      <c r="G126" s="49" t="s">
        <v>1009</v>
      </c>
      <c r="H126" s="54">
        <v>3.0</v>
      </c>
      <c r="I126" s="54">
        <v>4.0</v>
      </c>
      <c r="J126" s="49">
        <f t="shared" ref="J126:K126" si="253">LEN(SUBSTITUTE(SUBSTITUTE(SUBSTITUTE(B126 ,"ˈ",""),"d̠ʒ","ʒ"),"t̠ʃ","ʃ"))</f>
        <v>7</v>
      </c>
      <c r="K126" s="44">
        <f t="shared" si="253"/>
        <v>11</v>
      </c>
      <c r="L126" s="51">
        <f t="shared" ref="L126:M126" si="254">LEN(D126)-LEN(B126)+1</f>
        <v>3</v>
      </c>
      <c r="M126" s="51">
        <f t="shared" si="254"/>
        <v>4</v>
      </c>
      <c r="N126" s="51">
        <f t="shared" si="5"/>
        <v>-4</v>
      </c>
      <c r="O126" s="51" t="str">
        <f t="shared" si="6"/>
        <v>Target</v>
      </c>
      <c r="P126" s="51">
        <f t="shared" si="7"/>
        <v>-1</v>
      </c>
      <c r="Q126" s="51" t="str">
        <f t="shared" si="8"/>
        <v>Target</v>
      </c>
    </row>
    <row r="127">
      <c r="A127" s="48" t="s">
        <v>14</v>
      </c>
      <c r="B127" s="49" t="s">
        <v>1019</v>
      </c>
      <c r="C127" s="49" t="s">
        <v>1020</v>
      </c>
      <c r="D127" s="49" t="s">
        <v>1021</v>
      </c>
      <c r="E127" s="49" t="s">
        <v>1022</v>
      </c>
      <c r="F127" s="49" t="s">
        <v>629</v>
      </c>
      <c r="G127" s="49" t="s">
        <v>1367</v>
      </c>
      <c r="H127" s="54">
        <v>2.0</v>
      </c>
      <c r="I127" s="54">
        <v>3.0</v>
      </c>
      <c r="J127" s="49">
        <f t="shared" ref="J127:K127" si="255">LEN(SUBSTITUTE(SUBSTITUTE(SUBSTITUTE(B127 ,"ˈ",""),"d̠ʒ","ʒ"),"t̠ʃ","ʃ"))</f>
        <v>5</v>
      </c>
      <c r="K127" s="44">
        <f t="shared" si="255"/>
        <v>8</v>
      </c>
      <c r="L127" s="51">
        <f t="shared" ref="L127:M127" si="256">LEN(D127)-LEN(B127)+1</f>
        <v>2</v>
      </c>
      <c r="M127" s="51">
        <f t="shared" si="256"/>
        <v>3</v>
      </c>
      <c r="N127" s="51">
        <f t="shared" si="5"/>
        <v>-3</v>
      </c>
      <c r="O127" s="51" t="str">
        <f t="shared" si="6"/>
        <v>Target</v>
      </c>
      <c r="P127" s="51">
        <f t="shared" si="7"/>
        <v>-1</v>
      </c>
      <c r="Q127" s="51" t="str">
        <f t="shared" si="8"/>
        <v>Target</v>
      </c>
    </row>
    <row r="128">
      <c r="A128" s="48" t="s">
        <v>14</v>
      </c>
      <c r="B128" s="49" t="s">
        <v>1025</v>
      </c>
      <c r="C128" s="49" t="s">
        <v>1026</v>
      </c>
      <c r="D128" s="49" t="s">
        <v>1027</v>
      </c>
      <c r="E128" s="49" t="s">
        <v>1028</v>
      </c>
      <c r="F128" s="49" t="s">
        <v>1032</v>
      </c>
      <c r="G128" s="49" t="s">
        <v>1033</v>
      </c>
      <c r="H128" s="54">
        <v>2.0</v>
      </c>
      <c r="I128" s="54">
        <v>3.0</v>
      </c>
      <c r="J128" s="49">
        <f t="shared" ref="J128:K128" si="257">LEN(SUBSTITUTE(SUBSTITUTE(SUBSTITUTE(B128 ,"ˈ",""),"d̠ʒ","ʒ"),"t̠ʃ","ʃ"))</f>
        <v>4</v>
      </c>
      <c r="K128" s="44">
        <f t="shared" si="257"/>
        <v>7</v>
      </c>
      <c r="L128" s="51">
        <f t="shared" ref="L128:M128" si="258">LEN(D128)-LEN(B128)+1</f>
        <v>2</v>
      </c>
      <c r="M128" s="51">
        <f t="shared" si="258"/>
        <v>3</v>
      </c>
      <c r="N128" s="51">
        <f t="shared" si="5"/>
        <v>-3</v>
      </c>
      <c r="O128" s="51" t="str">
        <f t="shared" si="6"/>
        <v>Target</v>
      </c>
      <c r="P128" s="51">
        <f t="shared" si="7"/>
        <v>-1</v>
      </c>
      <c r="Q128" s="51" t="str">
        <f t="shared" si="8"/>
        <v>Target</v>
      </c>
    </row>
    <row r="129">
      <c r="A129" s="48" t="s">
        <v>14</v>
      </c>
      <c r="B129" s="49" t="s">
        <v>1034</v>
      </c>
      <c r="C129" s="49" t="s">
        <v>1035</v>
      </c>
      <c r="D129" s="49" t="s">
        <v>1036</v>
      </c>
      <c r="E129" s="49" t="s">
        <v>1037</v>
      </c>
      <c r="F129" s="49" t="s">
        <v>1040</v>
      </c>
      <c r="G129" s="49" t="s">
        <v>1041</v>
      </c>
      <c r="H129" s="54">
        <v>2.0</v>
      </c>
      <c r="I129" s="54">
        <v>2.0</v>
      </c>
      <c r="J129" s="49">
        <f t="shared" ref="J129:K129" si="259">LEN(SUBSTITUTE(SUBSTITUTE(SUBSTITUTE(B129 ,"ˈ",""),"d̠ʒ","ʒ"),"t̠ʃ","ʃ"))</f>
        <v>4</v>
      </c>
      <c r="K129" s="44">
        <f t="shared" si="259"/>
        <v>5</v>
      </c>
      <c r="L129" s="51">
        <f t="shared" ref="L129:M129" si="260">LEN(D129)-LEN(B129)+1</f>
        <v>2</v>
      </c>
      <c r="M129" s="51">
        <f t="shared" si="260"/>
        <v>2</v>
      </c>
      <c r="N129" s="51">
        <f t="shared" si="5"/>
        <v>-1</v>
      </c>
      <c r="O129" s="51" t="str">
        <f t="shared" si="6"/>
        <v>Target</v>
      </c>
      <c r="P129" s="51">
        <f t="shared" si="7"/>
        <v>0</v>
      </c>
      <c r="Q129" s="51" t="str">
        <f t="shared" si="8"/>
        <v>Equal</v>
      </c>
    </row>
    <row r="130">
      <c r="A130" s="48" t="s">
        <v>14</v>
      </c>
      <c r="B130" s="49" t="s">
        <v>797</v>
      </c>
      <c r="C130" s="49" t="s">
        <v>798</v>
      </c>
      <c r="D130" s="49" t="s">
        <v>797</v>
      </c>
      <c r="E130" s="49" t="s">
        <v>798</v>
      </c>
      <c r="F130" s="49" t="s">
        <v>797</v>
      </c>
      <c r="G130" s="49" t="s">
        <v>798</v>
      </c>
      <c r="H130" s="54">
        <v>1.0</v>
      </c>
      <c r="I130" s="54">
        <v>1.0</v>
      </c>
      <c r="J130" s="49">
        <f t="shared" ref="J130:K130" si="261">LEN(SUBSTITUTE(SUBSTITUTE(SUBSTITUTE(B130 ,"ˈ",""),"d̠ʒ","ʒ"),"t̠ʃ","ʃ"))</f>
        <v>2</v>
      </c>
      <c r="K130" s="44">
        <f t="shared" si="261"/>
        <v>3</v>
      </c>
      <c r="L130" s="51">
        <f t="shared" ref="L130:M130" si="262">LEN(D130)-LEN(B130)+1</f>
        <v>1</v>
      </c>
      <c r="M130" s="51">
        <f t="shared" si="262"/>
        <v>1</v>
      </c>
      <c r="N130" s="51">
        <f t="shared" si="5"/>
        <v>-1</v>
      </c>
      <c r="O130" s="51" t="str">
        <f t="shared" si="6"/>
        <v>Target</v>
      </c>
      <c r="P130" s="51">
        <f t="shared" si="7"/>
        <v>0</v>
      </c>
      <c r="Q130" s="51" t="str">
        <f t="shared" si="8"/>
        <v>Equal</v>
      </c>
    </row>
    <row r="131">
      <c r="A131" s="48" t="s">
        <v>14</v>
      </c>
      <c r="B131" s="49" t="s">
        <v>1044</v>
      </c>
      <c r="C131" s="49" t="s">
        <v>1045</v>
      </c>
      <c r="D131" s="49" t="s">
        <v>1046</v>
      </c>
      <c r="E131" s="49" t="s">
        <v>1047</v>
      </c>
      <c r="F131" s="49" t="s">
        <v>394</v>
      </c>
      <c r="G131" s="49" t="s">
        <v>1051</v>
      </c>
      <c r="H131" s="54">
        <v>2.0</v>
      </c>
      <c r="I131" s="54">
        <v>2.0</v>
      </c>
      <c r="J131" s="49">
        <f t="shared" ref="J131:K131" si="263">LEN(SUBSTITUTE(SUBSTITUTE(SUBSTITUTE(B131 ,"ˈ",""),"d̠ʒ","ʒ"),"t̠ʃ","ʃ"))</f>
        <v>4</v>
      </c>
      <c r="K131" s="44">
        <f t="shared" si="263"/>
        <v>5</v>
      </c>
      <c r="L131" s="51">
        <f t="shared" ref="L131:M131" si="264">LEN(D131)-LEN(B131)+1</f>
        <v>2</v>
      </c>
      <c r="M131" s="51">
        <f t="shared" si="264"/>
        <v>2</v>
      </c>
      <c r="N131" s="51">
        <f t="shared" si="5"/>
        <v>-1</v>
      </c>
      <c r="O131" s="51" t="str">
        <f t="shared" si="6"/>
        <v>Target</v>
      </c>
      <c r="P131" s="51">
        <f t="shared" si="7"/>
        <v>0</v>
      </c>
      <c r="Q131" s="51" t="str">
        <f t="shared" si="8"/>
        <v>Equal</v>
      </c>
    </row>
    <row r="132">
      <c r="A132" s="48" t="s">
        <v>14</v>
      </c>
      <c r="B132" s="49" t="s">
        <v>1052</v>
      </c>
      <c r="C132" s="49" t="s">
        <v>1053</v>
      </c>
      <c r="D132" s="49" t="s">
        <v>1054</v>
      </c>
      <c r="E132" s="49" t="s">
        <v>1055</v>
      </c>
      <c r="F132" s="49" t="s">
        <v>1060</v>
      </c>
      <c r="G132" s="49" t="s">
        <v>1061</v>
      </c>
      <c r="H132" s="54">
        <v>2.0</v>
      </c>
      <c r="I132" s="54">
        <v>2.0</v>
      </c>
      <c r="J132" s="49">
        <f t="shared" ref="J132:K132" si="265">LEN(SUBSTITUTE(SUBSTITUTE(SUBSTITUTE(B132 ,"ˈ",""),"d̠ʒ","ʒ"),"t̠ʃ","ʃ"))</f>
        <v>5</v>
      </c>
      <c r="K132" s="44">
        <f t="shared" si="265"/>
        <v>6</v>
      </c>
      <c r="L132" s="51">
        <f t="shared" ref="L132:M132" si="266">LEN(D132)-LEN(B132)+1</f>
        <v>2</v>
      </c>
      <c r="M132" s="51">
        <f t="shared" si="266"/>
        <v>2</v>
      </c>
      <c r="N132" s="51">
        <f t="shared" si="5"/>
        <v>-1</v>
      </c>
      <c r="O132" s="51" t="str">
        <f t="shared" si="6"/>
        <v>Target</v>
      </c>
      <c r="P132" s="51">
        <f t="shared" si="7"/>
        <v>0</v>
      </c>
      <c r="Q132" s="51" t="str">
        <f t="shared" si="8"/>
        <v>Equal</v>
      </c>
    </row>
    <row r="133">
      <c r="A133" s="48" t="s">
        <v>14</v>
      </c>
      <c r="B133" s="49" t="s">
        <v>1062</v>
      </c>
      <c r="C133" s="49" t="s">
        <v>3664</v>
      </c>
      <c r="D133" s="49" t="s">
        <v>1064</v>
      </c>
      <c r="E133" s="49" t="s">
        <v>3664</v>
      </c>
      <c r="F133" s="49" t="s">
        <v>131</v>
      </c>
      <c r="G133" s="49" t="s">
        <v>36</v>
      </c>
      <c r="H133" s="54">
        <v>2.0</v>
      </c>
      <c r="I133" s="54" t="s">
        <v>36</v>
      </c>
      <c r="J133" s="49">
        <f t="shared" ref="J133:K133" si="267">LEN(SUBSTITUTE(SUBSTITUTE(SUBSTITUTE(B133 ,"ˈ",""),"d̠ʒ","ʒ"),"t̠ʃ","ʃ"))</f>
        <v>4</v>
      </c>
      <c r="K133" s="44">
        <f t="shared" si="267"/>
        <v>3</v>
      </c>
      <c r="L133" s="51">
        <f t="shared" ref="L133:M133" si="268">LEN(D133)-LEN(B133)+1</f>
        <v>2</v>
      </c>
      <c r="M133" s="51">
        <f t="shared" si="268"/>
        <v>1</v>
      </c>
      <c r="N133" s="51">
        <f t="shared" si="5"/>
        <v>1</v>
      </c>
      <c r="O133" s="51" t="str">
        <f t="shared" si="6"/>
        <v>Source</v>
      </c>
      <c r="P133" s="51">
        <f t="shared" si="7"/>
        <v>1</v>
      </c>
      <c r="Q133" s="51" t="str">
        <f t="shared" si="8"/>
        <v>Source</v>
      </c>
    </row>
    <row r="134">
      <c r="A134" s="48" t="s">
        <v>14</v>
      </c>
      <c r="B134" s="49" t="s">
        <v>1068</v>
      </c>
      <c r="C134" s="49" t="s">
        <v>1069</v>
      </c>
      <c r="D134" s="49" t="s">
        <v>1070</v>
      </c>
      <c r="E134" s="49" t="s">
        <v>1071</v>
      </c>
      <c r="F134" s="49" t="s">
        <v>1075</v>
      </c>
      <c r="G134" s="49" t="s">
        <v>1076</v>
      </c>
      <c r="H134" s="54">
        <v>2.0</v>
      </c>
      <c r="I134" s="54">
        <v>2.0</v>
      </c>
      <c r="J134" s="49">
        <f t="shared" ref="J134:K134" si="269">LEN(SUBSTITUTE(SUBSTITUTE(SUBSTITUTE(B134 ,"ˈ",""),"d̠ʒ","ʒ"),"t̠ʃ","ʃ"))</f>
        <v>4</v>
      </c>
      <c r="K134" s="44">
        <f t="shared" si="269"/>
        <v>6</v>
      </c>
      <c r="L134" s="51">
        <f t="shared" ref="L134:M134" si="270">LEN(D134)-LEN(B134)+1</f>
        <v>2</v>
      </c>
      <c r="M134" s="51">
        <f t="shared" si="270"/>
        <v>2</v>
      </c>
      <c r="N134" s="51">
        <f t="shared" si="5"/>
        <v>-2</v>
      </c>
      <c r="O134" s="51" t="str">
        <f t="shared" si="6"/>
        <v>Target</v>
      </c>
      <c r="P134" s="51">
        <f t="shared" si="7"/>
        <v>0</v>
      </c>
      <c r="Q134" s="51" t="str">
        <f t="shared" si="8"/>
        <v>Equal</v>
      </c>
    </row>
    <row r="135">
      <c r="A135" s="48" t="s">
        <v>14</v>
      </c>
      <c r="B135" s="49" t="s">
        <v>947</v>
      </c>
      <c r="C135" s="49" t="s">
        <v>1077</v>
      </c>
      <c r="D135" s="49" t="s">
        <v>947</v>
      </c>
      <c r="E135" s="49" t="s">
        <v>1078</v>
      </c>
      <c r="F135" s="49" t="s">
        <v>36</v>
      </c>
      <c r="G135" s="49" t="s">
        <v>1081</v>
      </c>
      <c r="H135" s="54" t="s">
        <v>36</v>
      </c>
      <c r="I135" s="54">
        <v>2.0</v>
      </c>
      <c r="J135" s="49">
        <f t="shared" ref="J135:K135" si="271">LEN(SUBSTITUTE(SUBSTITUTE(SUBSTITUTE(B135 ,"ˈ",""),"d̠ʒ","ʒ"),"t̠ʃ","ʃ"))</f>
        <v>3</v>
      </c>
      <c r="K135" s="44">
        <f t="shared" si="271"/>
        <v>5</v>
      </c>
      <c r="L135" s="51">
        <f t="shared" ref="L135:M135" si="272">LEN(D135)-LEN(B135)+1</f>
        <v>1</v>
      </c>
      <c r="M135" s="51">
        <f t="shared" si="272"/>
        <v>2</v>
      </c>
      <c r="N135" s="51">
        <f t="shared" si="5"/>
        <v>-2</v>
      </c>
      <c r="O135" s="51" t="str">
        <f t="shared" si="6"/>
        <v>Target</v>
      </c>
      <c r="P135" s="51">
        <f t="shared" si="7"/>
        <v>-1</v>
      </c>
      <c r="Q135" s="51" t="str">
        <f t="shared" si="8"/>
        <v>Target</v>
      </c>
    </row>
    <row r="136">
      <c r="A136" s="48" t="s">
        <v>14</v>
      </c>
      <c r="B136" s="49" t="s">
        <v>1082</v>
      </c>
      <c r="C136" s="49" t="s">
        <v>1083</v>
      </c>
      <c r="D136" s="49" t="s">
        <v>1084</v>
      </c>
      <c r="E136" s="49" t="s">
        <v>1085</v>
      </c>
      <c r="F136" s="49" t="s">
        <v>214</v>
      </c>
      <c r="G136" s="49" t="s">
        <v>1089</v>
      </c>
      <c r="H136" s="54">
        <v>2.0</v>
      </c>
      <c r="I136" s="54">
        <v>2.0</v>
      </c>
      <c r="J136" s="49">
        <f t="shared" ref="J136:K136" si="273">LEN(SUBSTITUTE(SUBSTITUTE(SUBSTITUTE(B136 ,"ˈ",""),"d̠ʒ","ʒ"),"t̠ʃ","ʃ"))</f>
        <v>4</v>
      </c>
      <c r="K136" s="44">
        <f t="shared" si="273"/>
        <v>6</v>
      </c>
      <c r="L136" s="51">
        <f t="shared" ref="L136:M136" si="274">LEN(D136)-LEN(B136)+1</f>
        <v>2</v>
      </c>
      <c r="M136" s="51">
        <f t="shared" si="274"/>
        <v>2</v>
      </c>
      <c r="N136" s="51">
        <f t="shared" si="5"/>
        <v>-2</v>
      </c>
      <c r="O136" s="51" t="str">
        <f t="shared" si="6"/>
        <v>Target</v>
      </c>
      <c r="P136" s="51">
        <f t="shared" si="7"/>
        <v>0</v>
      </c>
      <c r="Q136" s="51" t="str">
        <f t="shared" si="8"/>
        <v>Equal</v>
      </c>
    </row>
    <row r="137">
      <c r="A137" s="48" t="s">
        <v>14</v>
      </c>
      <c r="B137" s="49" t="s">
        <v>1090</v>
      </c>
      <c r="C137" s="49" t="s">
        <v>1091</v>
      </c>
      <c r="D137" s="49" t="s">
        <v>1090</v>
      </c>
      <c r="E137" s="49" t="s">
        <v>1092</v>
      </c>
      <c r="F137" s="49" t="s">
        <v>36</v>
      </c>
      <c r="G137" s="49" t="s">
        <v>1508</v>
      </c>
      <c r="H137" s="54" t="s">
        <v>36</v>
      </c>
      <c r="I137" s="54">
        <v>3.0</v>
      </c>
      <c r="J137" s="49">
        <f t="shared" ref="J137:K137" si="275">LEN(SUBSTITUTE(SUBSTITUTE(SUBSTITUTE(B137 ,"ˈ",""),"d̠ʒ","ʒ"),"t̠ʃ","ʃ"))</f>
        <v>3</v>
      </c>
      <c r="K137" s="44">
        <f t="shared" si="275"/>
        <v>7</v>
      </c>
      <c r="L137" s="51">
        <f t="shared" ref="L137:M137" si="276">LEN(D137)-LEN(B137)+1</f>
        <v>1</v>
      </c>
      <c r="M137" s="51">
        <f t="shared" si="276"/>
        <v>3</v>
      </c>
      <c r="N137" s="51">
        <f t="shared" si="5"/>
        <v>-4</v>
      </c>
      <c r="O137" s="51" t="str">
        <f t="shared" si="6"/>
        <v>Target</v>
      </c>
      <c r="P137" s="51">
        <f t="shared" si="7"/>
        <v>-2</v>
      </c>
      <c r="Q137" s="51" t="str">
        <f t="shared" si="8"/>
        <v>Target</v>
      </c>
    </row>
    <row r="138">
      <c r="A138" s="48" t="s">
        <v>14</v>
      </c>
      <c r="B138" s="49" t="s">
        <v>1095</v>
      </c>
      <c r="C138" s="49" t="s">
        <v>1096</v>
      </c>
      <c r="D138" s="49" t="s">
        <v>1097</v>
      </c>
      <c r="E138" s="49" t="s">
        <v>1098</v>
      </c>
      <c r="F138" s="49" t="s">
        <v>995</v>
      </c>
      <c r="G138" s="49" t="s">
        <v>996</v>
      </c>
      <c r="H138" s="54">
        <v>2.0</v>
      </c>
      <c r="I138" s="54">
        <v>2.0</v>
      </c>
      <c r="J138" s="49">
        <f t="shared" ref="J138:K138" si="277">LEN(SUBSTITUTE(SUBSTITUTE(SUBSTITUTE(B138 ,"ˈ",""),"d̠ʒ","ʒ"),"t̠ʃ","ʃ"))</f>
        <v>4</v>
      </c>
      <c r="K138" s="44">
        <f t="shared" si="277"/>
        <v>5</v>
      </c>
      <c r="L138" s="51">
        <f t="shared" ref="L138:M138" si="278">LEN(D138)-LEN(B138)+1</f>
        <v>2</v>
      </c>
      <c r="M138" s="51">
        <f t="shared" si="278"/>
        <v>2</v>
      </c>
      <c r="N138" s="51">
        <f t="shared" si="5"/>
        <v>-1</v>
      </c>
      <c r="O138" s="51" t="str">
        <f t="shared" si="6"/>
        <v>Target</v>
      </c>
      <c r="P138" s="51">
        <f t="shared" si="7"/>
        <v>0</v>
      </c>
      <c r="Q138" s="51" t="str">
        <f t="shared" si="8"/>
        <v>Equal</v>
      </c>
    </row>
    <row r="139">
      <c r="A139" s="48" t="s">
        <v>14</v>
      </c>
      <c r="B139" s="49" t="s">
        <v>1102</v>
      </c>
      <c r="C139" s="49" t="s">
        <v>1103</v>
      </c>
      <c r="D139" s="49" t="s">
        <v>1104</v>
      </c>
      <c r="E139" s="49" t="s">
        <v>1105</v>
      </c>
      <c r="F139" s="49" t="s">
        <v>131</v>
      </c>
      <c r="G139" s="49" t="s">
        <v>132</v>
      </c>
      <c r="H139" s="54">
        <v>2.0</v>
      </c>
      <c r="I139" s="54">
        <v>2.0</v>
      </c>
      <c r="J139" s="49">
        <f t="shared" ref="J139:K139" si="279">LEN(SUBSTITUTE(SUBSTITUTE(SUBSTITUTE(B139 ,"ˈ",""),"d̠ʒ","ʒ"),"t̠ʃ","ʃ"))</f>
        <v>4</v>
      </c>
      <c r="K139" s="44">
        <f t="shared" si="279"/>
        <v>6</v>
      </c>
      <c r="L139" s="51">
        <f t="shared" ref="L139:M139" si="280">LEN(D139)-LEN(B139)+1</f>
        <v>2</v>
      </c>
      <c r="M139" s="51">
        <f t="shared" si="280"/>
        <v>2</v>
      </c>
      <c r="N139" s="51">
        <f t="shared" si="5"/>
        <v>-2</v>
      </c>
      <c r="O139" s="51" t="str">
        <f t="shared" si="6"/>
        <v>Target</v>
      </c>
      <c r="P139" s="51">
        <f t="shared" si="7"/>
        <v>0</v>
      </c>
      <c r="Q139" s="51" t="str">
        <f t="shared" si="8"/>
        <v>Equal</v>
      </c>
    </row>
    <row r="140">
      <c r="A140" s="48" t="s">
        <v>14</v>
      </c>
      <c r="B140" s="49" t="s">
        <v>1109</v>
      </c>
      <c r="C140" s="49" t="s">
        <v>1110</v>
      </c>
      <c r="D140" s="49" t="s">
        <v>1111</v>
      </c>
      <c r="E140" s="49" t="s">
        <v>1112</v>
      </c>
      <c r="F140" s="49" t="s">
        <v>481</v>
      </c>
      <c r="G140" s="49" t="s">
        <v>1117</v>
      </c>
      <c r="H140" s="54">
        <v>2.0</v>
      </c>
      <c r="I140" s="54">
        <v>3.0</v>
      </c>
      <c r="J140" s="49">
        <f t="shared" ref="J140:K140" si="281">LEN(SUBSTITUTE(SUBSTITUTE(SUBSTITUTE(B140 ,"ˈ",""),"d̠ʒ","ʒ"),"t̠ʃ","ʃ"))</f>
        <v>5</v>
      </c>
      <c r="K140" s="44">
        <f t="shared" si="281"/>
        <v>8</v>
      </c>
      <c r="L140" s="51">
        <f t="shared" ref="L140:M140" si="282">LEN(D140)-LEN(B140)+1</f>
        <v>2</v>
      </c>
      <c r="M140" s="51">
        <f t="shared" si="282"/>
        <v>3</v>
      </c>
      <c r="N140" s="51">
        <f t="shared" si="5"/>
        <v>-3</v>
      </c>
      <c r="O140" s="51" t="str">
        <f t="shared" si="6"/>
        <v>Target</v>
      </c>
      <c r="P140" s="51">
        <f t="shared" si="7"/>
        <v>-1</v>
      </c>
      <c r="Q140" s="51" t="str">
        <f t="shared" si="8"/>
        <v>Target</v>
      </c>
    </row>
    <row r="141">
      <c r="A141" s="48" t="s">
        <v>14</v>
      </c>
      <c r="B141" s="49" t="s">
        <v>1118</v>
      </c>
      <c r="C141" s="49" t="s">
        <v>1119</v>
      </c>
      <c r="D141" s="49" t="s">
        <v>1118</v>
      </c>
      <c r="E141" s="49" t="s">
        <v>1119</v>
      </c>
      <c r="F141" s="49" t="s">
        <v>1118</v>
      </c>
      <c r="G141" s="49" t="s">
        <v>1119</v>
      </c>
      <c r="H141" s="54">
        <v>1.0</v>
      </c>
      <c r="I141" s="54">
        <v>1.0</v>
      </c>
      <c r="J141" s="49">
        <f t="shared" ref="J141:K141" si="283">LEN(SUBSTITUTE(SUBSTITUTE(SUBSTITUTE(B141 ,"ˈ",""),"d̠ʒ","ʒ"),"t̠ʃ","ʃ"))</f>
        <v>2</v>
      </c>
      <c r="K141" s="44">
        <f t="shared" si="283"/>
        <v>3</v>
      </c>
      <c r="L141" s="51">
        <f t="shared" ref="L141:M141" si="284">LEN(D141)-LEN(B141)+1</f>
        <v>1</v>
      </c>
      <c r="M141" s="51">
        <f t="shared" si="284"/>
        <v>1</v>
      </c>
      <c r="N141" s="51">
        <f t="shared" si="5"/>
        <v>-1</v>
      </c>
      <c r="O141" s="51" t="str">
        <f t="shared" si="6"/>
        <v>Target</v>
      </c>
      <c r="P141" s="51">
        <f t="shared" si="7"/>
        <v>0</v>
      </c>
      <c r="Q141" s="51" t="str">
        <f t="shared" si="8"/>
        <v>Equal</v>
      </c>
    </row>
    <row r="142">
      <c r="A142" s="48" t="s">
        <v>14</v>
      </c>
      <c r="B142" s="49" t="s">
        <v>1122</v>
      </c>
      <c r="C142" s="49" t="s">
        <v>1123</v>
      </c>
      <c r="D142" s="49" t="s">
        <v>1124</v>
      </c>
      <c r="E142" s="49" t="s">
        <v>1125</v>
      </c>
      <c r="F142" s="49" t="s">
        <v>1032</v>
      </c>
      <c r="G142" s="49" t="s">
        <v>1129</v>
      </c>
      <c r="H142" s="54">
        <v>2.0</v>
      </c>
      <c r="I142" s="54">
        <v>2.0</v>
      </c>
      <c r="J142" s="49">
        <f t="shared" ref="J142:K142" si="285">LEN(SUBSTITUTE(SUBSTITUTE(SUBSTITUTE(B142 ,"ˈ",""),"d̠ʒ","ʒ"),"t̠ʃ","ʃ"))</f>
        <v>5</v>
      </c>
      <c r="K142" s="44">
        <f t="shared" si="285"/>
        <v>6</v>
      </c>
      <c r="L142" s="51">
        <f t="shared" ref="L142:M142" si="286">LEN(D142)-LEN(B142)+1</f>
        <v>2</v>
      </c>
      <c r="M142" s="51">
        <f t="shared" si="286"/>
        <v>2</v>
      </c>
      <c r="N142" s="51">
        <f t="shared" si="5"/>
        <v>-1</v>
      </c>
      <c r="O142" s="51" t="str">
        <f t="shared" si="6"/>
        <v>Target</v>
      </c>
      <c r="P142" s="51">
        <f t="shared" si="7"/>
        <v>0</v>
      </c>
      <c r="Q142" s="51" t="str">
        <f t="shared" si="8"/>
        <v>Equal</v>
      </c>
    </row>
    <row r="143">
      <c r="A143" s="48" t="s">
        <v>14</v>
      </c>
      <c r="B143" s="49" t="s">
        <v>1130</v>
      </c>
      <c r="C143" s="49" t="s">
        <v>1131</v>
      </c>
      <c r="D143" s="49" t="s">
        <v>1132</v>
      </c>
      <c r="E143" s="49" t="s">
        <v>1133</v>
      </c>
      <c r="F143" s="49" t="s">
        <v>1040</v>
      </c>
      <c r="G143" s="49" t="s">
        <v>1041</v>
      </c>
      <c r="H143" s="54">
        <v>2.0</v>
      </c>
      <c r="I143" s="54">
        <v>3.0</v>
      </c>
      <c r="J143" s="49">
        <f t="shared" ref="J143:K143" si="287">LEN(SUBSTITUTE(SUBSTITUTE(SUBSTITUTE(B143 ,"ˈ",""),"d̠ʒ","ʒ"),"t̠ʃ","ʃ"))</f>
        <v>5</v>
      </c>
      <c r="K143" s="44">
        <f t="shared" si="287"/>
        <v>7</v>
      </c>
      <c r="L143" s="51">
        <f t="shared" ref="L143:M143" si="288">LEN(D143)-LEN(B143)+1</f>
        <v>2</v>
      </c>
      <c r="M143" s="51">
        <f t="shared" si="288"/>
        <v>3</v>
      </c>
      <c r="N143" s="51">
        <f t="shared" si="5"/>
        <v>-2</v>
      </c>
      <c r="O143" s="51" t="str">
        <f t="shared" si="6"/>
        <v>Target</v>
      </c>
      <c r="P143" s="51">
        <f t="shared" si="7"/>
        <v>-1</v>
      </c>
      <c r="Q143" s="51" t="str">
        <f t="shared" si="8"/>
        <v>Target</v>
      </c>
    </row>
    <row r="144">
      <c r="A144" s="48" t="s">
        <v>14</v>
      </c>
      <c r="B144" s="49" t="s">
        <v>1138</v>
      </c>
      <c r="C144" s="49" t="s">
        <v>1139</v>
      </c>
      <c r="D144" s="49" t="s">
        <v>1140</v>
      </c>
      <c r="E144" s="49" t="s">
        <v>1141</v>
      </c>
      <c r="F144" s="49" t="s">
        <v>918</v>
      </c>
      <c r="G144" s="49" t="s">
        <v>1145</v>
      </c>
      <c r="H144" s="54">
        <v>2.0</v>
      </c>
      <c r="I144" s="54">
        <v>2.0</v>
      </c>
      <c r="J144" s="49">
        <f t="shared" ref="J144:K144" si="289">LEN(SUBSTITUTE(SUBSTITUTE(SUBSTITUTE(B144 ,"ˈ",""),"d̠ʒ","ʒ"),"t̠ʃ","ʃ"))</f>
        <v>4</v>
      </c>
      <c r="K144" s="44">
        <f t="shared" si="289"/>
        <v>6</v>
      </c>
      <c r="L144" s="51">
        <f t="shared" ref="L144:M144" si="290">LEN(D144)-LEN(B144)+1</f>
        <v>2</v>
      </c>
      <c r="M144" s="51">
        <f t="shared" si="290"/>
        <v>2</v>
      </c>
      <c r="N144" s="51">
        <f t="shared" si="5"/>
        <v>-2</v>
      </c>
      <c r="O144" s="51" t="str">
        <f t="shared" si="6"/>
        <v>Target</v>
      </c>
      <c r="P144" s="51">
        <f t="shared" si="7"/>
        <v>0</v>
      </c>
      <c r="Q144" s="51" t="str">
        <f t="shared" si="8"/>
        <v>Equal</v>
      </c>
    </row>
    <row r="145">
      <c r="A145" s="48" t="s">
        <v>14</v>
      </c>
      <c r="B145" s="49" t="s">
        <v>1146</v>
      </c>
      <c r="C145" s="49" t="s">
        <v>1147</v>
      </c>
      <c r="D145" s="49" t="s">
        <v>1148</v>
      </c>
      <c r="E145" s="49" t="s">
        <v>1149</v>
      </c>
      <c r="F145" s="49" t="s">
        <v>36</v>
      </c>
      <c r="G145" s="49" t="s">
        <v>1152</v>
      </c>
      <c r="H145" s="54" t="s">
        <v>36</v>
      </c>
      <c r="I145" s="54">
        <v>2.0</v>
      </c>
      <c r="J145" s="49">
        <f t="shared" ref="J145:K145" si="291">LEN(SUBSTITUTE(SUBSTITUTE(SUBSTITUTE(B145 ,"ˈ",""),"d̠ʒ","ʒ"),"t̠ʃ","ʃ"))</f>
        <v>3</v>
      </c>
      <c r="K145" s="44">
        <f t="shared" si="291"/>
        <v>5</v>
      </c>
      <c r="L145" s="51">
        <f t="shared" ref="L145:M145" si="292">LEN(D145)-LEN(B145)+1</f>
        <v>2</v>
      </c>
      <c r="M145" s="51">
        <f t="shared" si="292"/>
        <v>2</v>
      </c>
      <c r="N145" s="51">
        <f t="shared" si="5"/>
        <v>-2</v>
      </c>
      <c r="O145" s="51" t="str">
        <f t="shared" si="6"/>
        <v>Target</v>
      </c>
      <c r="P145" s="51">
        <f t="shared" si="7"/>
        <v>0</v>
      </c>
      <c r="Q145" s="51" t="str">
        <f t="shared" si="8"/>
        <v>Equal</v>
      </c>
    </row>
    <row r="146">
      <c r="A146" s="48" t="s">
        <v>14</v>
      </c>
      <c r="B146" s="49" t="s">
        <v>1153</v>
      </c>
      <c r="C146" s="49" t="s">
        <v>1154</v>
      </c>
      <c r="D146" s="49" t="s">
        <v>1155</v>
      </c>
      <c r="E146" s="49" t="s">
        <v>1156</v>
      </c>
      <c r="F146" s="49" t="s">
        <v>98</v>
      </c>
      <c r="G146" s="49" t="s">
        <v>1089</v>
      </c>
      <c r="H146" s="54">
        <v>3.0</v>
      </c>
      <c r="I146" s="54">
        <v>2.0</v>
      </c>
      <c r="J146" s="49">
        <f t="shared" ref="J146:K146" si="293">LEN(SUBSTITUTE(SUBSTITUTE(SUBSTITUTE(B146 ,"ˈ",""),"d̠ʒ","ʒ"),"t̠ʃ","ʃ"))</f>
        <v>8</v>
      </c>
      <c r="K146" s="44">
        <f t="shared" si="293"/>
        <v>6</v>
      </c>
      <c r="L146" s="51">
        <f t="shared" ref="L146:M146" si="294">LEN(D146)-LEN(B146)+1</f>
        <v>3</v>
      </c>
      <c r="M146" s="51">
        <f t="shared" si="294"/>
        <v>2</v>
      </c>
      <c r="N146" s="51">
        <f t="shared" si="5"/>
        <v>2</v>
      </c>
      <c r="O146" s="51" t="str">
        <f t="shared" si="6"/>
        <v>Source</v>
      </c>
      <c r="P146" s="51">
        <f t="shared" si="7"/>
        <v>1</v>
      </c>
      <c r="Q146" s="51" t="str">
        <f t="shared" si="8"/>
        <v>Source</v>
      </c>
    </row>
    <row r="147">
      <c r="A147" s="48" t="s">
        <v>14</v>
      </c>
      <c r="B147" s="49" t="s">
        <v>1159</v>
      </c>
      <c r="C147" s="49" t="s">
        <v>1160</v>
      </c>
      <c r="D147" s="49" t="s">
        <v>1161</v>
      </c>
      <c r="E147" s="49" t="s">
        <v>1162</v>
      </c>
      <c r="F147" s="49" t="s">
        <v>1075</v>
      </c>
      <c r="G147" s="49" t="s">
        <v>1076</v>
      </c>
      <c r="H147" s="54">
        <v>2.0</v>
      </c>
      <c r="I147" s="54">
        <v>2.0</v>
      </c>
      <c r="J147" s="49">
        <f t="shared" ref="J147:K147" si="295">LEN(SUBSTITUTE(SUBSTITUTE(SUBSTITUTE(B147 ,"ˈ",""),"d̠ʒ","ʒ"),"t̠ʃ","ʃ"))</f>
        <v>4</v>
      </c>
      <c r="K147" s="44">
        <f t="shared" si="295"/>
        <v>6</v>
      </c>
      <c r="L147" s="51">
        <f t="shared" ref="L147:M147" si="296">LEN(D147)-LEN(B147)+1</f>
        <v>2</v>
      </c>
      <c r="M147" s="51">
        <f t="shared" si="296"/>
        <v>2</v>
      </c>
      <c r="N147" s="51">
        <f t="shared" si="5"/>
        <v>-2</v>
      </c>
      <c r="O147" s="51" t="str">
        <f t="shared" si="6"/>
        <v>Target</v>
      </c>
      <c r="P147" s="51">
        <f t="shared" si="7"/>
        <v>0</v>
      </c>
      <c r="Q147" s="51" t="str">
        <f t="shared" si="8"/>
        <v>Equal</v>
      </c>
    </row>
    <row r="148">
      <c r="A148" s="48" t="s">
        <v>14</v>
      </c>
      <c r="B148" s="49" t="s">
        <v>1167</v>
      </c>
      <c r="C148" s="49" t="s">
        <v>3665</v>
      </c>
      <c r="D148" s="49" t="s">
        <v>1169</v>
      </c>
      <c r="E148" s="49" t="s">
        <v>3666</v>
      </c>
      <c r="F148" s="49" t="s">
        <v>1060</v>
      </c>
      <c r="G148" s="49" t="s">
        <v>1009</v>
      </c>
      <c r="H148" s="54">
        <v>2.0</v>
      </c>
      <c r="I148" s="54">
        <v>3.0</v>
      </c>
      <c r="J148" s="49">
        <f t="shared" ref="J148:K148" si="297">LEN(SUBSTITUTE(SUBSTITUTE(SUBSTITUTE(B148 ,"ˈ",""),"d̠ʒ","ʒ"),"t̠ʃ","ʃ"))</f>
        <v>4</v>
      </c>
      <c r="K148" s="44">
        <f t="shared" si="297"/>
        <v>6</v>
      </c>
      <c r="L148" s="51">
        <f t="shared" ref="L148:M148" si="298">LEN(D148)-LEN(B148)+1</f>
        <v>2</v>
      </c>
      <c r="M148" s="51">
        <f t="shared" si="298"/>
        <v>3</v>
      </c>
      <c r="N148" s="51">
        <f t="shared" si="5"/>
        <v>-2</v>
      </c>
      <c r="O148" s="51" t="str">
        <f t="shared" si="6"/>
        <v>Target</v>
      </c>
      <c r="P148" s="51">
        <f t="shared" si="7"/>
        <v>-1</v>
      </c>
      <c r="Q148" s="51" t="str">
        <f t="shared" si="8"/>
        <v>Target</v>
      </c>
    </row>
    <row r="149">
      <c r="A149" s="48" t="s">
        <v>14</v>
      </c>
      <c r="B149" s="49" t="s">
        <v>1174</v>
      </c>
      <c r="C149" s="49" t="s">
        <v>1175</v>
      </c>
      <c r="D149" s="49" t="s">
        <v>1176</v>
      </c>
      <c r="E149" s="49" t="s">
        <v>1177</v>
      </c>
      <c r="F149" s="49" t="s">
        <v>1180</v>
      </c>
      <c r="G149" s="49" t="s">
        <v>1181</v>
      </c>
      <c r="H149" s="54">
        <v>2.0</v>
      </c>
      <c r="I149" s="54">
        <v>2.0</v>
      </c>
      <c r="J149" s="49">
        <f t="shared" ref="J149:K149" si="299">LEN(SUBSTITUTE(SUBSTITUTE(SUBSTITUTE(B149 ,"ˈ",""),"d̠ʒ","ʒ"),"t̠ʃ","ʃ"))</f>
        <v>4</v>
      </c>
      <c r="K149" s="44">
        <f t="shared" si="299"/>
        <v>5</v>
      </c>
      <c r="L149" s="51">
        <f t="shared" ref="L149:M149" si="300">LEN(D149)-LEN(B149)+1</f>
        <v>2</v>
      </c>
      <c r="M149" s="51">
        <f t="shared" si="300"/>
        <v>2</v>
      </c>
      <c r="N149" s="51">
        <f t="shared" si="5"/>
        <v>-1</v>
      </c>
      <c r="O149" s="51" t="str">
        <f t="shared" si="6"/>
        <v>Target</v>
      </c>
      <c r="P149" s="51">
        <f t="shared" si="7"/>
        <v>0</v>
      </c>
      <c r="Q149" s="51" t="str">
        <f t="shared" si="8"/>
        <v>Equal</v>
      </c>
    </row>
    <row r="150">
      <c r="A150" s="48" t="s">
        <v>14</v>
      </c>
      <c r="B150" s="49" t="s">
        <v>1182</v>
      </c>
      <c r="C150" s="49" t="s">
        <v>1183</v>
      </c>
      <c r="D150" s="49" t="s">
        <v>1184</v>
      </c>
      <c r="E150" s="49" t="s">
        <v>1185</v>
      </c>
      <c r="F150" s="49" t="s">
        <v>131</v>
      </c>
      <c r="G150" s="49" t="s">
        <v>132</v>
      </c>
      <c r="H150" s="54">
        <v>2.0</v>
      </c>
      <c r="I150" s="54">
        <v>2.0</v>
      </c>
      <c r="J150" s="49">
        <f t="shared" ref="J150:K150" si="301">LEN(SUBSTITUTE(SUBSTITUTE(SUBSTITUTE(B150 ,"ˈ",""),"d̠ʒ","ʒ"),"t̠ʃ","ʃ"))</f>
        <v>4</v>
      </c>
      <c r="K150" s="44">
        <f t="shared" si="301"/>
        <v>5</v>
      </c>
      <c r="L150" s="51">
        <f t="shared" ref="L150:M150" si="302">LEN(D150)-LEN(B150)+1</f>
        <v>2</v>
      </c>
      <c r="M150" s="51">
        <f t="shared" si="302"/>
        <v>2</v>
      </c>
      <c r="N150" s="51">
        <f t="shared" si="5"/>
        <v>-1</v>
      </c>
      <c r="O150" s="51" t="str">
        <f t="shared" si="6"/>
        <v>Target</v>
      </c>
      <c r="P150" s="51">
        <f t="shared" si="7"/>
        <v>0</v>
      </c>
      <c r="Q150" s="51" t="str">
        <f t="shared" si="8"/>
        <v>Equal</v>
      </c>
    </row>
    <row r="151">
      <c r="A151" s="48" t="s">
        <v>14</v>
      </c>
      <c r="B151" s="49" t="s">
        <v>1189</v>
      </c>
      <c r="C151" s="49" t="s">
        <v>1190</v>
      </c>
      <c r="D151" s="49" t="s">
        <v>1191</v>
      </c>
      <c r="E151" s="49" t="s">
        <v>1192</v>
      </c>
      <c r="F151" s="49" t="s">
        <v>629</v>
      </c>
      <c r="G151" s="49" t="s">
        <v>630</v>
      </c>
      <c r="H151" s="54">
        <v>2.0</v>
      </c>
      <c r="I151" s="54">
        <v>3.0</v>
      </c>
      <c r="J151" s="49">
        <f t="shared" ref="J151:K151" si="303">LEN(SUBSTITUTE(SUBSTITUTE(SUBSTITUTE(B151 ,"ˈ",""),"d̠ʒ","ʒ"),"t̠ʃ","ʃ"))</f>
        <v>4</v>
      </c>
      <c r="K151" s="44">
        <f t="shared" si="303"/>
        <v>7</v>
      </c>
      <c r="L151" s="51">
        <f t="shared" ref="L151:M151" si="304">LEN(D151)-LEN(B151)+1</f>
        <v>2</v>
      </c>
      <c r="M151" s="51">
        <f t="shared" si="304"/>
        <v>3</v>
      </c>
      <c r="N151" s="51">
        <f t="shared" si="5"/>
        <v>-3</v>
      </c>
      <c r="O151" s="51" t="str">
        <f t="shared" si="6"/>
        <v>Target</v>
      </c>
      <c r="P151" s="51">
        <f t="shared" si="7"/>
        <v>-1</v>
      </c>
      <c r="Q151" s="51" t="str">
        <f t="shared" si="8"/>
        <v>Target</v>
      </c>
    </row>
    <row r="152">
      <c r="A152" s="48" t="s">
        <v>14</v>
      </c>
      <c r="B152" s="49" t="s">
        <v>1196</v>
      </c>
      <c r="C152" s="49" t="s">
        <v>1197</v>
      </c>
      <c r="D152" s="49" t="s">
        <v>1198</v>
      </c>
      <c r="E152" s="49" t="s">
        <v>1199</v>
      </c>
      <c r="F152" s="49" t="s">
        <v>629</v>
      </c>
      <c r="G152" s="49" t="s">
        <v>630</v>
      </c>
      <c r="H152" s="54">
        <v>2.0</v>
      </c>
      <c r="I152" s="54">
        <v>2.0</v>
      </c>
      <c r="J152" s="49">
        <f t="shared" ref="J152:K152" si="305">LEN(SUBSTITUTE(SUBSTITUTE(SUBSTITUTE(B152 ,"ˈ",""),"d̠ʒ","ʒ"),"t̠ʃ","ʃ"))</f>
        <v>4</v>
      </c>
      <c r="K152" s="44">
        <f t="shared" si="305"/>
        <v>6</v>
      </c>
      <c r="L152" s="51">
        <f t="shared" ref="L152:M152" si="306">LEN(D152)-LEN(B152)+1</f>
        <v>2</v>
      </c>
      <c r="M152" s="51">
        <f t="shared" si="306"/>
        <v>2</v>
      </c>
      <c r="N152" s="51">
        <f t="shared" si="5"/>
        <v>-2</v>
      </c>
      <c r="O152" s="51" t="str">
        <f t="shared" si="6"/>
        <v>Target</v>
      </c>
      <c r="P152" s="51">
        <f t="shared" si="7"/>
        <v>0</v>
      </c>
      <c r="Q152" s="51" t="str">
        <f t="shared" si="8"/>
        <v>Equal</v>
      </c>
    </row>
    <row r="153">
      <c r="A153" s="48" t="s">
        <v>14</v>
      </c>
      <c r="B153" s="49" t="s">
        <v>1204</v>
      </c>
      <c r="C153" s="49" t="s">
        <v>1205</v>
      </c>
      <c r="D153" s="49" t="s">
        <v>1206</v>
      </c>
      <c r="E153" s="49" t="s">
        <v>1207</v>
      </c>
      <c r="F153" s="49" t="s">
        <v>451</v>
      </c>
      <c r="G153" s="49" t="s">
        <v>1211</v>
      </c>
      <c r="H153" s="54">
        <v>2.0</v>
      </c>
      <c r="I153" s="54">
        <v>3.0</v>
      </c>
      <c r="J153" s="49">
        <f t="shared" ref="J153:K153" si="307">LEN(SUBSTITUTE(SUBSTITUTE(SUBSTITUTE(B153 ,"ˈ",""),"d̠ʒ","ʒ"),"t̠ʃ","ʃ"))</f>
        <v>4</v>
      </c>
      <c r="K153" s="44">
        <f t="shared" si="307"/>
        <v>7</v>
      </c>
      <c r="L153" s="51">
        <f t="shared" ref="L153:M153" si="308">LEN(D153)-LEN(B153)+1</f>
        <v>2</v>
      </c>
      <c r="M153" s="51">
        <f t="shared" si="308"/>
        <v>3</v>
      </c>
      <c r="N153" s="51">
        <f t="shared" si="5"/>
        <v>-3</v>
      </c>
      <c r="O153" s="51" t="str">
        <f t="shared" si="6"/>
        <v>Target</v>
      </c>
      <c r="P153" s="51">
        <f t="shared" si="7"/>
        <v>-1</v>
      </c>
      <c r="Q153" s="51" t="str">
        <f t="shared" si="8"/>
        <v>Target</v>
      </c>
    </row>
    <row r="154">
      <c r="A154" s="48" t="s">
        <v>14</v>
      </c>
      <c r="B154" s="49" t="s">
        <v>1212</v>
      </c>
      <c r="C154" s="49" t="s">
        <v>3667</v>
      </c>
      <c r="D154" s="49" t="s">
        <v>1214</v>
      </c>
      <c r="E154" s="49" t="s">
        <v>3668</v>
      </c>
      <c r="F154" s="49" t="s">
        <v>1075</v>
      </c>
      <c r="G154" s="49" t="s">
        <v>1249</v>
      </c>
      <c r="H154" s="54">
        <v>2.0</v>
      </c>
      <c r="I154" s="54">
        <v>2.0</v>
      </c>
      <c r="J154" s="49">
        <f t="shared" ref="J154:K154" si="309">LEN(SUBSTITUTE(SUBSTITUTE(SUBSTITUTE(B154 ,"ˈ",""),"d̠ʒ","ʒ"),"t̠ʃ","ʃ"))</f>
        <v>5</v>
      </c>
      <c r="K154" s="44">
        <f t="shared" si="309"/>
        <v>5</v>
      </c>
      <c r="L154" s="51">
        <f t="shared" ref="L154:M154" si="310">LEN(D154)-LEN(B154)+1</f>
        <v>2</v>
      </c>
      <c r="M154" s="51">
        <f t="shared" si="310"/>
        <v>2</v>
      </c>
      <c r="N154" s="51">
        <f t="shared" si="5"/>
        <v>0</v>
      </c>
      <c r="O154" s="51" t="str">
        <f t="shared" si="6"/>
        <v>Equal</v>
      </c>
      <c r="P154" s="51">
        <f t="shared" si="7"/>
        <v>0</v>
      </c>
      <c r="Q154" s="51" t="str">
        <f t="shared" si="8"/>
        <v>Equal</v>
      </c>
    </row>
    <row r="155">
      <c r="A155" s="48" t="s">
        <v>14</v>
      </c>
      <c r="B155" s="49" t="s">
        <v>1220</v>
      </c>
      <c r="C155" s="49" t="s">
        <v>1221</v>
      </c>
      <c r="D155" s="49" t="s">
        <v>1222</v>
      </c>
      <c r="E155" s="49" t="s">
        <v>1223</v>
      </c>
      <c r="F155" s="49" t="s">
        <v>915</v>
      </c>
      <c r="G155" s="49" t="s">
        <v>1076</v>
      </c>
      <c r="H155" s="54">
        <v>2.0</v>
      </c>
      <c r="I155" s="54">
        <v>2.0</v>
      </c>
      <c r="J155" s="49">
        <f t="shared" ref="J155:K155" si="311">LEN(SUBSTITUTE(SUBSTITUTE(SUBSTITUTE(B155 ,"ˈ",""),"d̠ʒ","ʒ"),"t̠ʃ","ʃ"))</f>
        <v>4</v>
      </c>
      <c r="K155" s="44">
        <f t="shared" si="311"/>
        <v>6</v>
      </c>
      <c r="L155" s="51">
        <f t="shared" ref="L155:M155" si="312">LEN(D155)-LEN(B155)+1</f>
        <v>2</v>
      </c>
      <c r="M155" s="51">
        <f t="shared" si="312"/>
        <v>2</v>
      </c>
      <c r="N155" s="51">
        <f t="shared" si="5"/>
        <v>-2</v>
      </c>
      <c r="O155" s="51" t="str">
        <f t="shared" si="6"/>
        <v>Target</v>
      </c>
      <c r="P155" s="51">
        <f t="shared" si="7"/>
        <v>0</v>
      </c>
      <c r="Q155" s="51" t="str">
        <f t="shared" si="8"/>
        <v>Equal</v>
      </c>
    </row>
    <row r="156">
      <c r="A156" s="48" t="s">
        <v>14</v>
      </c>
      <c r="B156" s="49" t="s">
        <v>1227</v>
      </c>
      <c r="C156" s="49" t="s">
        <v>1228</v>
      </c>
      <c r="D156" s="49" t="s">
        <v>1229</v>
      </c>
      <c r="E156" s="49" t="s">
        <v>1230</v>
      </c>
      <c r="F156" s="49" t="s">
        <v>1118</v>
      </c>
      <c r="G156" s="49" t="s">
        <v>1235</v>
      </c>
      <c r="H156" s="54">
        <v>2.0</v>
      </c>
      <c r="I156" s="54">
        <v>3.0</v>
      </c>
      <c r="J156" s="49">
        <f t="shared" ref="J156:K156" si="313">LEN(SUBSTITUTE(SUBSTITUTE(SUBSTITUTE(B156 ,"ˈ",""),"d̠ʒ","ʒ"),"t̠ʃ","ʃ"))</f>
        <v>4</v>
      </c>
      <c r="K156" s="44">
        <f t="shared" si="313"/>
        <v>6</v>
      </c>
      <c r="L156" s="51">
        <f t="shared" ref="L156:M156" si="314">LEN(D156)-LEN(B156)+1</f>
        <v>2</v>
      </c>
      <c r="M156" s="51">
        <f t="shared" si="314"/>
        <v>3</v>
      </c>
      <c r="N156" s="51">
        <f t="shared" si="5"/>
        <v>-2</v>
      </c>
      <c r="O156" s="51" t="str">
        <f t="shared" si="6"/>
        <v>Target</v>
      </c>
      <c r="P156" s="51">
        <f t="shared" si="7"/>
        <v>-1</v>
      </c>
      <c r="Q156" s="51" t="str">
        <f t="shared" si="8"/>
        <v>Target</v>
      </c>
    </row>
    <row r="157">
      <c r="A157" s="48" t="s">
        <v>14</v>
      </c>
      <c r="B157" s="49" t="s">
        <v>1236</v>
      </c>
      <c r="C157" s="49" t="s">
        <v>1237</v>
      </c>
      <c r="D157" s="49" t="s">
        <v>1238</v>
      </c>
      <c r="E157" s="49" t="s">
        <v>1239</v>
      </c>
      <c r="F157" s="49" t="s">
        <v>915</v>
      </c>
      <c r="G157" s="49" t="s">
        <v>1235</v>
      </c>
      <c r="H157" s="54">
        <v>2.0</v>
      </c>
      <c r="I157" s="54">
        <v>3.0</v>
      </c>
      <c r="J157" s="49">
        <f t="shared" ref="J157:K157" si="315">LEN(SUBSTITUTE(SUBSTITUTE(SUBSTITUTE(B157 ,"ˈ",""),"d̠ʒ","ʒ"),"t̠ʃ","ʃ"))</f>
        <v>4</v>
      </c>
      <c r="K157" s="44">
        <f t="shared" si="315"/>
        <v>7</v>
      </c>
      <c r="L157" s="51">
        <f t="shared" ref="L157:M157" si="316">LEN(D157)-LEN(B157)+1</f>
        <v>2</v>
      </c>
      <c r="M157" s="51">
        <f t="shared" si="316"/>
        <v>3</v>
      </c>
      <c r="N157" s="51">
        <f t="shared" si="5"/>
        <v>-3</v>
      </c>
      <c r="O157" s="51" t="str">
        <f t="shared" si="6"/>
        <v>Target</v>
      </c>
      <c r="P157" s="51">
        <f t="shared" si="7"/>
        <v>-1</v>
      </c>
      <c r="Q157" s="51" t="str">
        <f t="shared" si="8"/>
        <v>Target</v>
      </c>
    </row>
    <row r="158">
      <c r="A158" s="48" t="s">
        <v>14</v>
      </c>
      <c r="B158" s="49" t="s">
        <v>1242</v>
      </c>
      <c r="C158" s="49" t="s">
        <v>1243</v>
      </c>
      <c r="D158" s="49" t="s">
        <v>1244</v>
      </c>
      <c r="E158" s="49" t="s">
        <v>1245</v>
      </c>
      <c r="F158" s="49" t="s">
        <v>1248</v>
      </c>
      <c r="G158" s="49" t="s">
        <v>1249</v>
      </c>
      <c r="H158" s="54">
        <v>2.0</v>
      </c>
      <c r="I158" s="54">
        <v>3.0</v>
      </c>
      <c r="J158" s="49">
        <f t="shared" ref="J158:K158" si="317">LEN(SUBSTITUTE(SUBSTITUTE(SUBSTITUTE(B158 ,"ˈ",""),"d̠ʒ","ʒ"),"t̠ʃ","ʃ"))</f>
        <v>4</v>
      </c>
      <c r="K158" s="44">
        <f t="shared" si="317"/>
        <v>6</v>
      </c>
      <c r="L158" s="51">
        <f t="shared" ref="L158:M158" si="318">LEN(D158)-LEN(B158)+1</f>
        <v>2</v>
      </c>
      <c r="M158" s="51">
        <f t="shared" si="318"/>
        <v>3</v>
      </c>
      <c r="N158" s="51">
        <f t="shared" si="5"/>
        <v>-2</v>
      </c>
      <c r="O158" s="51" t="str">
        <f t="shared" si="6"/>
        <v>Target</v>
      </c>
      <c r="P158" s="51">
        <f t="shared" si="7"/>
        <v>-1</v>
      </c>
      <c r="Q158" s="51" t="str">
        <f t="shared" si="8"/>
        <v>Target</v>
      </c>
    </row>
    <row r="159">
      <c r="A159" s="48" t="s">
        <v>14</v>
      </c>
      <c r="B159" s="49" t="s">
        <v>3669</v>
      </c>
      <c r="C159" s="49" t="s">
        <v>3670</v>
      </c>
      <c r="D159" s="49" t="s">
        <v>3671</v>
      </c>
      <c r="E159" s="49" t="s">
        <v>3672</v>
      </c>
      <c r="F159" s="49" t="s">
        <v>527</v>
      </c>
      <c r="G159" s="49" t="s">
        <v>1211</v>
      </c>
      <c r="H159" s="54">
        <v>4.0</v>
      </c>
      <c r="I159" s="54">
        <v>3.0</v>
      </c>
      <c r="J159" s="49">
        <f t="shared" ref="J159:K159" si="319">LEN(SUBSTITUTE(SUBSTITUTE(SUBSTITUTE(B159 ,"ˈ",""),"d̠ʒ","ʒ"),"t̠ʃ","ʃ"))</f>
        <v>8</v>
      </c>
      <c r="K159" s="44">
        <f t="shared" si="319"/>
        <v>6</v>
      </c>
      <c r="L159" s="51">
        <f t="shared" ref="L159:M159" si="320">LEN(D159)-LEN(B159)+1</f>
        <v>4</v>
      </c>
      <c r="M159" s="51">
        <f t="shared" si="320"/>
        <v>3</v>
      </c>
      <c r="N159" s="51">
        <f t="shared" si="5"/>
        <v>2</v>
      </c>
      <c r="O159" s="51" t="str">
        <f t="shared" si="6"/>
        <v>Source</v>
      </c>
      <c r="P159" s="51">
        <f t="shared" si="7"/>
        <v>1</v>
      </c>
      <c r="Q159" s="51" t="str">
        <f t="shared" si="8"/>
        <v>Source</v>
      </c>
    </row>
    <row r="160">
      <c r="A160" s="48" t="s">
        <v>14</v>
      </c>
      <c r="B160" s="49" t="s">
        <v>1250</v>
      </c>
      <c r="C160" s="49" t="s">
        <v>1251</v>
      </c>
      <c r="D160" s="49" t="s">
        <v>1252</v>
      </c>
      <c r="E160" s="49" t="s">
        <v>1253</v>
      </c>
      <c r="F160" s="49" t="s">
        <v>1075</v>
      </c>
      <c r="G160" s="49" t="s">
        <v>1076</v>
      </c>
      <c r="H160" s="54">
        <v>2.0</v>
      </c>
      <c r="I160" s="54">
        <v>2.0</v>
      </c>
      <c r="J160" s="49">
        <f t="shared" ref="J160:K160" si="321">LEN(SUBSTITUTE(SUBSTITUTE(SUBSTITUTE(B160 ,"ˈ",""),"d̠ʒ","ʒ"),"t̠ʃ","ʃ"))</f>
        <v>5</v>
      </c>
      <c r="K160" s="44">
        <f t="shared" si="321"/>
        <v>6</v>
      </c>
      <c r="L160" s="51">
        <f t="shared" ref="L160:M160" si="322">LEN(D160)-LEN(B160)+1</f>
        <v>2</v>
      </c>
      <c r="M160" s="51">
        <f t="shared" si="322"/>
        <v>2</v>
      </c>
      <c r="N160" s="51">
        <f t="shared" si="5"/>
        <v>-1</v>
      </c>
      <c r="O160" s="51" t="str">
        <f t="shared" si="6"/>
        <v>Target</v>
      </c>
      <c r="P160" s="51">
        <f t="shared" si="7"/>
        <v>0</v>
      </c>
      <c r="Q160" s="51" t="str">
        <f t="shared" si="8"/>
        <v>Equal</v>
      </c>
    </row>
    <row r="161">
      <c r="A161" s="48" t="s">
        <v>14</v>
      </c>
      <c r="B161" s="49" t="s">
        <v>1257</v>
      </c>
      <c r="C161" s="49" t="s">
        <v>1258</v>
      </c>
      <c r="D161" s="49" t="s">
        <v>1259</v>
      </c>
      <c r="E161" s="49" t="s">
        <v>1260</v>
      </c>
      <c r="F161" s="49" t="s">
        <v>1060</v>
      </c>
      <c r="G161" s="49" t="s">
        <v>1263</v>
      </c>
      <c r="H161" s="54">
        <v>2.0</v>
      </c>
      <c r="I161" s="54">
        <v>2.0</v>
      </c>
      <c r="J161" s="49">
        <f t="shared" ref="J161:K161" si="323">LEN(SUBSTITUTE(SUBSTITUTE(SUBSTITUTE(B161 ,"ˈ",""),"d̠ʒ","ʒ"),"t̠ʃ","ʃ"))</f>
        <v>4</v>
      </c>
      <c r="K161" s="44">
        <f t="shared" si="323"/>
        <v>5</v>
      </c>
      <c r="L161" s="51">
        <f t="shared" ref="L161:M161" si="324">LEN(D161)-LEN(B161)+1</f>
        <v>2</v>
      </c>
      <c r="M161" s="51">
        <f t="shared" si="324"/>
        <v>2</v>
      </c>
      <c r="N161" s="51">
        <f t="shared" si="5"/>
        <v>-1</v>
      </c>
      <c r="O161" s="51" t="str">
        <f t="shared" si="6"/>
        <v>Target</v>
      </c>
      <c r="P161" s="51">
        <f t="shared" si="7"/>
        <v>0</v>
      </c>
      <c r="Q161" s="51" t="str">
        <f t="shared" si="8"/>
        <v>Equal</v>
      </c>
    </row>
    <row r="162">
      <c r="A162" s="48" t="s">
        <v>14</v>
      </c>
      <c r="B162" s="49" t="s">
        <v>1264</v>
      </c>
      <c r="C162" s="49" t="s">
        <v>1265</v>
      </c>
      <c r="D162" s="49" t="s">
        <v>1266</v>
      </c>
      <c r="E162" s="49" t="s">
        <v>1267</v>
      </c>
      <c r="F162" s="49" t="s">
        <v>1248</v>
      </c>
      <c r="G162" s="49" t="s">
        <v>1272</v>
      </c>
      <c r="H162" s="54">
        <v>2.0</v>
      </c>
      <c r="I162" s="54">
        <v>2.0</v>
      </c>
      <c r="J162" s="49">
        <f t="shared" ref="J162:K162" si="325">LEN(SUBSTITUTE(SUBSTITUTE(SUBSTITUTE(B162 ,"ˈ",""),"d̠ʒ","ʒ"),"t̠ʃ","ʃ"))</f>
        <v>4</v>
      </c>
      <c r="K162" s="44">
        <f t="shared" si="325"/>
        <v>6</v>
      </c>
      <c r="L162" s="51">
        <f t="shared" ref="L162:M162" si="326">LEN(D162)-LEN(B162)+1</f>
        <v>2</v>
      </c>
      <c r="M162" s="51">
        <f t="shared" si="326"/>
        <v>2</v>
      </c>
      <c r="N162" s="51">
        <f t="shared" si="5"/>
        <v>-2</v>
      </c>
      <c r="O162" s="51" t="str">
        <f t="shared" si="6"/>
        <v>Target</v>
      </c>
      <c r="P162" s="51">
        <f t="shared" si="7"/>
        <v>0</v>
      </c>
      <c r="Q162" s="51" t="str">
        <f t="shared" si="8"/>
        <v>Equal</v>
      </c>
    </row>
    <row r="163">
      <c r="A163" s="48" t="s">
        <v>14</v>
      </c>
      <c r="B163" s="49" t="s">
        <v>1273</v>
      </c>
      <c r="C163" s="48" t="s">
        <v>1274</v>
      </c>
      <c r="D163" s="49" t="s">
        <v>1273</v>
      </c>
      <c r="E163" s="49" t="s">
        <v>1274</v>
      </c>
      <c r="F163" s="49" t="s">
        <v>1273</v>
      </c>
      <c r="G163" s="49" t="s">
        <v>1274</v>
      </c>
      <c r="H163" s="54">
        <v>1.0</v>
      </c>
      <c r="I163" s="54">
        <v>1.0</v>
      </c>
      <c r="J163" s="49">
        <f t="shared" ref="J163:K163" si="327">LEN(SUBSTITUTE(SUBSTITUTE(SUBSTITUTE(B163 ,"ˈ",""),"d̠ʒ","ʒ"),"t̠ʃ","ʃ"))</f>
        <v>3</v>
      </c>
      <c r="K163" s="44">
        <f t="shared" si="327"/>
        <v>4</v>
      </c>
      <c r="L163" s="51">
        <f t="shared" ref="L163:M163" si="328">LEN(D163)-LEN(B163)+1</f>
        <v>1</v>
      </c>
      <c r="M163" s="51">
        <f t="shared" si="328"/>
        <v>1</v>
      </c>
      <c r="N163" s="51">
        <f t="shared" si="5"/>
        <v>-1</v>
      </c>
      <c r="O163" s="51" t="str">
        <f t="shared" si="6"/>
        <v>Target</v>
      </c>
      <c r="P163" s="51">
        <f t="shared" si="7"/>
        <v>0</v>
      </c>
      <c r="Q163" s="51" t="str">
        <f t="shared" si="8"/>
        <v>Equal</v>
      </c>
    </row>
    <row r="164">
      <c r="A164" s="48" t="s">
        <v>14</v>
      </c>
      <c r="B164" s="49" t="s">
        <v>1277</v>
      </c>
      <c r="C164" s="49" t="s">
        <v>1278</v>
      </c>
      <c r="D164" s="49" t="s">
        <v>1279</v>
      </c>
      <c r="E164" s="49" t="s">
        <v>1280</v>
      </c>
      <c r="F164" s="49" t="s">
        <v>451</v>
      </c>
      <c r="G164" s="49" t="s">
        <v>1211</v>
      </c>
      <c r="H164" s="54">
        <v>2.0</v>
      </c>
      <c r="I164" s="54">
        <v>2.0</v>
      </c>
      <c r="J164" s="49">
        <f t="shared" ref="J164:K164" si="329">LEN(SUBSTITUTE(SUBSTITUTE(SUBSTITUTE(B164 ,"ˈ",""),"d̠ʒ","ʒ"),"t̠ʃ","ʃ"))</f>
        <v>4</v>
      </c>
      <c r="K164" s="44">
        <f t="shared" si="329"/>
        <v>6</v>
      </c>
      <c r="L164" s="51">
        <f t="shared" ref="L164:M164" si="330">LEN(D164)-LEN(B164)+1</f>
        <v>2</v>
      </c>
      <c r="M164" s="51">
        <f t="shared" si="330"/>
        <v>2</v>
      </c>
      <c r="N164" s="51">
        <f t="shared" si="5"/>
        <v>-2</v>
      </c>
      <c r="O164" s="51" t="str">
        <f t="shared" si="6"/>
        <v>Target</v>
      </c>
      <c r="P164" s="51">
        <f t="shared" si="7"/>
        <v>0</v>
      </c>
      <c r="Q164" s="51" t="str">
        <f t="shared" si="8"/>
        <v>Equal</v>
      </c>
    </row>
    <row r="165">
      <c r="A165" s="48" t="s">
        <v>14</v>
      </c>
      <c r="B165" s="49" t="s">
        <v>1284</v>
      </c>
      <c r="C165" s="49" t="s">
        <v>1285</v>
      </c>
      <c r="D165" s="49" t="s">
        <v>1286</v>
      </c>
      <c r="E165" s="49" t="s">
        <v>1287</v>
      </c>
      <c r="F165" s="49" t="s">
        <v>1075</v>
      </c>
      <c r="G165" s="49" t="s">
        <v>1076</v>
      </c>
      <c r="H165" s="54">
        <v>2.0</v>
      </c>
      <c r="I165" s="54">
        <v>3.0</v>
      </c>
      <c r="J165" s="49">
        <f t="shared" ref="J165:K165" si="331">LEN(SUBSTITUTE(SUBSTITUTE(SUBSTITUTE(B165 ,"ˈ",""),"d̠ʒ","ʒ"),"t̠ʃ","ʃ"))</f>
        <v>6</v>
      </c>
      <c r="K165" s="44">
        <f t="shared" si="331"/>
        <v>7</v>
      </c>
      <c r="L165" s="51">
        <f t="shared" ref="L165:M165" si="332">LEN(D165)-LEN(B165)+1</f>
        <v>2</v>
      </c>
      <c r="M165" s="51">
        <f t="shared" si="332"/>
        <v>3</v>
      </c>
      <c r="N165" s="51">
        <f t="shared" si="5"/>
        <v>-1</v>
      </c>
      <c r="O165" s="51" t="str">
        <f t="shared" si="6"/>
        <v>Target</v>
      </c>
      <c r="P165" s="51">
        <f t="shared" si="7"/>
        <v>-1</v>
      </c>
      <c r="Q165" s="51" t="str">
        <f t="shared" si="8"/>
        <v>Target</v>
      </c>
    </row>
    <row r="166">
      <c r="A166" s="48" t="s">
        <v>14</v>
      </c>
      <c r="B166" s="49" t="s">
        <v>1292</v>
      </c>
      <c r="C166" s="49" t="s">
        <v>1293</v>
      </c>
      <c r="D166" s="49" t="s">
        <v>1294</v>
      </c>
      <c r="E166" s="49" t="s">
        <v>1295</v>
      </c>
      <c r="F166" s="49" t="s">
        <v>615</v>
      </c>
      <c r="G166" s="49" t="s">
        <v>1299</v>
      </c>
      <c r="H166" s="54">
        <v>2.0</v>
      </c>
      <c r="I166" s="54">
        <v>3.0</v>
      </c>
      <c r="J166" s="49">
        <f t="shared" ref="J166:K166" si="333">LEN(SUBSTITUTE(SUBSTITUTE(SUBSTITUTE(B166 ,"ˈ",""),"d̠ʒ","ʒ"),"t̠ʃ","ʃ"))</f>
        <v>6</v>
      </c>
      <c r="K166" s="44">
        <f t="shared" si="333"/>
        <v>6</v>
      </c>
      <c r="L166" s="51">
        <f t="shared" ref="L166:M166" si="334">LEN(D166)-LEN(B166)+1</f>
        <v>2</v>
      </c>
      <c r="M166" s="51">
        <f t="shared" si="334"/>
        <v>3</v>
      </c>
      <c r="N166" s="51">
        <f t="shared" si="5"/>
        <v>0</v>
      </c>
      <c r="O166" s="51" t="str">
        <f t="shared" si="6"/>
        <v>Equal</v>
      </c>
      <c r="P166" s="51">
        <f t="shared" si="7"/>
        <v>-1</v>
      </c>
      <c r="Q166" s="51" t="str">
        <f t="shared" si="8"/>
        <v>Target</v>
      </c>
    </row>
    <row r="167">
      <c r="A167" s="48" t="s">
        <v>14</v>
      </c>
      <c r="B167" s="49" t="s">
        <v>1300</v>
      </c>
      <c r="C167" s="49" t="s">
        <v>1301</v>
      </c>
      <c r="D167" s="49" t="s">
        <v>1300</v>
      </c>
      <c r="E167" s="49" t="s">
        <v>1302</v>
      </c>
      <c r="F167" s="49" t="s">
        <v>36</v>
      </c>
      <c r="G167" s="49" t="s">
        <v>1305</v>
      </c>
      <c r="H167" s="54" t="s">
        <v>36</v>
      </c>
      <c r="I167" s="54">
        <v>2.0</v>
      </c>
      <c r="J167" s="49">
        <f t="shared" ref="J167:K167" si="335">LEN(SUBSTITUTE(SUBSTITUTE(SUBSTITUTE(B167 ,"ˈ",""),"d̠ʒ","ʒ"),"t̠ʃ","ʃ"))</f>
        <v>3</v>
      </c>
      <c r="K167" s="44">
        <f t="shared" si="335"/>
        <v>4</v>
      </c>
      <c r="L167" s="51">
        <f t="shared" ref="L167:M167" si="336">LEN(D167)-LEN(B167)+1</f>
        <v>1</v>
      </c>
      <c r="M167" s="51">
        <f t="shared" si="336"/>
        <v>2</v>
      </c>
      <c r="N167" s="51">
        <f t="shared" si="5"/>
        <v>-1</v>
      </c>
      <c r="O167" s="51" t="str">
        <f t="shared" si="6"/>
        <v>Target</v>
      </c>
      <c r="P167" s="51">
        <f t="shared" si="7"/>
        <v>-1</v>
      </c>
      <c r="Q167" s="51" t="str">
        <f t="shared" si="8"/>
        <v>Target</v>
      </c>
    </row>
    <row r="168">
      <c r="A168" s="48" t="s">
        <v>14</v>
      </c>
      <c r="B168" s="49" t="s">
        <v>1306</v>
      </c>
      <c r="C168" s="49" t="s">
        <v>1307</v>
      </c>
      <c r="D168" s="49" t="s">
        <v>1308</v>
      </c>
      <c r="E168" s="49" t="s">
        <v>1309</v>
      </c>
      <c r="F168" s="49" t="s">
        <v>629</v>
      </c>
      <c r="G168" s="49" t="s">
        <v>630</v>
      </c>
      <c r="H168" s="54">
        <v>2.0</v>
      </c>
      <c r="I168" s="54">
        <v>3.0</v>
      </c>
      <c r="J168" s="49">
        <f t="shared" ref="J168:K168" si="337">LEN(SUBSTITUTE(SUBSTITUTE(SUBSTITUTE(B168 ,"ˈ",""),"d̠ʒ","ʒ"),"t̠ʃ","ʃ"))</f>
        <v>4</v>
      </c>
      <c r="K168" s="44">
        <f t="shared" si="337"/>
        <v>7</v>
      </c>
      <c r="L168" s="51">
        <f t="shared" ref="L168:M168" si="338">LEN(D168)-LEN(B168)+1</f>
        <v>2</v>
      </c>
      <c r="M168" s="51">
        <f t="shared" si="338"/>
        <v>3</v>
      </c>
      <c r="N168" s="51">
        <f t="shared" si="5"/>
        <v>-3</v>
      </c>
      <c r="O168" s="51" t="str">
        <f t="shared" si="6"/>
        <v>Target</v>
      </c>
      <c r="P168" s="51">
        <f t="shared" si="7"/>
        <v>-1</v>
      </c>
      <c r="Q168" s="51" t="str">
        <f t="shared" si="8"/>
        <v>Target</v>
      </c>
    </row>
    <row r="169">
      <c r="A169" s="48" t="s">
        <v>14</v>
      </c>
      <c r="B169" s="49" t="s">
        <v>1312</v>
      </c>
      <c r="C169" s="49" t="s">
        <v>1313</v>
      </c>
      <c r="D169" s="49" t="s">
        <v>1314</v>
      </c>
      <c r="E169" s="49" t="s">
        <v>1315</v>
      </c>
      <c r="F169" s="49" t="s">
        <v>615</v>
      </c>
      <c r="G169" s="49" t="s">
        <v>1299</v>
      </c>
      <c r="H169" s="54">
        <v>2.0</v>
      </c>
      <c r="I169" s="54">
        <v>2.0</v>
      </c>
      <c r="J169" s="49">
        <f t="shared" ref="J169:K169" si="339">LEN(SUBSTITUTE(SUBSTITUTE(SUBSTITUTE(B169 ,"ˈ",""),"d̠ʒ","ʒ"),"t̠ʃ","ʃ"))</f>
        <v>4</v>
      </c>
      <c r="K169" s="44">
        <f t="shared" si="339"/>
        <v>7</v>
      </c>
      <c r="L169" s="51">
        <f t="shared" ref="L169:M169" si="340">LEN(D169)-LEN(B169)+1</f>
        <v>2</v>
      </c>
      <c r="M169" s="51">
        <f t="shared" si="340"/>
        <v>2</v>
      </c>
      <c r="N169" s="51">
        <f t="shared" si="5"/>
        <v>-3</v>
      </c>
      <c r="O169" s="51" t="str">
        <f t="shared" si="6"/>
        <v>Target</v>
      </c>
      <c r="P169" s="51">
        <f t="shared" si="7"/>
        <v>0</v>
      </c>
      <c r="Q169" s="51" t="str">
        <f t="shared" si="8"/>
        <v>Equal</v>
      </c>
    </row>
    <row r="170">
      <c r="A170" s="48" t="s">
        <v>14</v>
      </c>
      <c r="B170" s="49" t="s">
        <v>411</v>
      </c>
      <c r="C170" s="49" t="s">
        <v>1319</v>
      </c>
      <c r="D170" s="49" t="s">
        <v>413</v>
      </c>
      <c r="E170" s="49" t="s">
        <v>1320</v>
      </c>
      <c r="F170" s="49" t="s">
        <v>420</v>
      </c>
      <c r="G170" s="49" t="s">
        <v>1397</v>
      </c>
      <c r="H170" s="54">
        <v>2.0</v>
      </c>
      <c r="I170" s="54">
        <v>2.0</v>
      </c>
      <c r="J170" s="49">
        <f t="shared" ref="J170:K170" si="341">LEN(SUBSTITUTE(SUBSTITUTE(SUBSTITUTE(B170 ,"ˈ",""),"d̠ʒ","ʒ"),"t̠ʃ","ʃ"))</f>
        <v>4</v>
      </c>
      <c r="K170" s="44">
        <f t="shared" si="341"/>
        <v>6</v>
      </c>
      <c r="L170" s="51">
        <f t="shared" ref="L170:M170" si="342">LEN(D170)-LEN(B170)+1</f>
        <v>2</v>
      </c>
      <c r="M170" s="51">
        <f t="shared" si="342"/>
        <v>2</v>
      </c>
      <c r="N170" s="51">
        <f t="shared" si="5"/>
        <v>-2</v>
      </c>
      <c r="O170" s="51" t="str">
        <f t="shared" si="6"/>
        <v>Target</v>
      </c>
      <c r="P170" s="51">
        <f t="shared" si="7"/>
        <v>0</v>
      </c>
      <c r="Q170" s="51" t="str">
        <f t="shared" si="8"/>
        <v>Equal</v>
      </c>
    </row>
    <row r="171">
      <c r="A171" s="48" t="s">
        <v>14</v>
      </c>
      <c r="B171" s="49" t="s">
        <v>1323</v>
      </c>
      <c r="C171" s="49" t="s">
        <v>1324</v>
      </c>
      <c r="D171" s="49" t="s">
        <v>1325</v>
      </c>
      <c r="E171" s="49" t="s">
        <v>1326</v>
      </c>
      <c r="F171" s="49" t="s">
        <v>1331</v>
      </c>
      <c r="G171" s="49" t="s">
        <v>1181</v>
      </c>
      <c r="H171" s="54">
        <v>2.0</v>
      </c>
      <c r="I171" s="54">
        <v>3.0</v>
      </c>
      <c r="J171" s="49">
        <f t="shared" ref="J171:K171" si="343">LEN(SUBSTITUTE(SUBSTITUTE(SUBSTITUTE(B171 ,"ˈ",""),"d̠ʒ","ʒ"),"t̠ʃ","ʃ"))</f>
        <v>4</v>
      </c>
      <c r="K171" s="44">
        <f t="shared" si="343"/>
        <v>7</v>
      </c>
      <c r="L171" s="51">
        <f t="shared" ref="L171:M171" si="344">LEN(D171)-LEN(B171)+1</f>
        <v>2</v>
      </c>
      <c r="M171" s="51">
        <f t="shared" si="344"/>
        <v>3</v>
      </c>
      <c r="N171" s="51">
        <f t="shared" si="5"/>
        <v>-3</v>
      </c>
      <c r="O171" s="51" t="str">
        <f t="shared" si="6"/>
        <v>Target</v>
      </c>
      <c r="P171" s="51">
        <f t="shared" si="7"/>
        <v>-1</v>
      </c>
      <c r="Q171" s="51" t="str">
        <f t="shared" si="8"/>
        <v>Target</v>
      </c>
    </row>
    <row r="172">
      <c r="A172" s="48" t="s">
        <v>14</v>
      </c>
      <c r="B172" s="49" t="s">
        <v>1332</v>
      </c>
      <c r="C172" s="49" t="s">
        <v>1333</v>
      </c>
      <c r="D172" s="49" t="s">
        <v>1334</v>
      </c>
      <c r="E172" s="49" t="s">
        <v>1335</v>
      </c>
      <c r="F172" s="49" t="s">
        <v>1075</v>
      </c>
      <c r="G172" s="49" t="s">
        <v>1339</v>
      </c>
      <c r="H172" s="54">
        <v>2.0</v>
      </c>
      <c r="I172" s="54">
        <v>3.0</v>
      </c>
      <c r="J172" s="49">
        <f t="shared" ref="J172:K172" si="345">LEN(SUBSTITUTE(SUBSTITUTE(SUBSTITUTE(B172 ,"ˈ",""),"d̠ʒ","ʒ"),"t̠ʃ","ʃ"))</f>
        <v>5</v>
      </c>
      <c r="K172" s="44">
        <f t="shared" si="345"/>
        <v>9</v>
      </c>
      <c r="L172" s="51">
        <f t="shared" ref="L172:M172" si="346">LEN(D172)-LEN(B172)+1</f>
        <v>2</v>
      </c>
      <c r="M172" s="51">
        <f t="shared" si="346"/>
        <v>3</v>
      </c>
      <c r="N172" s="51">
        <f t="shared" si="5"/>
        <v>-4</v>
      </c>
      <c r="O172" s="51" t="str">
        <f t="shared" si="6"/>
        <v>Target</v>
      </c>
      <c r="P172" s="51">
        <f t="shared" si="7"/>
        <v>-1</v>
      </c>
      <c r="Q172" s="51" t="str">
        <f t="shared" si="8"/>
        <v>Target</v>
      </c>
    </row>
    <row r="173">
      <c r="A173" s="48" t="s">
        <v>14</v>
      </c>
      <c r="B173" s="49" t="s">
        <v>1340</v>
      </c>
      <c r="C173" s="49" t="s">
        <v>1341</v>
      </c>
      <c r="D173" s="49" t="s">
        <v>1342</v>
      </c>
      <c r="E173" s="49" t="s">
        <v>1343</v>
      </c>
      <c r="F173" s="49" t="s">
        <v>1346</v>
      </c>
      <c r="G173" s="56" t="s">
        <v>1347</v>
      </c>
      <c r="H173" s="54">
        <v>2.0</v>
      </c>
      <c r="I173" s="54">
        <v>2.0</v>
      </c>
      <c r="J173" s="49">
        <f t="shared" ref="J173:K173" si="347">LEN(SUBSTITUTE(SUBSTITUTE(SUBSTITUTE(B173 ,"ˈ",""),"d̠ʒ","ʒ"),"t̠ʃ","ʃ"))</f>
        <v>4</v>
      </c>
      <c r="K173" s="44">
        <f t="shared" si="347"/>
        <v>6</v>
      </c>
      <c r="L173" s="51">
        <f t="shared" ref="L173:M173" si="348">LEN(D173)-LEN(B173)+1</f>
        <v>2</v>
      </c>
      <c r="M173" s="51">
        <f t="shared" si="348"/>
        <v>2</v>
      </c>
      <c r="N173" s="51">
        <f t="shared" si="5"/>
        <v>-2</v>
      </c>
      <c r="O173" s="51" t="str">
        <f t="shared" si="6"/>
        <v>Target</v>
      </c>
      <c r="P173" s="51">
        <f t="shared" si="7"/>
        <v>0</v>
      </c>
      <c r="Q173" s="51" t="str">
        <f t="shared" si="8"/>
        <v>Equal</v>
      </c>
    </row>
    <row r="174">
      <c r="A174" s="48" t="s">
        <v>14</v>
      </c>
      <c r="B174" s="49" t="s">
        <v>1348</v>
      </c>
      <c r="C174" s="49" t="s">
        <v>1349</v>
      </c>
      <c r="D174" s="49" t="s">
        <v>1350</v>
      </c>
      <c r="E174" s="49" t="s">
        <v>1351</v>
      </c>
      <c r="F174" s="49" t="s">
        <v>1075</v>
      </c>
      <c r="G174" s="49" t="s">
        <v>1076</v>
      </c>
      <c r="H174" s="54">
        <v>2.0</v>
      </c>
      <c r="I174" s="54">
        <v>2.0</v>
      </c>
      <c r="J174" s="49">
        <f t="shared" ref="J174:K174" si="349">LEN(SUBSTITUTE(SUBSTITUTE(SUBSTITUTE(B174 ,"ˈ",""),"d̠ʒ","ʒ"),"t̠ʃ","ʃ"))</f>
        <v>4</v>
      </c>
      <c r="K174" s="44">
        <f t="shared" si="349"/>
        <v>6</v>
      </c>
      <c r="L174" s="51">
        <f t="shared" ref="L174:M174" si="350">LEN(D174)-LEN(B174)+1</f>
        <v>2</v>
      </c>
      <c r="M174" s="51">
        <f t="shared" si="350"/>
        <v>2</v>
      </c>
      <c r="N174" s="51">
        <f t="shared" si="5"/>
        <v>-2</v>
      </c>
      <c r="O174" s="51" t="str">
        <f t="shared" si="6"/>
        <v>Target</v>
      </c>
      <c r="P174" s="51">
        <f t="shared" si="7"/>
        <v>0</v>
      </c>
      <c r="Q174" s="51" t="str">
        <f t="shared" si="8"/>
        <v>Equal</v>
      </c>
    </row>
    <row r="175">
      <c r="A175" s="48" t="s">
        <v>14</v>
      </c>
      <c r="B175" s="49" t="s">
        <v>1355</v>
      </c>
      <c r="C175" s="49" t="s">
        <v>1356</v>
      </c>
      <c r="D175" s="49" t="s">
        <v>1357</v>
      </c>
      <c r="E175" s="49" t="s">
        <v>1358</v>
      </c>
      <c r="F175" s="49" t="s">
        <v>1032</v>
      </c>
      <c r="G175" s="49" t="s">
        <v>1129</v>
      </c>
      <c r="H175" s="54">
        <v>2.0</v>
      </c>
      <c r="I175" s="54">
        <v>2.0</v>
      </c>
      <c r="J175" s="49">
        <f t="shared" ref="J175:K175" si="351">LEN(SUBSTITUTE(SUBSTITUTE(SUBSTITUTE(B175 ,"ˈ",""),"d̠ʒ","ʒ"),"t̠ʃ","ʃ"))</f>
        <v>4</v>
      </c>
      <c r="K175" s="44">
        <f t="shared" si="351"/>
        <v>5</v>
      </c>
      <c r="L175" s="51">
        <f t="shared" ref="L175:M175" si="352">LEN(D175)-LEN(B175)+1</f>
        <v>2</v>
      </c>
      <c r="M175" s="51">
        <f t="shared" si="352"/>
        <v>2</v>
      </c>
      <c r="N175" s="51">
        <f t="shared" si="5"/>
        <v>-1</v>
      </c>
      <c r="O175" s="51" t="str">
        <f t="shared" si="6"/>
        <v>Target</v>
      </c>
      <c r="P175" s="51">
        <f t="shared" si="7"/>
        <v>0</v>
      </c>
      <c r="Q175" s="51" t="str">
        <f t="shared" si="8"/>
        <v>Equal</v>
      </c>
    </row>
    <row r="176">
      <c r="A176" s="48" t="s">
        <v>14</v>
      </c>
      <c r="B176" s="49" t="s">
        <v>1361</v>
      </c>
      <c r="C176" s="49" t="s">
        <v>1362</v>
      </c>
      <c r="D176" s="49" t="s">
        <v>1363</v>
      </c>
      <c r="E176" s="49" t="s">
        <v>1364</v>
      </c>
      <c r="F176" s="49" t="s">
        <v>290</v>
      </c>
      <c r="G176" s="49" t="s">
        <v>1367</v>
      </c>
      <c r="H176" s="54">
        <v>2.0</v>
      </c>
      <c r="I176" s="54">
        <v>2.0</v>
      </c>
      <c r="J176" s="49">
        <f t="shared" ref="J176:K176" si="353">LEN(SUBSTITUTE(SUBSTITUTE(SUBSTITUTE(B176 ,"ˈ",""),"d̠ʒ","ʒ"),"t̠ʃ","ʃ"))</f>
        <v>4</v>
      </c>
      <c r="K176" s="44">
        <f t="shared" si="353"/>
        <v>5</v>
      </c>
      <c r="L176" s="51">
        <f t="shared" ref="L176:M176" si="354">LEN(D176)-LEN(B176)+1</f>
        <v>2</v>
      </c>
      <c r="M176" s="51">
        <f t="shared" si="354"/>
        <v>2</v>
      </c>
      <c r="N176" s="51">
        <f t="shared" si="5"/>
        <v>-1</v>
      </c>
      <c r="O176" s="51" t="str">
        <f t="shared" si="6"/>
        <v>Target</v>
      </c>
      <c r="P176" s="51">
        <f t="shared" si="7"/>
        <v>0</v>
      </c>
      <c r="Q176" s="51" t="str">
        <f t="shared" si="8"/>
        <v>Equal</v>
      </c>
    </row>
    <row r="177">
      <c r="A177" s="48" t="s">
        <v>14</v>
      </c>
      <c r="B177" s="49" t="s">
        <v>1368</v>
      </c>
      <c r="C177" s="49" t="s">
        <v>1369</v>
      </c>
      <c r="D177" s="49" t="s">
        <v>1370</v>
      </c>
      <c r="E177" s="49" t="s">
        <v>1371</v>
      </c>
      <c r="F177" s="49" t="s">
        <v>466</v>
      </c>
      <c r="G177" s="49" t="s">
        <v>1081</v>
      </c>
      <c r="H177" s="54">
        <v>2.0</v>
      </c>
      <c r="I177" s="54">
        <v>2.0</v>
      </c>
      <c r="J177" s="49">
        <f t="shared" ref="J177:K177" si="355">LEN(SUBSTITUTE(SUBSTITUTE(SUBSTITUTE(B177 ,"ˈ",""),"d̠ʒ","ʒ"),"t̠ʃ","ʃ"))</f>
        <v>4</v>
      </c>
      <c r="K177" s="44">
        <f t="shared" si="355"/>
        <v>6</v>
      </c>
      <c r="L177" s="51">
        <f t="shared" ref="L177:M177" si="356">LEN(D177)-LEN(B177)+1</f>
        <v>2</v>
      </c>
      <c r="M177" s="51">
        <f t="shared" si="356"/>
        <v>2</v>
      </c>
      <c r="N177" s="51">
        <f t="shared" si="5"/>
        <v>-2</v>
      </c>
      <c r="O177" s="51" t="str">
        <f t="shared" si="6"/>
        <v>Target</v>
      </c>
      <c r="P177" s="51">
        <f t="shared" si="7"/>
        <v>0</v>
      </c>
      <c r="Q177" s="51" t="str">
        <f t="shared" si="8"/>
        <v>Equal</v>
      </c>
    </row>
    <row r="178">
      <c r="A178" s="48" t="s">
        <v>14</v>
      </c>
      <c r="B178" s="49" t="s">
        <v>1374</v>
      </c>
      <c r="C178" s="49" t="s">
        <v>1375</v>
      </c>
      <c r="D178" s="49" t="s">
        <v>1376</v>
      </c>
      <c r="E178" s="49" t="s">
        <v>1377</v>
      </c>
      <c r="F178" s="49" t="s">
        <v>425</v>
      </c>
      <c r="G178" s="49" t="s">
        <v>1378</v>
      </c>
      <c r="H178" s="54">
        <v>1.0</v>
      </c>
      <c r="I178" s="54">
        <v>1.0</v>
      </c>
      <c r="J178" s="49">
        <f t="shared" ref="J178:K178" si="357">LEN(SUBSTITUTE(SUBSTITUTE(SUBSTITUTE(B178 ,"ˈ",""),"d̠ʒ","ʒ"),"t̠ʃ","ʃ"))</f>
        <v>4</v>
      </c>
      <c r="K178" s="44">
        <f t="shared" si="357"/>
        <v>6</v>
      </c>
      <c r="L178" s="51">
        <f t="shared" ref="L178:M178" si="358">LEN(D178)-LEN(B178)+1</f>
        <v>2</v>
      </c>
      <c r="M178" s="51">
        <f t="shared" si="358"/>
        <v>2</v>
      </c>
      <c r="N178" s="51">
        <f t="shared" si="5"/>
        <v>-2</v>
      </c>
      <c r="O178" s="51" t="str">
        <f t="shared" si="6"/>
        <v>Target</v>
      </c>
      <c r="P178" s="51">
        <f t="shared" si="7"/>
        <v>0</v>
      </c>
      <c r="Q178" s="51" t="str">
        <f t="shared" si="8"/>
        <v>Equal</v>
      </c>
    </row>
    <row r="179">
      <c r="A179" s="48" t="s">
        <v>14</v>
      </c>
      <c r="B179" s="49" t="s">
        <v>1381</v>
      </c>
      <c r="C179" s="49" t="s">
        <v>1382</v>
      </c>
      <c r="D179" s="49" t="s">
        <v>1383</v>
      </c>
      <c r="E179" s="49" t="s">
        <v>1384</v>
      </c>
      <c r="F179" s="49" t="s">
        <v>1387</v>
      </c>
      <c r="G179" s="49" t="s">
        <v>1388</v>
      </c>
      <c r="H179" s="54">
        <v>2.0</v>
      </c>
      <c r="I179" s="54">
        <v>3.0</v>
      </c>
      <c r="J179" s="49">
        <f t="shared" ref="J179:K179" si="359">LEN(SUBSTITUTE(SUBSTITUTE(SUBSTITUTE(B179 ,"ˈ",""),"d̠ʒ","ʒ"),"t̠ʃ","ʃ"))</f>
        <v>4</v>
      </c>
      <c r="K179" s="44">
        <f t="shared" si="359"/>
        <v>6</v>
      </c>
      <c r="L179" s="51">
        <f t="shared" ref="L179:M179" si="360">LEN(D179)-LEN(B179)+1</f>
        <v>2</v>
      </c>
      <c r="M179" s="51">
        <f t="shared" si="360"/>
        <v>3</v>
      </c>
      <c r="N179" s="51">
        <f t="shared" si="5"/>
        <v>-2</v>
      </c>
      <c r="O179" s="51" t="str">
        <f t="shared" si="6"/>
        <v>Target</v>
      </c>
      <c r="P179" s="51">
        <f t="shared" si="7"/>
        <v>-1</v>
      </c>
      <c r="Q179" s="51" t="str">
        <f t="shared" si="8"/>
        <v>Target</v>
      </c>
    </row>
    <row r="180">
      <c r="A180" s="48" t="s">
        <v>14</v>
      </c>
      <c r="B180" s="49" t="s">
        <v>1389</v>
      </c>
      <c r="C180" s="49" t="s">
        <v>1390</v>
      </c>
      <c r="D180" s="49" t="s">
        <v>1391</v>
      </c>
      <c r="E180" s="49" t="s">
        <v>1392</v>
      </c>
      <c r="F180" s="49" t="s">
        <v>1396</v>
      </c>
      <c r="G180" s="49" t="s">
        <v>1397</v>
      </c>
      <c r="H180" s="54">
        <v>2.0</v>
      </c>
      <c r="I180" s="54">
        <v>2.0</v>
      </c>
      <c r="J180" s="49">
        <f t="shared" ref="J180:K180" si="361">LEN(SUBSTITUTE(SUBSTITUTE(SUBSTITUTE(B180 ,"ˈ",""),"d̠ʒ","ʒ"),"t̠ʃ","ʃ"))</f>
        <v>4</v>
      </c>
      <c r="K180" s="44">
        <f t="shared" si="361"/>
        <v>6</v>
      </c>
      <c r="L180" s="51">
        <f t="shared" ref="L180:M180" si="362">LEN(D180)-LEN(B180)+1</f>
        <v>2</v>
      </c>
      <c r="M180" s="51">
        <f t="shared" si="362"/>
        <v>2</v>
      </c>
      <c r="N180" s="51">
        <f t="shared" si="5"/>
        <v>-2</v>
      </c>
      <c r="O180" s="51" t="str">
        <f t="shared" si="6"/>
        <v>Target</v>
      </c>
      <c r="P180" s="51">
        <f t="shared" si="7"/>
        <v>0</v>
      </c>
      <c r="Q180" s="51" t="str">
        <f t="shared" si="8"/>
        <v>Equal</v>
      </c>
    </row>
    <row r="181">
      <c r="A181" s="48" t="s">
        <v>14</v>
      </c>
      <c r="B181" s="49" t="s">
        <v>1398</v>
      </c>
      <c r="C181" s="49" t="s">
        <v>1399</v>
      </c>
      <c r="D181" s="49" t="s">
        <v>1400</v>
      </c>
      <c r="E181" s="49" t="s">
        <v>1401</v>
      </c>
      <c r="F181" s="49" t="s">
        <v>194</v>
      </c>
      <c r="G181" s="49" t="s">
        <v>1404</v>
      </c>
      <c r="H181" s="54">
        <v>2.0</v>
      </c>
      <c r="I181" s="54">
        <v>2.0</v>
      </c>
      <c r="J181" s="49">
        <f t="shared" ref="J181:K181" si="363">LEN(SUBSTITUTE(SUBSTITUTE(SUBSTITUTE(B181 ,"ˈ",""),"d̠ʒ","ʒ"),"t̠ʃ","ʃ"))</f>
        <v>4</v>
      </c>
      <c r="K181" s="44">
        <f t="shared" si="363"/>
        <v>5</v>
      </c>
      <c r="L181" s="51">
        <f t="shared" ref="L181:M181" si="364">LEN(D181)-LEN(B181)+1</f>
        <v>2</v>
      </c>
      <c r="M181" s="51">
        <f t="shared" si="364"/>
        <v>2</v>
      </c>
      <c r="N181" s="51">
        <f t="shared" si="5"/>
        <v>-1</v>
      </c>
      <c r="O181" s="51" t="str">
        <f t="shared" si="6"/>
        <v>Target</v>
      </c>
      <c r="P181" s="51">
        <f t="shared" si="7"/>
        <v>0</v>
      </c>
      <c r="Q181" s="51" t="str">
        <f t="shared" si="8"/>
        <v>Equal</v>
      </c>
    </row>
    <row r="182">
      <c r="A182" s="48" t="s">
        <v>14</v>
      </c>
      <c r="B182" s="49" t="s">
        <v>429</v>
      </c>
      <c r="C182" s="49" t="s">
        <v>1405</v>
      </c>
      <c r="D182" s="49" t="s">
        <v>431</v>
      </c>
      <c r="E182" s="49" t="s">
        <v>1406</v>
      </c>
      <c r="F182" s="49" t="s">
        <v>436</v>
      </c>
      <c r="G182" s="49" t="s">
        <v>1410</v>
      </c>
      <c r="H182" s="54">
        <v>2.0</v>
      </c>
      <c r="I182" s="54">
        <v>2.0</v>
      </c>
      <c r="J182" s="49">
        <f t="shared" ref="J182:K182" si="365">LEN(SUBSTITUTE(SUBSTITUTE(SUBSTITUTE(B182 ,"ˈ",""),"d̠ʒ","ʒ"),"t̠ʃ","ʃ"))</f>
        <v>4</v>
      </c>
      <c r="K182" s="44">
        <f t="shared" si="365"/>
        <v>6</v>
      </c>
      <c r="L182" s="51">
        <f t="shared" ref="L182:M182" si="366">LEN(D182)-LEN(B182)+1</f>
        <v>2</v>
      </c>
      <c r="M182" s="51">
        <f t="shared" si="366"/>
        <v>2</v>
      </c>
      <c r="N182" s="51">
        <f t="shared" si="5"/>
        <v>-2</v>
      </c>
      <c r="O182" s="51" t="str">
        <f t="shared" si="6"/>
        <v>Target</v>
      </c>
      <c r="P182" s="51">
        <f t="shared" si="7"/>
        <v>0</v>
      </c>
      <c r="Q182" s="51" t="str">
        <f t="shared" si="8"/>
        <v>Equal</v>
      </c>
    </row>
    <row r="183">
      <c r="A183" s="48" t="s">
        <v>14</v>
      </c>
      <c r="B183" s="49" t="s">
        <v>1411</v>
      </c>
      <c r="C183" s="49" t="s">
        <v>1412</v>
      </c>
      <c r="D183" s="49" t="s">
        <v>1413</v>
      </c>
      <c r="E183" s="49" t="s">
        <v>1414</v>
      </c>
      <c r="F183" s="49" t="s">
        <v>326</v>
      </c>
      <c r="G183" s="49" t="s">
        <v>1235</v>
      </c>
      <c r="H183" s="54">
        <v>2.0</v>
      </c>
      <c r="I183" s="54">
        <v>2.0</v>
      </c>
      <c r="J183" s="49">
        <f t="shared" ref="J183:K183" si="367">LEN(SUBSTITUTE(SUBSTITUTE(SUBSTITUTE(B183 ,"ˈ",""),"d̠ʒ","ʒ"),"t̠ʃ","ʃ"))</f>
        <v>4</v>
      </c>
      <c r="K183" s="44">
        <f t="shared" si="367"/>
        <v>5</v>
      </c>
      <c r="L183" s="51">
        <f t="shared" ref="L183:M183" si="368">LEN(D183)-LEN(B183)+1</f>
        <v>2</v>
      </c>
      <c r="M183" s="51">
        <f t="shared" si="368"/>
        <v>2</v>
      </c>
      <c r="N183" s="51">
        <f t="shared" si="5"/>
        <v>-1</v>
      </c>
      <c r="O183" s="51" t="str">
        <f t="shared" si="6"/>
        <v>Target</v>
      </c>
      <c r="P183" s="51">
        <f t="shared" si="7"/>
        <v>0</v>
      </c>
      <c r="Q183" s="51" t="str">
        <f t="shared" si="8"/>
        <v>Equal</v>
      </c>
    </row>
    <row r="184">
      <c r="A184" s="48" t="s">
        <v>14</v>
      </c>
      <c r="B184" s="49" t="s">
        <v>1417</v>
      </c>
      <c r="C184" s="49" t="s">
        <v>1362</v>
      </c>
      <c r="D184" s="49" t="s">
        <v>1418</v>
      </c>
      <c r="E184" s="49" t="s">
        <v>1364</v>
      </c>
      <c r="F184" s="49" t="s">
        <v>1420</v>
      </c>
      <c r="G184" s="49" t="s">
        <v>1367</v>
      </c>
      <c r="H184" s="54">
        <v>2.0</v>
      </c>
      <c r="I184" s="54">
        <v>2.0</v>
      </c>
      <c r="J184" s="49">
        <f t="shared" ref="J184:K184" si="369">LEN(SUBSTITUTE(SUBSTITUTE(SUBSTITUTE(B184 ,"ˈ",""),"d̠ʒ","ʒ"),"t̠ʃ","ʃ"))</f>
        <v>4</v>
      </c>
      <c r="K184" s="44">
        <f t="shared" si="369"/>
        <v>5</v>
      </c>
      <c r="L184" s="51">
        <f t="shared" ref="L184:M184" si="370">LEN(D184)-LEN(B184)+1</f>
        <v>2</v>
      </c>
      <c r="M184" s="51">
        <f t="shared" si="370"/>
        <v>2</v>
      </c>
      <c r="N184" s="51">
        <f t="shared" si="5"/>
        <v>-1</v>
      </c>
      <c r="O184" s="51" t="str">
        <f t="shared" si="6"/>
        <v>Target</v>
      </c>
      <c r="P184" s="51">
        <f t="shared" si="7"/>
        <v>0</v>
      </c>
      <c r="Q184" s="51" t="str">
        <f t="shared" si="8"/>
        <v>Equal</v>
      </c>
    </row>
    <row r="185">
      <c r="A185" s="48" t="s">
        <v>14</v>
      </c>
      <c r="B185" s="49" t="s">
        <v>1421</v>
      </c>
      <c r="C185" s="49" t="s">
        <v>1422</v>
      </c>
      <c r="D185" s="49" t="s">
        <v>1423</v>
      </c>
      <c r="E185" s="49" t="s">
        <v>1424</v>
      </c>
      <c r="F185" s="49" t="s">
        <v>1429</v>
      </c>
      <c r="G185" s="49" t="s">
        <v>1430</v>
      </c>
      <c r="H185" s="54">
        <v>2.0</v>
      </c>
      <c r="I185" s="54">
        <v>2.0</v>
      </c>
      <c r="J185" s="49">
        <f t="shared" ref="J185:K185" si="371">LEN(SUBSTITUTE(SUBSTITUTE(SUBSTITUTE(B185 ,"ˈ",""),"d̠ʒ","ʒ"),"t̠ʃ","ʃ"))</f>
        <v>4</v>
      </c>
      <c r="K185" s="44">
        <f t="shared" si="371"/>
        <v>5</v>
      </c>
      <c r="L185" s="51">
        <f t="shared" ref="L185:M185" si="372">LEN(D185)-LEN(B185)+1</f>
        <v>2</v>
      </c>
      <c r="M185" s="51">
        <f t="shared" si="372"/>
        <v>2</v>
      </c>
      <c r="N185" s="51">
        <f t="shared" si="5"/>
        <v>-1</v>
      </c>
      <c r="O185" s="51" t="str">
        <f t="shared" si="6"/>
        <v>Target</v>
      </c>
      <c r="P185" s="51">
        <f t="shared" si="7"/>
        <v>0</v>
      </c>
      <c r="Q185" s="51" t="str">
        <f t="shared" si="8"/>
        <v>Equal</v>
      </c>
    </row>
    <row r="186">
      <c r="A186" s="48" t="s">
        <v>14</v>
      </c>
      <c r="B186" s="49" t="s">
        <v>1431</v>
      </c>
      <c r="C186" s="49" t="s">
        <v>1432</v>
      </c>
      <c r="D186" s="49" t="s">
        <v>1433</v>
      </c>
      <c r="E186" s="49" t="s">
        <v>1434</v>
      </c>
      <c r="F186" s="49" t="s">
        <v>1118</v>
      </c>
      <c r="G186" s="49" t="s">
        <v>1119</v>
      </c>
      <c r="H186" s="54">
        <v>2.0</v>
      </c>
      <c r="I186" s="54">
        <v>2.0</v>
      </c>
      <c r="J186" s="49">
        <f t="shared" ref="J186:K186" si="373">LEN(SUBSTITUTE(SUBSTITUTE(SUBSTITUTE(B186 ,"ˈ",""),"d̠ʒ","ʒ"),"t̠ʃ","ʃ"))</f>
        <v>5</v>
      </c>
      <c r="K186" s="44">
        <f t="shared" si="373"/>
        <v>5</v>
      </c>
      <c r="L186" s="51">
        <f t="shared" ref="L186:M186" si="374">LEN(D186)-LEN(B186)+1</f>
        <v>2</v>
      </c>
      <c r="M186" s="51">
        <f t="shared" si="374"/>
        <v>2</v>
      </c>
      <c r="N186" s="51">
        <f t="shared" si="5"/>
        <v>0</v>
      </c>
      <c r="O186" s="51" t="str">
        <f t="shared" si="6"/>
        <v>Equal</v>
      </c>
      <c r="P186" s="51">
        <f t="shared" si="7"/>
        <v>0</v>
      </c>
      <c r="Q186" s="51" t="str">
        <f t="shared" si="8"/>
        <v>Equal</v>
      </c>
    </row>
    <row r="187">
      <c r="A187" s="48" t="s">
        <v>14</v>
      </c>
      <c r="B187" s="49" t="s">
        <v>1438</v>
      </c>
      <c r="C187" s="49" t="s">
        <v>1439</v>
      </c>
      <c r="D187" s="49" t="s">
        <v>1440</v>
      </c>
      <c r="E187" s="49" t="s">
        <v>1441</v>
      </c>
      <c r="F187" s="49" t="s">
        <v>1032</v>
      </c>
      <c r="G187" s="49" t="s">
        <v>1129</v>
      </c>
      <c r="H187" s="54">
        <v>2.0</v>
      </c>
      <c r="I187" s="54">
        <v>2.0</v>
      </c>
      <c r="J187" s="49">
        <f t="shared" ref="J187:K187" si="375">LEN(SUBSTITUTE(SUBSTITUTE(SUBSTITUTE(B187 ,"ˈ",""),"d̠ʒ","ʒ"),"t̠ʃ","ʃ"))</f>
        <v>5</v>
      </c>
      <c r="K187" s="44">
        <f t="shared" si="375"/>
        <v>6</v>
      </c>
      <c r="L187" s="51">
        <f t="shared" ref="L187:M187" si="376">LEN(D187)-LEN(B187)+1</f>
        <v>2</v>
      </c>
      <c r="M187" s="51">
        <f t="shared" si="376"/>
        <v>2</v>
      </c>
      <c r="N187" s="51">
        <f t="shared" si="5"/>
        <v>-1</v>
      </c>
      <c r="O187" s="51" t="str">
        <f t="shared" si="6"/>
        <v>Target</v>
      </c>
      <c r="P187" s="51">
        <f t="shared" si="7"/>
        <v>0</v>
      </c>
      <c r="Q187" s="51" t="str">
        <f t="shared" si="8"/>
        <v>Equal</v>
      </c>
    </row>
    <row r="188">
      <c r="A188" s="48" t="s">
        <v>14</v>
      </c>
      <c r="B188" s="49" t="s">
        <v>1444</v>
      </c>
      <c r="C188" s="49" t="s">
        <v>1445</v>
      </c>
      <c r="D188" s="49" t="s">
        <v>1446</v>
      </c>
      <c r="E188" s="49" t="s">
        <v>1447</v>
      </c>
      <c r="F188" s="49" t="s">
        <v>1075</v>
      </c>
      <c r="G188" s="49" t="s">
        <v>1076</v>
      </c>
      <c r="H188" s="54">
        <v>2.0</v>
      </c>
      <c r="I188" s="54">
        <v>3.0</v>
      </c>
      <c r="J188" s="49">
        <f t="shared" ref="J188:K188" si="377">LEN(SUBSTITUTE(SUBSTITUTE(SUBSTITUTE(B188 ,"ˈ",""),"d̠ʒ","ʒ"),"t̠ʃ","ʃ"))</f>
        <v>4</v>
      </c>
      <c r="K188" s="44">
        <f t="shared" si="377"/>
        <v>8</v>
      </c>
      <c r="L188" s="51">
        <f t="shared" ref="L188:M188" si="378">LEN(D188)-LEN(B188)+1</f>
        <v>2</v>
      </c>
      <c r="M188" s="51">
        <f t="shared" si="378"/>
        <v>3</v>
      </c>
      <c r="N188" s="51">
        <f t="shared" si="5"/>
        <v>-4</v>
      </c>
      <c r="O188" s="51" t="str">
        <f t="shared" si="6"/>
        <v>Target</v>
      </c>
      <c r="P188" s="51">
        <f t="shared" si="7"/>
        <v>-1</v>
      </c>
      <c r="Q188" s="51" t="str">
        <f t="shared" si="8"/>
        <v>Target</v>
      </c>
    </row>
    <row r="189">
      <c r="A189" s="48" t="s">
        <v>14</v>
      </c>
      <c r="B189" s="49" t="s">
        <v>1451</v>
      </c>
      <c r="C189" s="49" t="s">
        <v>1452</v>
      </c>
      <c r="D189" s="49" t="s">
        <v>1453</v>
      </c>
      <c r="E189" s="49" t="s">
        <v>1454</v>
      </c>
      <c r="F189" s="49" t="s">
        <v>3673</v>
      </c>
      <c r="G189" s="49" t="s">
        <v>1051</v>
      </c>
      <c r="H189" s="54">
        <v>2.0</v>
      </c>
      <c r="I189" s="54">
        <v>2.0</v>
      </c>
      <c r="J189" s="49">
        <f t="shared" ref="J189:K189" si="379">LEN(SUBSTITUTE(SUBSTITUTE(SUBSTITUTE(B189 ,"ˈ",""),"d̠ʒ","ʒ"),"t̠ʃ","ʃ"))</f>
        <v>4</v>
      </c>
      <c r="K189" s="44">
        <f t="shared" si="379"/>
        <v>6</v>
      </c>
      <c r="L189" s="51">
        <f t="shared" ref="L189:M189" si="380">LEN(D189)-LEN(B189)+1</f>
        <v>2</v>
      </c>
      <c r="M189" s="51">
        <f t="shared" si="380"/>
        <v>2</v>
      </c>
      <c r="N189" s="51">
        <f t="shared" si="5"/>
        <v>-2</v>
      </c>
      <c r="O189" s="51" t="str">
        <f t="shared" si="6"/>
        <v>Target</v>
      </c>
      <c r="P189" s="51">
        <f t="shared" si="7"/>
        <v>0</v>
      </c>
      <c r="Q189" s="51" t="str">
        <f t="shared" si="8"/>
        <v>Equal</v>
      </c>
    </row>
    <row r="190">
      <c r="A190" s="48" t="s">
        <v>14</v>
      </c>
      <c r="B190" s="49" t="s">
        <v>1457</v>
      </c>
      <c r="C190" s="49" t="s">
        <v>1458</v>
      </c>
      <c r="D190" s="49" t="s">
        <v>1459</v>
      </c>
      <c r="E190" s="49" t="s">
        <v>1460</v>
      </c>
      <c r="F190" s="49" t="s">
        <v>1420</v>
      </c>
      <c r="G190" s="49" t="s">
        <v>1463</v>
      </c>
      <c r="H190" s="54">
        <v>2.0</v>
      </c>
      <c r="I190" s="54">
        <v>2.0</v>
      </c>
      <c r="J190" s="49">
        <f t="shared" ref="J190:K190" si="381">LEN(SUBSTITUTE(SUBSTITUTE(SUBSTITUTE(B190 ,"ˈ",""),"d̠ʒ","ʒ"),"t̠ʃ","ʃ"))</f>
        <v>4</v>
      </c>
      <c r="K190" s="44">
        <f t="shared" si="381"/>
        <v>5</v>
      </c>
      <c r="L190" s="51">
        <f t="shared" ref="L190:M190" si="382">LEN(D190)-LEN(B190)+1</f>
        <v>2</v>
      </c>
      <c r="M190" s="51">
        <f t="shared" si="382"/>
        <v>2</v>
      </c>
      <c r="N190" s="51">
        <f t="shared" si="5"/>
        <v>-1</v>
      </c>
      <c r="O190" s="51" t="str">
        <f t="shared" si="6"/>
        <v>Target</v>
      </c>
      <c r="P190" s="51">
        <f t="shared" si="7"/>
        <v>0</v>
      </c>
      <c r="Q190" s="51" t="str">
        <f t="shared" si="8"/>
        <v>Equal</v>
      </c>
    </row>
    <row r="191">
      <c r="A191" s="48" t="s">
        <v>14</v>
      </c>
      <c r="B191" s="49" t="s">
        <v>1464</v>
      </c>
      <c r="C191" s="49" t="s">
        <v>1465</v>
      </c>
      <c r="D191" s="49" t="s">
        <v>1466</v>
      </c>
      <c r="E191" s="49" t="s">
        <v>1467</v>
      </c>
      <c r="F191" s="49" t="s">
        <v>326</v>
      </c>
      <c r="G191" s="49" t="s">
        <v>1470</v>
      </c>
      <c r="H191" s="54">
        <v>2.0</v>
      </c>
      <c r="I191" s="54">
        <v>3.0</v>
      </c>
      <c r="J191" s="49">
        <f t="shared" ref="J191:K191" si="383">LEN(SUBSTITUTE(SUBSTITUTE(SUBSTITUTE(B191 ,"ˈ",""),"d̠ʒ","ʒ"),"t̠ʃ","ʃ"))</f>
        <v>4</v>
      </c>
      <c r="K191" s="44">
        <f t="shared" si="383"/>
        <v>6</v>
      </c>
      <c r="L191" s="51">
        <f t="shared" ref="L191:M191" si="384">LEN(D191)-LEN(B191)+1</f>
        <v>2</v>
      </c>
      <c r="M191" s="51">
        <f t="shared" si="384"/>
        <v>3</v>
      </c>
      <c r="N191" s="51">
        <f t="shared" si="5"/>
        <v>-2</v>
      </c>
      <c r="O191" s="51" t="str">
        <f t="shared" si="6"/>
        <v>Target</v>
      </c>
      <c r="P191" s="51">
        <f t="shared" si="7"/>
        <v>-1</v>
      </c>
      <c r="Q191" s="51" t="str">
        <f t="shared" si="8"/>
        <v>Target</v>
      </c>
    </row>
    <row r="192">
      <c r="A192" s="48" t="s">
        <v>14</v>
      </c>
      <c r="B192" s="49" t="s">
        <v>1471</v>
      </c>
      <c r="C192" s="49" t="s">
        <v>1472</v>
      </c>
      <c r="D192" s="49" t="s">
        <v>1473</v>
      </c>
      <c r="E192" s="49" t="s">
        <v>1474</v>
      </c>
      <c r="F192" s="49" t="s">
        <v>387</v>
      </c>
      <c r="G192" s="49" t="s">
        <v>387</v>
      </c>
      <c r="H192" s="54">
        <v>2.0</v>
      </c>
      <c r="I192" s="54">
        <v>3.0</v>
      </c>
      <c r="J192" s="49">
        <f t="shared" ref="J192:K192" si="385">LEN(SUBSTITUTE(SUBSTITUTE(SUBSTITUTE(B192 ,"ˈ",""),"d̠ʒ","ʒ"),"t̠ʃ","ʃ"))</f>
        <v>5</v>
      </c>
      <c r="K192" s="44">
        <f t="shared" si="385"/>
        <v>8</v>
      </c>
      <c r="L192" s="51">
        <f t="shared" ref="L192:M192" si="386">LEN(D192)-LEN(B192)+1</f>
        <v>2</v>
      </c>
      <c r="M192" s="51">
        <f t="shared" si="386"/>
        <v>3</v>
      </c>
      <c r="N192" s="51">
        <f t="shared" si="5"/>
        <v>-3</v>
      </c>
      <c r="O192" s="51" t="str">
        <f t="shared" si="6"/>
        <v>Target</v>
      </c>
      <c r="P192" s="51">
        <f t="shared" si="7"/>
        <v>-1</v>
      </c>
      <c r="Q192" s="51" t="str">
        <f t="shared" si="8"/>
        <v>Target</v>
      </c>
    </row>
    <row r="193">
      <c r="A193" s="48" t="s">
        <v>14</v>
      </c>
      <c r="B193" s="49" t="s">
        <v>1479</v>
      </c>
      <c r="C193" s="49" t="s">
        <v>1480</v>
      </c>
      <c r="D193" s="49" t="s">
        <v>1481</v>
      </c>
      <c r="E193" s="49" t="s">
        <v>1482</v>
      </c>
      <c r="F193" s="49" t="s">
        <v>615</v>
      </c>
      <c r="G193" s="49" t="s">
        <v>1299</v>
      </c>
      <c r="H193" s="54">
        <v>2.0</v>
      </c>
      <c r="I193" s="54">
        <v>3.0</v>
      </c>
      <c r="J193" s="49">
        <f t="shared" ref="J193:K193" si="387">LEN(SUBSTITUTE(SUBSTITUTE(SUBSTITUTE(B193 ,"ˈ",""),"d̠ʒ","ʒ"),"t̠ʃ","ʃ"))</f>
        <v>4</v>
      </c>
      <c r="K193" s="44">
        <f t="shared" si="387"/>
        <v>7</v>
      </c>
      <c r="L193" s="51">
        <f t="shared" ref="L193:M193" si="388">LEN(D193)-LEN(B193)+1</f>
        <v>2</v>
      </c>
      <c r="M193" s="51">
        <f t="shared" si="388"/>
        <v>3</v>
      </c>
      <c r="N193" s="51">
        <f t="shared" si="5"/>
        <v>-3</v>
      </c>
      <c r="O193" s="51" t="str">
        <f t="shared" si="6"/>
        <v>Target</v>
      </c>
      <c r="P193" s="51">
        <f t="shared" si="7"/>
        <v>-1</v>
      </c>
      <c r="Q193" s="51" t="str">
        <f t="shared" si="8"/>
        <v>Target</v>
      </c>
    </row>
    <row r="194">
      <c r="A194" s="48" t="s">
        <v>14</v>
      </c>
      <c r="B194" s="49" t="s">
        <v>1487</v>
      </c>
      <c r="C194" s="49" t="s">
        <v>1488</v>
      </c>
      <c r="D194" s="49" t="s">
        <v>1489</v>
      </c>
      <c r="E194" s="49" t="s">
        <v>1490</v>
      </c>
      <c r="F194" s="49" t="s">
        <v>1494</v>
      </c>
      <c r="G194" s="49" t="s">
        <v>1495</v>
      </c>
      <c r="H194" s="54">
        <v>2.0</v>
      </c>
      <c r="I194" s="54">
        <v>2.0</v>
      </c>
      <c r="J194" s="49">
        <f t="shared" ref="J194:K194" si="389">LEN(SUBSTITUTE(SUBSTITUTE(SUBSTITUTE(B194 ,"ˈ",""),"d̠ʒ","ʒ"),"t̠ʃ","ʃ"))</f>
        <v>6</v>
      </c>
      <c r="K194" s="44">
        <f t="shared" si="389"/>
        <v>7</v>
      </c>
      <c r="L194" s="51">
        <f t="shared" ref="L194:M194" si="390">LEN(D194)-LEN(B194)+1</f>
        <v>2</v>
      </c>
      <c r="M194" s="51">
        <f t="shared" si="390"/>
        <v>2</v>
      </c>
      <c r="N194" s="51">
        <f t="shared" si="5"/>
        <v>-1</v>
      </c>
      <c r="O194" s="51" t="str">
        <f t="shared" si="6"/>
        <v>Target</v>
      </c>
      <c r="P194" s="51">
        <f t="shared" si="7"/>
        <v>0</v>
      </c>
      <c r="Q194" s="51" t="str">
        <f t="shared" si="8"/>
        <v>Equal</v>
      </c>
    </row>
    <row r="195">
      <c r="A195" s="48" t="s">
        <v>14</v>
      </c>
      <c r="B195" s="49" t="s">
        <v>1496</v>
      </c>
      <c r="C195" s="49" t="s">
        <v>1497</v>
      </c>
      <c r="D195" s="49" t="s">
        <v>1498</v>
      </c>
      <c r="E195" s="49" t="s">
        <v>1499</v>
      </c>
      <c r="F195" s="49" t="s">
        <v>1331</v>
      </c>
      <c r="G195" s="49" t="s">
        <v>1181</v>
      </c>
      <c r="H195" s="54">
        <v>2.0</v>
      </c>
      <c r="I195" s="54">
        <v>2.0</v>
      </c>
      <c r="J195" s="49">
        <f t="shared" ref="J195:K195" si="391">LEN(SUBSTITUTE(SUBSTITUTE(SUBSTITUTE(B195 ,"ˈ",""),"d̠ʒ","ʒ"),"t̠ʃ","ʃ"))</f>
        <v>4</v>
      </c>
      <c r="K195" s="44">
        <f t="shared" si="391"/>
        <v>6</v>
      </c>
      <c r="L195" s="51">
        <f t="shared" ref="L195:M195" si="392">LEN(D195)-LEN(B195)+1</f>
        <v>2</v>
      </c>
      <c r="M195" s="51">
        <f t="shared" si="392"/>
        <v>2</v>
      </c>
      <c r="N195" s="51">
        <f t="shared" si="5"/>
        <v>-2</v>
      </c>
      <c r="O195" s="51" t="str">
        <f t="shared" si="6"/>
        <v>Target</v>
      </c>
      <c r="P195" s="51">
        <f t="shared" si="7"/>
        <v>0</v>
      </c>
      <c r="Q195" s="51" t="str">
        <f t="shared" si="8"/>
        <v>Equal</v>
      </c>
    </row>
    <row r="196">
      <c r="A196" s="48" t="s">
        <v>14</v>
      </c>
      <c r="B196" s="49" t="s">
        <v>1503</v>
      </c>
      <c r="C196" s="49" t="s">
        <v>1504</v>
      </c>
      <c r="D196" s="49" t="s">
        <v>1503</v>
      </c>
      <c r="E196" s="49" t="s">
        <v>1505</v>
      </c>
      <c r="F196" s="49" t="s">
        <v>36</v>
      </c>
      <c r="G196" s="49" t="s">
        <v>1508</v>
      </c>
      <c r="H196" s="54" t="s">
        <v>36</v>
      </c>
      <c r="I196" s="54">
        <v>2.0</v>
      </c>
      <c r="J196" s="49">
        <f t="shared" ref="J196:K196" si="393">LEN(SUBSTITUTE(SUBSTITUTE(SUBSTITUTE(B196 ,"ˈ",""),"d̠ʒ","ʒ"),"t̠ʃ","ʃ"))</f>
        <v>3</v>
      </c>
      <c r="K196" s="44">
        <f t="shared" si="393"/>
        <v>5</v>
      </c>
      <c r="L196" s="51">
        <f t="shared" ref="L196:M196" si="394">LEN(D196)-LEN(B196)+1</f>
        <v>1</v>
      </c>
      <c r="M196" s="51">
        <f t="shared" si="394"/>
        <v>2</v>
      </c>
      <c r="N196" s="51">
        <f t="shared" si="5"/>
        <v>-2</v>
      </c>
      <c r="O196" s="51" t="str">
        <f t="shared" si="6"/>
        <v>Target</v>
      </c>
      <c r="P196" s="51">
        <f t="shared" si="7"/>
        <v>-1</v>
      </c>
      <c r="Q196" s="51" t="str">
        <f t="shared" si="8"/>
        <v>Target</v>
      </c>
    </row>
    <row r="197">
      <c r="A197" s="48" t="s">
        <v>14</v>
      </c>
      <c r="B197" s="49" t="s">
        <v>1509</v>
      </c>
      <c r="C197" s="49" t="s">
        <v>1510</v>
      </c>
      <c r="D197" s="49" t="s">
        <v>1511</v>
      </c>
      <c r="E197" s="49" t="s">
        <v>1512</v>
      </c>
      <c r="F197" s="49" t="s">
        <v>451</v>
      </c>
      <c r="G197" s="49" t="s">
        <v>1211</v>
      </c>
      <c r="H197" s="54">
        <v>2.0</v>
      </c>
      <c r="I197" s="54">
        <v>3.0</v>
      </c>
      <c r="J197" s="49">
        <f t="shared" ref="J197:K197" si="395">LEN(SUBSTITUTE(SUBSTITUTE(SUBSTITUTE(B197 ,"ˈ",""),"d̠ʒ","ʒ"),"t̠ʃ","ʃ"))</f>
        <v>5</v>
      </c>
      <c r="K197" s="44">
        <f t="shared" si="395"/>
        <v>7</v>
      </c>
      <c r="L197" s="51">
        <f t="shared" ref="L197:M197" si="396">LEN(D197)-LEN(B197)+1</f>
        <v>2</v>
      </c>
      <c r="M197" s="51">
        <f t="shared" si="396"/>
        <v>3</v>
      </c>
      <c r="N197" s="51">
        <f t="shared" si="5"/>
        <v>-2</v>
      </c>
      <c r="O197" s="51" t="str">
        <f t="shared" si="6"/>
        <v>Target</v>
      </c>
      <c r="P197" s="51">
        <f t="shared" si="7"/>
        <v>-1</v>
      </c>
      <c r="Q197" s="51" t="str">
        <f t="shared" si="8"/>
        <v>Target</v>
      </c>
    </row>
    <row r="198">
      <c r="A198" s="48" t="s">
        <v>14</v>
      </c>
      <c r="B198" s="49" t="s">
        <v>1516</v>
      </c>
      <c r="C198" s="49" t="s">
        <v>1517</v>
      </c>
      <c r="D198" s="49" t="s">
        <v>1518</v>
      </c>
      <c r="E198" s="49" t="s">
        <v>1519</v>
      </c>
      <c r="F198" s="49" t="s">
        <v>1075</v>
      </c>
      <c r="G198" s="49" t="s">
        <v>1076</v>
      </c>
      <c r="H198" s="54">
        <v>3.0</v>
      </c>
      <c r="I198" s="54">
        <v>3.0</v>
      </c>
      <c r="J198" s="49">
        <f t="shared" ref="J198:K198" si="397">LEN(SUBSTITUTE(SUBSTITUTE(SUBSTITUTE(B198 ,"ˈ",""),"d̠ʒ","ʒ"),"t̠ʃ","ʃ"))</f>
        <v>6</v>
      </c>
      <c r="K198" s="44">
        <f t="shared" si="397"/>
        <v>7</v>
      </c>
      <c r="L198" s="51">
        <f t="shared" ref="L198:M198" si="398">LEN(D198)-LEN(B198)+1</f>
        <v>3</v>
      </c>
      <c r="M198" s="51">
        <f t="shared" si="398"/>
        <v>3</v>
      </c>
      <c r="N198" s="51">
        <f t="shared" si="5"/>
        <v>-1</v>
      </c>
      <c r="O198" s="51" t="str">
        <f t="shared" si="6"/>
        <v>Target</v>
      </c>
      <c r="P198" s="51">
        <f t="shared" si="7"/>
        <v>0</v>
      </c>
      <c r="Q198" s="51" t="str">
        <f t="shared" si="8"/>
        <v>Equal</v>
      </c>
    </row>
    <row r="199">
      <c r="A199" s="48" t="s">
        <v>14</v>
      </c>
      <c r="B199" s="49" t="s">
        <v>1521</v>
      </c>
      <c r="C199" s="49" t="s">
        <v>1522</v>
      </c>
      <c r="D199" s="49" t="s">
        <v>1523</v>
      </c>
      <c r="E199" s="49" t="s">
        <v>1524</v>
      </c>
      <c r="F199" s="49" t="s">
        <v>326</v>
      </c>
      <c r="G199" s="49" t="s">
        <v>1470</v>
      </c>
      <c r="H199" s="54">
        <v>2.0</v>
      </c>
      <c r="I199" s="54">
        <v>3.0</v>
      </c>
      <c r="J199" s="49">
        <f t="shared" ref="J199:K199" si="399">LEN(SUBSTITUTE(SUBSTITUTE(SUBSTITUTE(B199 ,"ˈ",""),"d̠ʒ","ʒ"),"t̠ʃ","ʃ"))</f>
        <v>5</v>
      </c>
      <c r="K199" s="44">
        <f t="shared" si="399"/>
        <v>7</v>
      </c>
      <c r="L199" s="51">
        <f t="shared" ref="L199:M199" si="400">LEN(D199)-LEN(B199)+1</f>
        <v>2</v>
      </c>
      <c r="M199" s="51">
        <f t="shared" si="400"/>
        <v>3</v>
      </c>
      <c r="N199" s="51">
        <f t="shared" si="5"/>
        <v>-2</v>
      </c>
      <c r="O199" s="51" t="str">
        <f t="shared" si="6"/>
        <v>Target</v>
      </c>
      <c r="P199" s="51">
        <f t="shared" si="7"/>
        <v>-1</v>
      </c>
      <c r="Q199" s="51" t="str">
        <f t="shared" si="8"/>
        <v>Target</v>
      </c>
    </row>
    <row r="200">
      <c r="A200" s="48" t="s">
        <v>14</v>
      </c>
      <c r="B200" s="49" t="s">
        <v>1528</v>
      </c>
      <c r="C200" s="49" t="s">
        <v>1529</v>
      </c>
      <c r="D200" s="49" t="s">
        <v>1530</v>
      </c>
      <c r="E200" s="49" t="s">
        <v>1531</v>
      </c>
      <c r="F200" s="49" t="s">
        <v>629</v>
      </c>
      <c r="G200" s="49" t="s">
        <v>630</v>
      </c>
      <c r="H200" s="54">
        <v>3.0</v>
      </c>
      <c r="I200" s="54">
        <v>3.0</v>
      </c>
      <c r="J200" s="49">
        <f t="shared" ref="J200:K200" si="401">LEN(SUBSTITUTE(SUBSTITUTE(SUBSTITUTE(B200 ,"ˈ",""),"d̠ʒ","ʒ"),"t̠ʃ","ʃ"))</f>
        <v>5</v>
      </c>
      <c r="K200" s="44">
        <f t="shared" si="401"/>
        <v>7</v>
      </c>
      <c r="L200" s="51">
        <f t="shared" ref="L200:M200" si="402">LEN(D200)-LEN(B200)+1</f>
        <v>3</v>
      </c>
      <c r="M200" s="51">
        <f t="shared" si="402"/>
        <v>3</v>
      </c>
      <c r="N200" s="51">
        <f t="shared" si="5"/>
        <v>-2</v>
      </c>
      <c r="O200" s="51" t="str">
        <f t="shared" si="6"/>
        <v>Target</v>
      </c>
      <c r="P200" s="51">
        <f t="shared" si="7"/>
        <v>0</v>
      </c>
      <c r="Q200" s="51" t="str">
        <f t="shared" si="8"/>
        <v>Equal</v>
      </c>
    </row>
    <row r="201">
      <c r="A201" s="48" t="s">
        <v>14</v>
      </c>
      <c r="B201" s="49" t="s">
        <v>1535</v>
      </c>
      <c r="C201" s="49" t="s">
        <v>1536</v>
      </c>
      <c r="D201" s="49" t="s">
        <v>1537</v>
      </c>
      <c r="E201" s="49" t="s">
        <v>1538</v>
      </c>
      <c r="F201" s="49" t="s">
        <v>629</v>
      </c>
      <c r="G201" s="49" t="s">
        <v>630</v>
      </c>
      <c r="H201" s="54">
        <v>2.0</v>
      </c>
      <c r="I201" s="54">
        <v>3.0</v>
      </c>
      <c r="J201" s="49">
        <f t="shared" ref="J201:K201" si="403">LEN(SUBSTITUTE(SUBSTITUTE(SUBSTITUTE(B201 ,"ˈ",""),"d̠ʒ","ʒ"),"t̠ʃ","ʃ"))</f>
        <v>4</v>
      </c>
      <c r="K201" s="44">
        <f t="shared" si="403"/>
        <v>6</v>
      </c>
      <c r="L201" s="51">
        <f t="shared" ref="L201:M201" si="404">LEN(D201)-LEN(B201)+1</f>
        <v>2</v>
      </c>
      <c r="M201" s="51">
        <f t="shared" si="404"/>
        <v>3</v>
      </c>
      <c r="N201" s="51">
        <f t="shared" si="5"/>
        <v>-2</v>
      </c>
      <c r="O201" s="51" t="str">
        <f t="shared" si="6"/>
        <v>Target</v>
      </c>
      <c r="P201" s="51">
        <f t="shared" si="7"/>
        <v>-1</v>
      </c>
      <c r="Q201" s="51" t="str">
        <f t="shared" si="8"/>
        <v>Target</v>
      </c>
    </row>
    <row r="202">
      <c r="A202" s="48" t="s">
        <v>14</v>
      </c>
      <c r="B202" s="49" t="s">
        <v>1542</v>
      </c>
      <c r="C202" s="49" t="s">
        <v>1543</v>
      </c>
      <c r="D202" s="49" t="s">
        <v>1544</v>
      </c>
      <c r="E202" s="49" t="s">
        <v>1545</v>
      </c>
      <c r="F202" s="49" t="s">
        <v>1396</v>
      </c>
      <c r="G202" s="49" t="s">
        <v>1397</v>
      </c>
      <c r="H202" s="54">
        <v>2.0</v>
      </c>
      <c r="I202" s="54">
        <v>2.0</v>
      </c>
      <c r="J202" s="49">
        <f t="shared" ref="J202:K202" si="405">LEN(SUBSTITUTE(SUBSTITUTE(SUBSTITUTE(B202 ,"ˈ",""),"d̠ʒ","ʒ"),"t̠ʃ","ʃ"))</f>
        <v>4</v>
      </c>
      <c r="K202" s="44">
        <f t="shared" si="405"/>
        <v>5</v>
      </c>
      <c r="L202" s="51">
        <f t="shared" ref="L202:M202" si="406">LEN(D202)-LEN(B202)+1</f>
        <v>2</v>
      </c>
      <c r="M202" s="51">
        <f t="shared" si="406"/>
        <v>2</v>
      </c>
      <c r="N202" s="51">
        <f t="shared" si="5"/>
        <v>-1</v>
      </c>
      <c r="O202" s="51" t="str">
        <f t="shared" si="6"/>
        <v>Target</v>
      </c>
      <c r="P202" s="51">
        <f t="shared" si="7"/>
        <v>0</v>
      </c>
      <c r="Q202" s="51" t="str">
        <f t="shared" si="8"/>
        <v>Equal</v>
      </c>
    </row>
    <row r="203">
      <c r="A203" s="48" t="s">
        <v>14</v>
      </c>
      <c r="B203" s="49" t="s">
        <v>1548</v>
      </c>
      <c r="C203" s="49" t="s">
        <v>1549</v>
      </c>
      <c r="D203" s="49" t="s">
        <v>1550</v>
      </c>
      <c r="E203" s="49" t="s">
        <v>1551</v>
      </c>
      <c r="F203" s="49" t="s">
        <v>615</v>
      </c>
      <c r="G203" s="49" t="s">
        <v>1299</v>
      </c>
      <c r="H203" s="54">
        <v>3.0</v>
      </c>
      <c r="I203" s="54">
        <v>4.0</v>
      </c>
      <c r="J203" s="49">
        <f t="shared" ref="J203:K203" si="407">LEN(SUBSTITUTE(SUBSTITUTE(SUBSTITUTE(B203 ,"ˈ",""),"d̠ʒ","ʒ"),"t̠ʃ","ʃ"))</f>
        <v>6</v>
      </c>
      <c r="K203" s="44">
        <f t="shared" si="407"/>
        <v>8</v>
      </c>
      <c r="L203" s="51">
        <f t="shared" ref="L203:M203" si="408">LEN(D203)-LEN(B203)+1</f>
        <v>3</v>
      </c>
      <c r="M203" s="51">
        <f t="shared" si="408"/>
        <v>4</v>
      </c>
      <c r="N203" s="51">
        <f t="shared" si="5"/>
        <v>-2</v>
      </c>
      <c r="O203" s="51" t="str">
        <f t="shared" si="6"/>
        <v>Target</v>
      </c>
      <c r="P203" s="51">
        <f t="shared" si="7"/>
        <v>-1</v>
      </c>
      <c r="Q203" s="51" t="str">
        <f t="shared" si="8"/>
        <v>Target</v>
      </c>
    </row>
    <row r="204">
      <c r="A204" s="48" t="s">
        <v>14</v>
      </c>
      <c r="B204" s="49" t="s">
        <v>1555</v>
      </c>
      <c r="C204" s="49" t="s">
        <v>1556</v>
      </c>
      <c r="D204" s="49" t="s">
        <v>1557</v>
      </c>
      <c r="E204" s="49" t="s">
        <v>1558</v>
      </c>
      <c r="F204" s="49" t="s">
        <v>1387</v>
      </c>
      <c r="G204" s="49" t="s">
        <v>1388</v>
      </c>
      <c r="H204" s="54">
        <v>2.0</v>
      </c>
      <c r="I204" s="54">
        <v>2.0</v>
      </c>
      <c r="J204" s="49">
        <f t="shared" ref="J204:K204" si="409">LEN(SUBSTITUTE(SUBSTITUTE(SUBSTITUTE(B204 ,"ˈ",""),"d̠ʒ","ʒ"),"t̠ʃ","ʃ"))</f>
        <v>4</v>
      </c>
      <c r="K204" s="44">
        <f t="shared" si="409"/>
        <v>5</v>
      </c>
      <c r="L204" s="51">
        <f t="shared" ref="L204:M204" si="410">LEN(D204)-LEN(B204)+1</f>
        <v>2</v>
      </c>
      <c r="M204" s="51">
        <f t="shared" si="410"/>
        <v>2</v>
      </c>
      <c r="N204" s="51">
        <f t="shared" si="5"/>
        <v>-1</v>
      </c>
      <c r="O204" s="51" t="str">
        <f t="shared" si="6"/>
        <v>Target</v>
      </c>
      <c r="P204" s="51">
        <f t="shared" si="7"/>
        <v>0</v>
      </c>
      <c r="Q204" s="51" t="str">
        <f t="shared" si="8"/>
        <v>Equal</v>
      </c>
    </row>
    <row r="205">
      <c r="A205" s="48" t="s">
        <v>14</v>
      </c>
      <c r="B205" s="49" t="s">
        <v>1561</v>
      </c>
      <c r="C205" s="49" t="s">
        <v>1562</v>
      </c>
      <c r="D205" s="49" t="s">
        <v>1563</v>
      </c>
      <c r="E205" s="49" t="s">
        <v>1564</v>
      </c>
      <c r="F205" s="49" t="s">
        <v>131</v>
      </c>
      <c r="G205" s="49" t="s">
        <v>132</v>
      </c>
      <c r="H205" s="54">
        <v>2.0</v>
      </c>
      <c r="I205" s="54">
        <v>2.0</v>
      </c>
      <c r="J205" s="49">
        <f t="shared" ref="J205:K205" si="411">LEN(SUBSTITUTE(SUBSTITUTE(SUBSTITUTE(B205 ,"ˈ",""),"d̠ʒ","ʒ"),"t̠ʃ","ʃ"))</f>
        <v>4</v>
      </c>
      <c r="K205" s="44">
        <f t="shared" si="411"/>
        <v>5</v>
      </c>
      <c r="L205" s="51">
        <f t="shared" ref="L205:M205" si="412">LEN(D205)-LEN(B205)+1</f>
        <v>2</v>
      </c>
      <c r="M205" s="51">
        <f t="shared" si="412"/>
        <v>2</v>
      </c>
      <c r="N205" s="51">
        <f t="shared" si="5"/>
        <v>-1</v>
      </c>
      <c r="O205" s="51" t="str">
        <f t="shared" si="6"/>
        <v>Target</v>
      </c>
      <c r="P205" s="51">
        <f t="shared" si="7"/>
        <v>0</v>
      </c>
      <c r="Q205" s="51" t="str">
        <f t="shared" si="8"/>
        <v>Equal</v>
      </c>
    </row>
    <row r="206">
      <c r="A206" s="48" t="s">
        <v>14</v>
      </c>
      <c r="B206" s="49" t="s">
        <v>1567</v>
      </c>
      <c r="C206" s="49" t="s">
        <v>1568</v>
      </c>
      <c r="D206" s="49" t="s">
        <v>1569</v>
      </c>
      <c r="E206" s="49" t="s">
        <v>1570</v>
      </c>
      <c r="F206" s="49" t="s">
        <v>1032</v>
      </c>
      <c r="G206" s="49" t="s">
        <v>1470</v>
      </c>
      <c r="H206" s="54">
        <v>2.0</v>
      </c>
      <c r="I206" s="54">
        <v>3.0</v>
      </c>
      <c r="J206" s="49">
        <f t="shared" ref="J206:K206" si="413">LEN(SUBSTITUTE(SUBSTITUTE(SUBSTITUTE(B206 ,"ˈ",""),"d̠ʒ","ʒ"),"t̠ʃ","ʃ"))</f>
        <v>5</v>
      </c>
      <c r="K206" s="44">
        <f t="shared" si="413"/>
        <v>7</v>
      </c>
      <c r="L206" s="51">
        <f t="shared" ref="L206:M206" si="414">LEN(D206)-LEN(B206)+1</f>
        <v>2</v>
      </c>
      <c r="M206" s="51">
        <f t="shared" si="414"/>
        <v>3</v>
      </c>
      <c r="N206" s="51">
        <f t="shared" si="5"/>
        <v>-2</v>
      </c>
      <c r="O206" s="51" t="str">
        <f t="shared" si="6"/>
        <v>Target</v>
      </c>
      <c r="P206" s="51">
        <f t="shared" si="7"/>
        <v>-1</v>
      </c>
      <c r="Q206" s="51" t="str">
        <f t="shared" si="8"/>
        <v>Target</v>
      </c>
    </row>
    <row r="207">
      <c r="A207" s="48" t="s">
        <v>14</v>
      </c>
      <c r="B207" s="49" t="s">
        <v>1574</v>
      </c>
      <c r="C207" s="49" t="s">
        <v>1575</v>
      </c>
      <c r="D207" s="49" t="s">
        <v>1576</v>
      </c>
      <c r="E207" s="49" t="s">
        <v>1577</v>
      </c>
      <c r="F207" s="49" t="s">
        <v>629</v>
      </c>
      <c r="G207" s="49" t="s">
        <v>630</v>
      </c>
      <c r="H207" s="54">
        <v>2.0</v>
      </c>
      <c r="I207" s="54">
        <v>2.0</v>
      </c>
      <c r="J207" s="49">
        <f t="shared" ref="J207:K207" si="415">LEN(SUBSTITUTE(SUBSTITUTE(SUBSTITUTE(B207 ,"ˈ",""),"d̠ʒ","ʒ"),"t̠ʃ","ʃ"))</f>
        <v>4</v>
      </c>
      <c r="K207" s="44">
        <f t="shared" si="415"/>
        <v>6</v>
      </c>
      <c r="L207" s="51">
        <f t="shared" ref="L207:M207" si="416">LEN(D207)-LEN(B207)+1</f>
        <v>2</v>
      </c>
      <c r="M207" s="51">
        <f t="shared" si="416"/>
        <v>2</v>
      </c>
      <c r="N207" s="51">
        <f t="shared" si="5"/>
        <v>-2</v>
      </c>
      <c r="O207" s="51" t="str">
        <f t="shared" si="6"/>
        <v>Target</v>
      </c>
      <c r="P207" s="51">
        <f t="shared" si="7"/>
        <v>0</v>
      </c>
      <c r="Q207" s="51" t="str">
        <f t="shared" si="8"/>
        <v>Equal</v>
      </c>
    </row>
    <row r="208">
      <c r="A208" s="48" t="s">
        <v>14</v>
      </c>
      <c r="B208" s="49" t="s">
        <v>1580</v>
      </c>
      <c r="C208" s="49" t="s">
        <v>1581</v>
      </c>
      <c r="D208" s="49" t="s">
        <v>1582</v>
      </c>
      <c r="E208" s="49" t="s">
        <v>1583</v>
      </c>
      <c r="F208" s="49" t="s">
        <v>1331</v>
      </c>
      <c r="G208" s="49" t="s">
        <v>1181</v>
      </c>
      <c r="H208" s="54">
        <v>2.0</v>
      </c>
      <c r="I208" s="54">
        <v>2.0</v>
      </c>
      <c r="J208" s="49">
        <f t="shared" ref="J208:K208" si="417">LEN(SUBSTITUTE(SUBSTITUTE(SUBSTITUTE(B208 ,"ˈ",""),"d̠ʒ","ʒ"),"t̠ʃ","ʃ"))</f>
        <v>4</v>
      </c>
      <c r="K208" s="44">
        <f t="shared" si="417"/>
        <v>6</v>
      </c>
      <c r="L208" s="51">
        <f t="shared" ref="L208:M208" si="418">LEN(D208)-LEN(B208)+1</f>
        <v>2</v>
      </c>
      <c r="M208" s="51">
        <f t="shared" si="418"/>
        <v>2</v>
      </c>
      <c r="N208" s="51">
        <f t="shared" si="5"/>
        <v>-2</v>
      </c>
      <c r="O208" s="51" t="str">
        <f t="shared" si="6"/>
        <v>Target</v>
      </c>
      <c r="P208" s="51">
        <f t="shared" si="7"/>
        <v>0</v>
      </c>
      <c r="Q208" s="51" t="str">
        <f t="shared" si="8"/>
        <v>Equal</v>
      </c>
    </row>
    <row r="209">
      <c r="A209" s="48" t="s">
        <v>14</v>
      </c>
      <c r="B209" s="49" t="s">
        <v>1587</v>
      </c>
      <c r="C209" s="49" t="s">
        <v>1588</v>
      </c>
      <c r="D209" s="49" t="s">
        <v>1589</v>
      </c>
      <c r="E209" s="49" t="s">
        <v>1590</v>
      </c>
      <c r="F209" s="49" t="s">
        <v>1032</v>
      </c>
      <c r="G209" s="49" t="s">
        <v>1076</v>
      </c>
      <c r="H209" s="54">
        <v>2.0</v>
      </c>
      <c r="I209" s="54">
        <v>3.0</v>
      </c>
      <c r="J209" s="49">
        <f t="shared" ref="J209:K209" si="419">LEN(SUBSTITUTE(SUBSTITUTE(SUBSTITUTE(B209 ,"ˈ",""),"d̠ʒ","ʒ"),"t̠ʃ","ʃ"))</f>
        <v>4</v>
      </c>
      <c r="K209" s="44">
        <f t="shared" si="419"/>
        <v>9</v>
      </c>
      <c r="L209" s="51">
        <f t="shared" ref="L209:M209" si="420">LEN(D209)-LEN(B209)+1</f>
        <v>2</v>
      </c>
      <c r="M209" s="51">
        <f t="shared" si="420"/>
        <v>3</v>
      </c>
      <c r="N209" s="51">
        <f t="shared" si="5"/>
        <v>-5</v>
      </c>
      <c r="O209" s="51" t="str">
        <f t="shared" si="6"/>
        <v>Target</v>
      </c>
      <c r="P209" s="51">
        <f t="shared" si="7"/>
        <v>-1</v>
      </c>
      <c r="Q209" s="51" t="str">
        <f t="shared" si="8"/>
        <v>Target</v>
      </c>
    </row>
    <row r="210">
      <c r="A210" s="48" t="s">
        <v>14</v>
      </c>
      <c r="B210" s="49" t="s">
        <v>1594</v>
      </c>
      <c r="C210" s="49" t="s">
        <v>1595</v>
      </c>
      <c r="D210" s="49" t="s">
        <v>1596</v>
      </c>
      <c r="E210" s="49" t="s">
        <v>1597</v>
      </c>
      <c r="F210" s="49" t="s">
        <v>629</v>
      </c>
      <c r="G210" s="49" t="s">
        <v>630</v>
      </c>
      <c r="H210" s="54">
        <v>2.0</v>
      </c>
      <c r="I210" s="54">
        <v>2.0</v>
      </c>
      <c r="J210" s="49">
        <f t="shared" ref="J210:K210" si="421">LEN(SUBSTITUTE(SUBSTITUTE(SUBSTITUTE(B210 ,"ˈ",""),"d̠ʒ","ʒ"),"t̠ʃ","ʃ"))</f>
        <v>5</v>
      </c>
      <c r="K210" s="44">
        <f t="shared" si="421"/>
        <v>7</v>
      </c>
      <c r="L210" s="51">
        <f t="shared" ref="L210:M210" si="422">LEN(D210)-LEN(B210)+1</f>
        <v>2</v>
      </c>
      <c r="M210" s="51">
        <f t="shared" si="422"/>
        <v>2</v>
      </c>
      <c r="N210" s="51">
        <f t="shared" si="5"/>
        <v>-2</v>
      </c>
      <c r="O210" s="51" t="str">
        <f t="shared" si="6"/>
        <v>Target</v>
      </c>
      <c r="P210" s="51">
        <f t="shared" si="7"/>
        <v>0</v>
      </c>
      <c r="Q210" s="51" t="str">
        <f t="shared" si="8"/>
        <v>Equal</v>
      </c>
    </row>
    <row r="211">
      <c r="A211" s="48" t="s">
        <v>14</v>
      </c>
      <c r="B211" s="49" t="s">
        <v>1602</v>
      </c>
      <c r="C211" s="49" t="s">
        <v>1603</v>
      </c>
      <c r="D211" s="49" t="s">
        <v>1604</v>
      </c>
      <c r="E211" s="49" t="s">
        <v>1605</v>
      </c>
      <c r="F211" s="49" t="s">
        <v>1608</v>
      </c>
      <c r="G211" s="49" t="s">
        <v>1152</v>
      </c>
      <c r="H211" s="54">
        <v>2.0</v>
      </c>
      <c r="I211" s="54">
        <v>2.0</v>
      </c>
      <c r="J211" s="49">
        <f t="shared" ref="J211:K211" si="423">LEN(SUBSTITUTE(SUBSTITUTE(SUBSTITUTE(B211 ,"ˈ",""),"d̠ʒ","ʒ"),"t̠ʃ","ʃ"))</f>
        <v>4</v>
      </c>
      <c r="K211" s="44">
        <f t="shared" si="423"/>
        <v>5</v>
      </c>
      <c r="L211" s="51">
        <f t="shared" ref="L211:M211" si="424">LEN(D211)-LEN(B211)+1</f>
        <v>2</v>
      </c>
      <c r="M211" s="51">
        <f t="shared" si="424"/>
        <v>2</v>
      </c>
      <c r="N211" s="51">
        <f t="shared" si="5"/>
        <v>-1</v>
      </c>
      <c r="O211" s="51" t="str">
        <f t="shared" si="6"/>
        <v>Target</v>
      </c>
      <c r="P211" s="51">
        <f t="shared" si="7"/>
        <v>0</v>
      </c>
      <c r="Q211" s="51" t="str">
        <f t="shared" si="8"/>
        <v>Equal</v>
      </c>
    </row>
    <row r="212">
      <c r="A212" s="48" t="s">
        <v>14</v>
      </c>
      <c r="B212" s="49" t="s">
        <v>1609</v>
      </c>
      <c r="C212" s="49" t="s">
        <v>1610</v>
      </c>
      <c r="D212" s="49" t="s">
        <v>1611</v>
      </c>
      <c r="E212" s="49" t="s">
        <v>1612</v>
      </c>
      <c r="F212" s="49" t="s">
        <v>131</v>
      </c>
      <c r="G212" s="49" t="s">
        <v>132</v>
      </c>
      <c r="H212" s="54">
        <v>2.0</v>
      </c>
      <c r="I212" s="54">
        <v>3.0</v>
      </c>
      <c r="J212" s="49">
        <f t="shared" ref="J212:K212" si="425">LEN(SUBSTITUTE(SUBSTITUTE(SUBSTITUTE(B212 ,"ˈ",""),"d̠ʒ","ʒ"),"t̠ʃ","ʃ"))</f>
        <v>5</v>
      </c>
      <c r="K212" s="44">
        <f t="shared" si="425"/>
        <v>7</v>
      </c>
      <c r="L212" s="51">
        <f t="shared" ref="L212:M212" si="426">LEN(D212)-LEN(B212)+1</f>
        <v>2</v>
      </c>
      <c r="M212" s="51">
        <f t="shared" si="426"/>
        <v>3</v>
      </c>
      <c r="N212" s="51">
        <f t="shared" si="5"/>
        <v>-2</v>
      </c>
      <c r="O212" s="51" t="str">
        <f t="shared" si="6"/>
        <v>Target</v>
      </c>
      <c r="P212" s="51">
        <f t="shared" si="7"/>
        <v>-1</v>
      </c>
      <c r="Q212" s="51" t="str">
        <f t="shared" si="8"/>
        <v>Target</v>
      </c>
    </row>
    <row r="213">
      <c r="A213" s="48" t="s">
        <v>14</v>
      </c>
      <c r="B213" s="49" t="s">
        <v>1617</v>
      </c>
      <c r="C213" s="49" t="s">
        <v>1618</v>
      </c>
      <c r="D213" s="49" t="s">
        <v>1619</v>
      </c>
      <c r="E213" s="49" t="s">
        <v>1620</v>
      </c>
      <c r="F213" s="49" t="s">
        <v>451</v>
      </c>
      <c r="G213" s="49" t="s">
        <v>1211</v>
      </c>
      <c r="H213" s="54">
        <v>2.0</v>
      </c>
      <c r="I213" s="54">
        <v>2.0</v>
      </c>
      <c r="J213" s="49">
        <f t="shared" ref="J213:K213" si="427">LEN(SUBSTITUTE(SUBSTITUTE(SUBSTITUTE(B213 ,"ˈ",""),"d̠ʒ","ʒ"),"t̠ʃ","ʃ"))</f>
        <v>4</v>
      </c>
      <c r="K213" s="44">
        <f t="shared" si="427"/>
        <v>5</v>
      </c>
      <c r="L213" s="51">
        <f t="shared" ref="L213:M213" si="428">LEN(D213)-LEN(B213)+1</f>
        <v>2</v>
      </c>
      <c r="M213" s="51">
        <f t="shared" si="428"/>
        <v>2</v>
      </c>
      <c r="N213" s="51">
        <f t="shared" si="5"/>
        <v>-1</v>
      </c>
      <c r="O213" s="51" t="str">
        <f t="shared" si="6"/>
        <v>Target</v>
      </c>
      <c r="P213" s="51">
        <f t="shared" si="7"/>
        <v>0</v>
      </c>
      <c r="Q213" s="51" t="str">
        <f t="shared" si="8"/>
        <v>Equal</v>
      </c>
    </row>
    <row r="214">
      <c r="A214" s="48" t="s">
        <v>14</v>
      </c>
      <c r="B214" s="49" t="s">
        <v>1624</v>
      </c>
      <c r="C214" s="49" t="s">
        <v>1625</v>
      </c>
      <c r="D214" s="49" t="s">
        <v>1626</v>
      </c>
      <c r="E214" s="49" t="s">
        <v>1627</v>
      </c>
      <c r="F214" s="49" t="s">
        <v>1554</v>
      </c>
      <c r="G214" s="49" t="s">
        <v>1628</v>
      </c>
      <c r="H214" s="54">
        <v>1.0</v>
      </c>
      <c r="I214" s="54">
        <v>1.0</v>
      </c>
      <c r="J214" s="49">
        <f t="shared" ref="J214:K214" si="429">LEN(SUBSTITUTE(SUBSTITUTE(SUBSTITUTE(B214 ,"ˈ",""),"d̠ʒ","ʒ"),"t̠ʃ","ʃ"))</f>
        <v>4</v>
      </c>
      <c r="K214" s="44">
        <f t="shared" si="429"/>
        <v>5</v>
      </c>
      <c r="L214" s="51">
        <f t="shared" ref="L214:M214" si="430">LEN(D214)-LEN(B214)+1</f>
        <v>2</v>
      </c>
      <c r="M214" s="51">
        <f t="shared" si="430"/>
        <v>2</v>
      </c>
      <c r="N214" s="51">
        <f t="shared" si="5"/>
        <v>-1</v>
      </c>
      <c r="O214" s="51" t="str">
        <f t="shared" si="6"/>
        <v>Target</v>
      </c>
      <c r="P214" s="51">
        <f t="shared" si="7"/>
        <v>0</v>
      </c>
      <c r="Q214" s="51" t="str">
        <f t="shared" si="8"/>
        <v>Equal</v>
      </c>
    </row>
    <row r="215">
      <c r="A215" s="48" t="s">
        <v>14</v>
      </c>
      <c r="B215" s="49" t="s">
        <v>1633</v>
      </c>
      <c r="C215" s="49" t="s">
        <v>1634</v>
      </c>
      <c r="D215" s="49" t="s">
        <v>1635</v>
      </c>
      <c r="E215" s="49" t="s">
        <v>1636</v>
      </c>
      <c r="F215" s="49" t="s">
        <v>131</v>
      </c>
      <c r="G215" s="49" t="s">
        <v>132</v>
      </c>
      <c r="H215" s="54">
        <v>2.0</v>
      </c>
      <c r="I215" s="54">
        <v>2.0</v>
      </c>
      <c r="J215" s="49">
        <f t="shared" ref="J215:K215" si="431">LEN(SUBSTITUTE(SUBSTITUTE(SUBSTITUTE(B215 ,"ˈ",""),"d̠ʒ","ʒ"),"t̠ʃ","ʃ"))</f>
        <v>5</v>
      </c>
      <c r="K215" s="44">
        <f t="shared" si="431"/>
        <v>6</v>
      </c>
      <c r="L215" s="51">
        <f t="shared" ref="L215:M215" si="432">LEN(D215)-LEN(B215)+1</f>
        <v>2</v>
      </c>
      <c r="M215" s="51">
        <f t="shared" si="432"/>
        <v>2</v>
      </c>
      <c r="N215" s="51">
        <f t="shared" si="5"/>
        <v>-1</v>
      </c>
      <c r="O215" s="51" t="str">
        <f t="shared" si="6"/>
        <v>Target</v>
      </c>
      <c r="P215" s="51">
        <f t="shared" si="7"/>
        <v>0</v>
      </c>
      <c r="Q215" s="51" t="str">
        <f t="shared" si="8"/>
        <v>Equal</v>
      </c>
    </row>
    <row r="216">
      <c r="A216" s="48" t="s">
        <v>14</v>
      </c>
      <c r="B216" s="49" t="s">
        <v>1641</v>
      </c>
      <c r="C216" s="49" t="s">
        <v>1642</v>
      </c>
      <c r="D216" s="49" t="s">
        <v>1643</v>
      </c>
      <c r="E216" s="49" t="s">
        <v>1644</v>
      </c>
      <c r="F216" s="49" t="s">
        <v>451</v>
      </c>
      <c r="G216" s="49" t="s">
        <v>1211</v>
      </c>
      <c r="H216" s="54">
        <v>2.0</v>
      </c>
      <c r="I216" s="54">
        <v>3.0</v>
      </c>
      <c r="J216" s="49">
        <f t="shared" ref="J216:K216" si="433">LEN(SUBSTITUTE(SUBSTITUTE(SUBSTITUTE(B216 ,"ˈ",""),"d̠ʒ","ʒ"),"t̠ʃ","ʃ"))</f>
        <v>4</v>
      </c>
      <c r="K216" s="44">
        <f t="shared" si="433"/>
        <v>6</v>
      </c>
      <c r="L216" s="51">
        <f t="shared" ref="L216:M216" si="434">LEN(D216)-LEN(B216)+1</f>
        <v>2</v>
      </c>
      <c r="M216" s="51">
        <f t="shared" si="434"/>
        <v>3</v>
      </c>
      <c r="N216" s="51">
        <f t="shared" si="5"/>
        <v>-2</v>
      </c>
      <c r="O216" s="51" t="str">
        <f t="shared" si="6"/>
        <v>Target</v>
      </c>
      <c r="P216" s="51">
        <f t="shared" si="7"/>
        <v>-1</v>
      </c>
      <c r="Q216" s="51" t="str">
        <f t="shared" si="8"/>
        <v>Target</v>
      </c>
    </row>
    <row r="217">
      <c r="A217" s="48" t="s">
        <v>14</v>
      </c>
      <c r="B217" s="49" t="s">
        <v>1648</v>
      </c>
      <c r="C217" s="49" t="s">
        <v>1649</v>
      </c>
      <c r="D217" s="49" t="s">
        <v>1650</v>
      </c>
      <c r="E217" s="49" t="s">
        <v>1651</v>
      </c>
      <c r="F217" s="49" t="s">
        <v>1494</v>
      </c>
      <c r="G217" s="49" t="s">
        <v>1495</v>
      </c>
      <c r="H217" s="54">
        <v>2.0</v>
      </c>
      <c r="I217" s="54">
        <v>3.0</v>
      </c>
      <c r="J217" s="49">
        <f t="shared" ref="J217:K217" si="435">LEN(SUBSTITUTE(SUBSTITUTE(SUBSTITUTE(B217 ,"ˈ",""),"d̠ʒ","ʒ"),"t̠ʃ","ʃ"))</f>
        <v>5</v>
      </c>
      <c r="K217" s="44">
        <f t="shared" si="435"/>
        <v>8</v>
      </c>
      <c r="L217" s="51">
        <f t="shared" ref="L217:M217" si="436">LEN(D217)-LEN(B217)+1</f>
        <v>2</v>
      </c>
      <c r="M217" s="51">
        <f t="shared" si="436"/>
        <v>3</v>
      </c>
      <c r="N217" s="51">
        <f t="shared" si="5"/>
        <v>-3</v>
      </c>
      <c r="O217" s="51" t="str">
        <f t="shared" si="6"/>
        <v>Target</v>
      </c>
      <c r="P217" s="51">
        <f t="shared" si="7"/>
        <v>-1</v>
      </c>
      <c r="Q217" s="51" t="str">
        <f t="shared" si="8"/>
        <v>Target</v>
      </c>
    </row>
    <row r="218">
      <c r="A218" s="48" t="s">
        <v>14</v>
      </c>
      <c r="B218" s="49" t="s">
        <v>1655</v>
      </c>
      <c r="C218" s="49" t="s">
        <v>1656</v>
      </c>
      <c r="D218" s="49" t="s">
        <v>1655</v>
      </c>
      <c r="E218" s="49" t="s">
        <v>1657</v>
      </c>
      <c r="F218" s="49" t="s">
        <v>1655</v>
      </c>
      <c r="G218" s="49" t="s">
        <v>437</v>
      </c>
      <c r="H218" s="54">
        <v>1.0</v>
      </c>
      <c r="I218" s="54">
        <v>1.0</v>
      </c>
      <c r="J218" s="49">
        <f t="shared" ref="J218:K218" si="437">LEN(SUBSTITUTE(SUBSTITUTE(SUBSTITUTE(B218 ,"ˈ",""),"d̠ʒ","ʒ"),"t̠ʃ","ʃ"))</f>
        <v>3</v>
      </c>
      <c r="K218" s="44">
        <f t="shared" si="437"/>
        <v>5</v>
      </c>
      <c r="L218" s="51">
        <f t="shared" ref="L218:M218" si="438">LEN(D218)-LEN(B218)+1</f>
        <v>1</v>
      </c>
      <c r="M218" s="51">
        <f t="shared" si="438"/>
        <v>2</v>
      </c>
      <c r="N218" s="51">
        <f t="shared" si="5"/>
        <v>-2</v>
      </c>
      <c r="O218" s="51" t="str">
        <f t="shared" si="6"/>
        <v>Target</v>
      </c>
      <c r="P218" s="51">
        <f t="shared" si="7"/>
        <v>-1</v>
      </c>
      <c r="Q218" s="51" t="str">
        <f t="shared" si="8"/>
        <v>Target</v>
      </c>
    </row>
    <row r="219">
      <c r="A219" s="48" t="s">
        <v>14</v>
      </c>
      <c r="B219" s="49" t="s">
        <v>1660</v>
      </c>
      <c r="C219" s="49" t="s">
        <v>3674</v>
      </c>
      <c r="D219" s="49" t="s">
        <v>1662</v>
      </c>
      <c r="E219" s="49" t="s">
        <v>3675</v>
      </c>
      <c r="F219" s="49" t="s">
        <v>1387</v>
      </c>
      <c r="G219" s="49" t="s">
        <v>1076</v>
      </c>
      <c r="H219" s="54">
        <v>3.0</v>
      </c>
      <c r="I219" s="54">
        <v>3.0</v>
      </c>
      <c r="J219" s="49">
        <f t="shared" ref="J219:K219" si="439">LEN(SUBSTITUTE(SUBSTITUTE(SUBSTITUTE(B219 ,"ˈ",""),"d̠ʒ","ʒ"),"t̠ʃ","ʃ"))</f>
        <v>6</v>
      </c>
      <c r="K219" s="44">
        <f t="shared" si="439"/>
        <v>6</v>
      </c>
      <c r="L219" s="51">
        <f t="shared" ref="L219:M219" si="440">LEN(D219)-LEN(B219)+1</f>
        <v>3</v>
      </c>
      <c r="M219" s="51">
        <f t="shared" si="440"/>
        <v>3</v>
      </c>
      <c r="N219" s="51">
        <f t="shared" si="5"/>
        <v>0</v>
      </c>
      <c r="O219" s="51" t="str">
        <f t="shared" si="6"/>
        <v>Equal</v>
      </c>
      <c r="P219" s="51">
        <f t="shared" si="7"/>
        <v>0</v>
      </c>
      <c r="Q219" s="51" t="str">
        <f t="shared" si="8"/>
        <v>Equal</v>
      </c>
    </row>
    <row r="220">
      <c r="A220" s="48" t="s">
        <v>14</v>
      </c>
      <c r="B220" s="49" t="s">
        <v>1665</v>
      </c>
      <c r="C220" s="49" t="s">
        <v>1666</v>
      </c>
      <c r="D220" s="49" t="s">
        <v>1667</v>
      </c>
      <c r="E220" s="49" t="s">
        <v>1668</v>
      </c>
      <c r="F220" s="49" t="s">
        <v>244</v>
      </c>
      <c r="G220" s="49" t="s">
        <v>242</v>
      </c>
      <c r="H220" s="54">
        <v>1.0</v>
      </c>
      <c r="I220" s="54">
        <v>1.0</v>
      </c>
      <c r="J220" s="49">
        <f t="shared" ref="J220:K220" si="441">LEN(SUBSTITUTE(SUBSTITUTE(SUBSTITUTE(B220 ,"ˈ",""),"d̠ʒ","ʒ"),"t̠ʃ","ʃ"))</f>
        <v>4</v>
      </c>
      <c r="K220" s="44">
        <f t="shared" si="441"/>
        <v>6</v>
      </c>
      <c r="L220" s="51">
        <f t="shared" ref="L220:M220" si="442">LEN(D220)-LEN(B220)+1</f>
        <v>2</v>
      </c>
      <c r="M220" s="51">
        <f t="shared" si="442"/>
        <v>2</v>
      </c>
      <c r="N220" s="51">
        <f t="shared" si="5"/>
        <v>-2</v>
      </c>
      <c r="O220" s="51" t="str">
        <f t="shared" si="6"/>
        <v>Target</v>
      </c>
      <c r="P220" s="51">
        <f t="shared" si="7"/>
        <v>0</v>
      </c>
      <c r="Q220" s="51" t="str">
        <f t="shared" si="8"/>
        <v>Equal</v>
      </c>
    </row>
    <row r="221">
      <c r="A221" s="48" t="s">
        <v>14</v>
      </c>
      <c r="B221" s="49" t="s">
        <v>1670</v>
      </c>
      <c r="C221" s="49" t="s">
        <v>1671</v>
      </c>
      <c r="D221" s="49" t="s">
        <v>1672</v>
      </c>
      <c r="E221" s="49" t="s">
        <v>1673</v>
      </c>
      <c r="F221" s="49" t="s">
        <v>1075</v>
      </c>
      <c r="G221" s="49" t="s">
        <v>1076</v>
      </c>
      <c r="H221" s="54">
        <v>2.0</v>
      </c>
      <c r="I221" s="54">
        <v>2.0</v>
      </c>
      <c r="J221" s="49">
        <f t="shared" ref="J221:K221" si="443">LEN(SUBSTITUTE(SUBSTITUTE(SUBSTITUTE(B221 ,"ˈ",""),"d̠ʒ","ʒ"),"t̠ʃ","ʃ"))</f>
        <v>4</v>
      </c>
      <c r="K221" s="44">
        <f t="shared" si="443"/>
        <v>6</v>
      </c>
      <c r="L221" s="51">
        <f t="shared" ref="L221:M221" si="444">LEN(D221)-LEN(B221)+1</f>
        <v>2</v>
      </c>
      <c r="M221" s="51">
        <f t="shared" si="444"/>
        <v>2</v>
      </c>
      <c r="N221" s="51">
        <f t="shared" si="5"/>
        <v>-2</v>
      </c>
      <c r="O221" s="51" t="str">
        <f t="shared" si="6"/>
        <v>Target</v>
      </c>
      <c r="P221" s="51">
        <f t="shared" si="7"/>
        <v>0</v>
      </c>
      <c r="Q221" s="51" t="str">
        <f t="shared" si="8"/>
        <v>Equal</v>
      </c>
    </row>
    <row r="222">
      <c r="A222" s="48" t="s">
        <v>14</v>
      </c>
      <c r="B222" s="49" t="s">
        <v>1676</v>
      </c>
      <c r="C222" s="49" t="s">
        <v>1677</v>
      </c>
      <c r="D222" s="49" t="s">
        <v>1678</v>
      </c>
      <c r="E222" s="49" t="s">
        <v>1679</v>
      </c>
      <c r="F222" s="49" t="s">
        <v>244</v>
      </c>
      <c r="G222" s="49" t="s">
        <v>242</v>
      </c>
      <c r="H222" s="54">
        <v>1.0</v>
      </c>
      <c r="I222" s="54">
        <v>1.0</v>
      </c>
      <c r="J222" s="49">
        <f t="shared" ref="J222:K222" si="445">LEN(SUBSTITUTE(SUBSTITUTE(SUBSTITUTE(B222 ,"ˈ",""),"d̠ʒ","ʒ"),"t̠ʃ","ʃ"))</f>
        <v>4</v>
      </c>
      <c r="K222" s="44">
        <f t="shared" si="445"/>
        <v>6</v>
      </c>
      <c r="L222" s="51">
        <f t="shared" ref="L222:M222" si="446">LEN(D222)-LEN(B222)+1</f>
        <v>2</v>
      </c>
      <c r="M222" s="51">
        <f t="shared" si="446"/>
        <v>2</v>
      </c>
      <c r="N222" s="51">
        <f t="shared" si="5"/>
        <v>-2</v>
      </c>
      <c r="O222" s="51" t="str">
        <f t="shared" si="6"/>
        <v>Target</v>
      </c>
      <c r="P222" s="51">
        <f t="shared" si="7"/>
        <v>0</v>
      </c>
      <c r="Q222" s="51" t="str">
        <f t="shared" si="8"/>
        <v>Equal</v>
      </c>
    </row>
    <row r="223">
      <c r="A223" s="48" t="s">
        <v>14</v>
      </c>
      <c r="B223" s="49" t="s">
        <v>1682</v>
      </c>
      <c r="C223" s="49" t="s">
        <v>1683</v>
      </c>
      <c r="D223" s="49" t="s">
        <v>1684</v>
      </c>
      <c r="E223" s="49" t="s">
        <v>1685</v>
      </c>
      <c r="F223" s="49" t="s">
        <v>451</v>
      </c>
      <c r="G223" s="49" t="s">
        <v>1211</v>
      </c>
      <c r="H223" s="54">
        <v>2.0</v>
      </c>
      <c r="I223" s="54">
        <v>2.0</v>
      </c>
      <c r="J223" s="49">
        <f t="shared" ref="J223:K223" si="447">LEN(SUBSTITUTE(SUBSTITUTE(SUBSTITUTE(B223 ,"ˈ",""),"d̠ʒ","ʒ"),"t̠ʃ","ʃ"))</f>
        <v>4</v>
      </c>
      <c r="K223" s="44">
        <f t="shared" si="447"/>
        <v>5</v>
      </c>
      <c r="L223" s="51">
        <f t="shared" ref="L223:M223" si="448">LEN(D223)-LEN(B223)+1</f>
        <v>2</v>
      </c>
      <c r="M223" s="51">
        <f t="shared" si="448"/>
        <v>2</v>
      </c>
      <c r="N223" s="51">
        <f t="shared" si="5"/>
        <v>-1</v>
      </c>
      <c r="O223" s="51" t="str">
        <f t="shared" si="6"/>
        <v>Target</v>
      </c>
      <c r="P223" s="51">
        <f t="shared" si="7"/>
        <v>0</v>
      </c>
      <c r="Q223" s="51" t="str">
        <f t="shared" si="8"/>
        <v>Equal</v>
      </c>
    </row>
    <row r="224">
      <c r="A224" s="48" t="s">
        <v>14</v>
      </c>
      <c r="B224" s="49" t="s">
        <v>1689</v>
      </c>
      <c r="C224" s="49" t="s">
        <v>1690</v>
      </c>
      <c r="D224" s="49" t="s">
        <v>1691</v>
      </c>
      <c r="E224" s="49" t="s">
        <v>1692</v>
      </c>
      <c r="F224" s="49" t="s">
        <v>1693</v>
      </c>
      <c r="G224" s="49" t="s">
        <v>987</v>
      </c>
      <c r="H224" s="54">
        <v>1.0</v>
      </c>
      <c r="I224" s="54">
        <v>1.0</v>
      </c>
      <c r="J224" s="49">
        <f t="shared" ref="J224:K224" si="449">LEN(SUBSTITUTE(SUBSTITUTE(SUBSTITUTE(B224 ,"ˈ",""),"d̠ʒ","ʒ"),"t̠ʃ","ʃ"))</f>
        <v>5</v>
      </c>
      <c r="K224" s="44">
        <f t="shared" si="449"/>
        <v>7</v>
      </c>
      <c r="L224" s="51">
        <f t="shared" ref="L224:M224" si="450">LEN(D224)-LEN(B224)+1</f>
        <v>2</v>
      </c>
      <c r="M224" s="51">
        <f t="shared" si="450"/>
        <v>3</v>
      </c>
      <c r="N224" s="51">
        <f t="shared" si="5"/>
        <v>-2</v>
      </c>
      <c r="O224" s="51" t="str">
        <f t="shared" si="6"/>
        <v>Target</v>
      </c>
      <c r="P224" s="51">
        <f t="shared" si="7"/>
        <v>-1</v>
      </c>
      <c r="Q224" s="51" t="str">
        <f t="shared" si="8"/>
        <v>Target</v>
      </c>
    </row>
    <row r="225">
      <c r="A225" s="48" t="s">
        <v>14</v>
      </c>
      <c r="B225" s="49" t="s">
        <v>1697</v>
      </c>
      <c r="C225" s="49" t="s">
        <v>1698</v>
      </c>
      <c r="D225" s="49" t="s">
        <v>1699</v>
      </c>
      <c r="E225" s="49" t="s">
        <v>1700</v>
      </c>
      <c r="F225" s="49" t="s">
        <v>1331</v>
      </c>
      <c r="G225" s="49" t="s">
        <v>1181</v>
      </c>
      <c r="H225" s="54">
        <v>2.0</v>
      </c>
      <c r="I225" s="54">
        <v>3.0</v>
      </c>
      <c r="J225" s="49">
        <f t="shared" ref="J225:K225" si="451">LEN(SUBSTITUTE(SUBSTITUTE(SUBSTITUTE(B225 ,"ˈ",""),"d̠ʒ","ʒ"),"t̠ʃ","ʃ"))</f>
        <v>5</v>
      </c>
      <c r="K225" s="44">
        <f t="shared" si="451"/>
        <v>7</v>
      </c>
      <c r="L225" s="51">
        <f t="shared" ref="L225:M225" si="452">LEN(D225)-LEN(B225)+1</f>
        <v>2</v>
      </c>
      <c r="M225" s="51">
        <f t="shared" si="452"/>
        <v>3</v>
      </c>
      <c r="N225" s="51">
        <f t="shared" si="5"/>
        <v>-2</v>
      </c>
      <c r="O225" s="51" t="str">
        <f t="shared" si="6"/>
        <v>Target</v>
      </c>
      <c r="P225" s="51">
        <f t="shared" si="7"/>
        <v>-1</v>
      </c>
      <c r="Q225" s="51" t="str">
        <f t="shared" si="8"/>
        <v>Target</v>
      </c>
    </row>
    <row r="226">
      <c r="A226" s="48" t="s">
        <v>14</v>
      </c>
      <c r="B226" s="49" t="s">
        <v>1704</v>
      </c>
      <c r="C226" s="49" t="s">
        <v>1705</v>
      </c>
      <c r="D226" s="49" t="s">
        <v>1706</v>
      </c>
      <c r="E226" s="49" t="s">
        <v>1707</v>
      </c>
      <c r="F226" s="49" t="s">
        <v>401</v>
      </c>
      <c r="G226" s="49" t="s">
        <v>1708</v>
      </c>
      <c r="H226" s="54">
        <v>1.0</v>
      </c>
      <c r="I226" s="54">
        <v>1.0</v>
      </c>
      <c r="J226" s="49">
        <f t="shared" ref="J226:K226" si="453">LEN(SUBSTITUTE(SUBSTITUTE(SUBSTITUTE(B226 ,"ˈ",""),"d̠ʒ","ʒ"),"t̠ʃ","ʃ"))</f>
        <v>4</v>
      </c>
      <c r="K226" s="44">
        <f t="shared" si="453"/>
        <v>6</v>
      </c>
      <c r="L226" s="51">
        <f t="shared" ref="L226:M226" si="454">LEN(D226)-LEN(B226)+1</f>
        <v>2</v>
      </c>
      <c r="M226" s="51">
        <f t="shared" si="454"/>
        <v>2</v>
      </c>
      <c r="N226" s="51">
        <f t="shared" si="5"/>
        <v>-2</v>
      </c>
      <c r="O226" s="51" t="str">
        <f t="shared" si="6"/>
        <v>Target</v>
      </c>
      <c r="P226" s="51">
        <f t="shared" si="7"/>
        <v>0</v>
      </c>
      <c r="Q226" s="51" t="str">
        <f t="shared" si="8"/>
        <v>Equal</v>
      </c>
    </row>
    <row r="227">
      <c r="A227" s="48" t="s">
        <v>14</v>
      </c>
      <c r="B227" s="49" t="s">
        <v>1711</v>
      </c>
      <c r="C227" s="49" t="s">
        <v>1712</v>
      </c>
      <c r="D227" s="49" t="s">
        <v>1713</v>
      </c>
      <c r="E227" s="49" t="s">
        <v>1714</v>
      </c>
      <c r="F227" s="49" t="s">
        <v>629</v>
      </c>
      <c r="G227" s="49" t="s">
        <v>1717</v>
      </c>
      <c r="H227" s="54">
        <v>2.0</v>
      </c>
      <c r="I227" s="54">
        <v>2.0</v>
      </c>
      <c r="J227" s="49">
        <f t="shared" ref="J227:K227" si="455">LEN(SUBSTITUTE(SUBSTITUTE(SUBSTITUTE(B227 ,"ˈ",""),"d̠ʒ","ʒ"),"t̠ʃ","ʃ"))</f>
        <v>4</v>
      </c>
      <c r="K227" s="44">
        <f t="shared" si="455"/>
        <v>5</v>
      </c>
      <c r="L227" s="51">
        <f t="shared" ref="L227:M227" si="456">LEN(D227)-LEN(B227)+1</f>
        <v>2</v>
      </c>
      <c r="M227" s="51">
        <f t="shared" si="456"/>
        <v>2</v>
      </c>
      <c r="N227" s="51">
        <f t="shared" si="5"/>
        <v>-1</v>
      </c>
      <c r="O227" s="51" t="str">
        <f t="shared" si="6"/>
        <v>Target</v>
      </c>
      <c r="P227" s="51">
        <f t="shared" si="7"/>
        <v>0</v>
      </c>
      <c r="Q227" s="51" t="str">
        <f t="shared" si="8"/>
        <v>Equal</v>
      </c>
    </row>
    <row r="228">
      <c r="A228" s="48" t="s">
        <v>14</v>
      </c>
      <c r="B228" s="49" t="s">
        <v>1718</v>
      </c>
      <c r="C228" s="49" t="s">
        <v>1719</v>
      </c>
      <c r="D228" s="49" t="s">
        <v>1720</v>
      </c>
      <c r="E228" s="49" t="s">
        <v>1721</v>
      </c>
      <c r="F228" s="49" t="s">
        <v>848</v>
      </c>
      <c r="G228" s="49" t="s">
        <v>301</v>
      </c>
      <c r="H228" s="54">
        <v>1.0</v>
      </c>
      <c r="I228" s="54">
        <v>1.0</v>
      </c>
      <c r="J228" s="49">
        <f t="shared" ref="J228:K228" si="457">LEN(SUBSTITUTE(SUBSTITUTE(SUBSTITUTE(B228 ,"ˈ",""),"d̠ʒ","ʒ"),"t̠ʃ","ʃ"))</f>
        <v>6</v>
      </c>
      <c r="K228" s="44">
        <f t="shared" si="457"/>
        <v>6</v>
      </c>
      <c r="L228" s="51">
        <f t="shared" ref="L228:M228" si="458">LEN(D228)-LEN(B228)+1</f>
        <v>3</v>
      </c>
      <c r="M228" s="51">
        <f t="shared" si="458"/>
        <v>3</v>
      </c>
      <c r="N228" s="51">
        <f t="shared" si="5"/>
        <v>0</v>
      </c>
      <c r="O228" s="51" t="str">
        <f t="shared" si="6"/>
        <v>Equal</v>
      </c>
      <c r="P228" s="51">
        <f t="shared" si="7"/>
        <v>0</v>
      </c>
      <c r="Q228" s="51" t="str">
        <f t="shared" si="8"/>
        <v>Equal</v>
      </c>
    </row>
    <row r="229">
      <c r="A229" s="48" t="s">
        <v>14</v>
      </c>
      <c r="B229" s="49" t="s">
        <v>1724</v>
      </c>
      <c r="C229" s="49" t="s">
        <v>1725</v>
      </c>
      <c r="D229" s="49" t="s">
        <v>1726</v>
      </c>
      <c r="E229" s="49" t="s">
        <v>1727</v>
      </c>
      <c r="F229" s="49" t="s">
        <v>797</v>
      </c>
      <c r="G229" s="49" t="s">
        <v>798</v>
      </c>
      <c r="H229" s="54">
        <v>3.0</v>
      </c>
      <c r="I229" s="54">
        <v>3.0</v>
      </c>
      <c r="J229" s="49">
        <f t="shared" ref="J229:K229" si="459">LEN(SUBSTITUTE(SUBSTITUTE(SUBSTITUTE(B229 ,"ˈ",""),"d̠ʒ","ʒ"),"t̠ʃ","ʃ"))</f>
        <v>6</v>
      </c>
      <c r="K229" s="44">
        <f t="shared" si="459"/>
        <v>7</v>
      </c>
      <c r="L229" s="51">
        <f t="shared" ref="L229:M229" si="460">LEN(D229)-LEN(B229)+1</f>
        <v>3</v>
      </c>
      <c r="M229" s="51">
        <f t="shared" si="460"/>
        <v>3</v>
      </c>
      <c r="N229" s="51">
        <f t="shared" si="5"/>
        <v>-1</v>
      </c>
      <c r="O229" s="51" t="str">
        <f t="shared" si="6"/>
        <v>Target</v>
      </c>
      <c r="P229" s="51">
        <f t="shared" si="7"/>
        <v>0</v>
      </c>
      <c r="Q229" s="51" t="str">
        <f t="shared" si="8"/>
        <v>Equal</v>
      </c>
    </row>
    <row r="230">
      <c r="A230" s="48" t="s">
        <v>14</v>
      </c>
      <c r="B230" s="49" t="s">
        <v>1731</v>
      </c>
      <c r="C230" s="49" t="s">
        <v>1732</v>
      </c>
      <c r="D230" s="49" t="s">
        <v>1733</v>
      </c>
      <c r="E230" s="49" t="s">
        <v>1734</v>
      </c>
      <c r="F230" s="49" t="s">
        <v>848</v>
      </c>
      <c r="G230" s="49" t="s">
        <v>987</v>
      </c>
      <c r="H230" s="54">
        <v>1.0</v>
      </c>
      <c r="I230" s="54">
        <v>1.0</v>
      </c>
      <c r="J230" s="49">
        <f t="shared" ref="J230:K230" si="461">LEN(SUBSTITUTE(SUBSTITUTE(SUBSTITUTE(B230 ,"ˈ",""),"d̠ʒ","ʒ"),"t̠ʃ","ʃ"))</f>
        <v>5</v>
      </c>
      <c r="K230" s="44">
        <f t="shared" si="461"/>
        <v>6</v>
      </c>
      <c r="L230" s="51">
        <f t="shared" ref="L230:M230" si="462">LEN(D230)-LEN(B230)+1</f>
        <v>2</v>
      </c>
      <c r="M230" s="51">
        <f t="shared" si="462"/>
        <v>3</v>
      </c>
      <c r="N230" s="51">
        <f t="shared" si="5"/>
        <v>-1</v>
      </c>
      <c r="O230" s="51" t="str">
        <f t="shared" si="6"/>
        <v>Target</v>
      </c>
      <c r="P230" s="51">
        <f t="shared" si="7"/>
        <v>-1</v>
      </c>
      <c r="Q230" s="51" t="str">
        <f t="shared" si="8"/>
        <v>Target</v>
      </c>
    </row>
    <row r="231">
      <c r="A231" s="48" t="s">
        <v>14</v>
      </c>
      <c r="B231" s="49" t="s">
        <v>353</v>
      </c>
      <c r="C231" s="49" t="s">
        <v>1738</v>
      </c>
      <c r="D231" s="49" t="s">
        <v>353</v>
      </c>
      <c r="E231" s="49" t="s">
        <v>1739</v>
      </c>
      <c r="F231" s="49" t="s">
        <v>36</v>
      </c>
      <c r="G231" s="49" t="s">
        <v>1235</v>
      </c>
      <c r="H231" s="54" t="s">
        <v>36</v>
      </c>
      <c r="I231" s="54">
        <v>2.0</v>
      </c>
      <c r="J231" s="49">
        <f t="shared" ref="J231:K231" si="463">LEN(SUBSTITUTE(SUBSTITUTE(SUBSTITUTE(B231 ,"ˈ",""),"d̠ʒ","ʒ"),"t̠ʃ","ʃ"))</f>
        <v>2</v>
      </c>
      <c r="K231" s="44">
        <f t="shared" si="463"/>
        <v>5</v>
      </c>
      <c r="L231" s="51">
        <f t="shared" ref="L231:M231" si="464">LEN(D231)-LEN(B231)+1</f>
        <v>1</v>
      </c>
      <c r="M231" s="51">
        <f t="shared" si="464"/>
        <v>2</v>
      </c>
      <c r="N231" s="51">
        <f t="shared" si="5"/>
        <v>-3</v>
      </c>
      <c r="O231" s="51" t="str">
        <f t="shared" si="6"/>
        <v>Target</v>
      </c>
      <c r="P231" s="51">
        <f t="shared" si="7"/>
        <v>-1</v>
      </c>
      <c r="Q231" s="51" t="str">
        <f t="shared" si="8"/>
        <v>Target</v>
      </c>
    </row>
    <row r="232">
      <c r="A232" s="48" t="s">
        <v>14</v>
      </c>
      <c r="B232" s="49" t="s">
        <v>1742</v>
      </c>
      <c r="C232" s="49" t="s">
        <v>1743</v>
      </c>
      <c r="D232" s="49" t="s">
        <v>1744</v>
      </c>
      <c r="E232" s="49" t="s">
        <v>1745</v>
      </c>
      <c r="F232" s="49" t="s">
        <v>1748</v>
      </c>
      <c r="G232" s="49" t="s">
        <v>49</v>
      </c>
      <c r="H232" s="54">
        <v>1.0</v>
      </c>
      <c r="I232" s="54">
        <v>1.0</v>
      </c>
      <c r="J232" s="49">
        <f t="shared" ref="J232:K232" si="465">LEN(SUBSTITUTE(SUBSTITUTE(SUBSTITUTE(B232 ,"ˈ",""),"d̠ʒ","ʒ"),"t̠ʃ","ʃ"))</f>
        <v>6</v>
      </c>
      <c r="K232" s="44">
        <f t="shared" si="465"/>
        <v>8</v>
      </c>
      <c r="L232" s="51">
        <f t="shared" ref="L232:M232" si="466">LEN(D232)-LEN(B232)+1</f>
        <v>2</v>
      </c>
      <c r="M232" s="51">
        <f t="shared" si="466"/>
        <v>3</v>
      </c>
      <c r="N232" s="51">
        <f t="shared" si="5"/>
        <v>-2</v>
      </c>
      <c r="O232" s="51" t="str">
        <f t="shared" si="6"/>
        <v>Target</v>
      </c>
      <c r="P232" s="51">
        <f t="shared" si="7"/>
        <v>-1</v>
      </c>
      <c r="Q232" s="51" t="str">
        <f t="shared" si="8"/>
        <v>Target</v>
      </c>
    </row>
    <row r="233">
      <c r="A233" s="48" t="s">
        <v>14</v>
      </c>
      <c r="B233" s="49" t="s">
        <v>1750</v>
      </c>
      <c r="C233" s="49" t="s">
        <v>1751</v>
      </c>
      <c r="D233" s="49" t="s">
        <v>1752</v>
      </c>
      <c r="E233" s="49" t="s">
        <v>1753</v>
      </c>
      <c r="F233" s="49" t="s">
        <v>1396</v>
      </c>
      <c r="G233" s="49" t="s">
        <v>1757</v>
      </c>
      <c r="H233" s="54">
        <v>2.0</v>
      </c>
      <c r="I233" s="54">
        <v>2.0</v>
      </c>
      <c r="J233" s="49">
        <f t="shared" ref="J233:K233" si="467">LEN(SUBSTITUTE(SUBSTITUTE(SUBSTITUTE(B233 ,"ˈ",""),"d̠ʒ","ʒ"),"t̠ʃ","ʃ"))</f>
        <v>4</v>
      </c>
      <c r="K233" s="44">
        <f t="shared" si="467"/>
        <v>6</v>
      </c>
      <c r="L233" s="51">
        <f t="shared" ref="L233:M233" si="468">LEN(D233)-LEN(B233)+1</f>
        <v>2</v>
      </c>
      <c r="M233" s="51">
        <f t="shared" si="468"/>
        <v>2</v>
      </c>
      <c r="N233" s="51">
        <f t="shared" si="5"/>
        <v>-2</v>
      </c>
      <c r="O233" s="51" t="str">
        <f t="shared" si="6"/>
        <v>Target</v>
      </c>
      <c r="P233" s="51">
        <f t="shared" si="7"/>
        <v>0</v>
      </c>
      <c r="Q233" s="51" t="str">
        <f t="shared" si="8"/>
        <v>Equal</v>
      </c>
    </row>
    <row r="234">
      <c r="A234" s="48" t="s">
        <v>14</v>
      </c>
      <c r="B234" s="49" t="s">
        <v>1758</v>
      </c>
      <c r="C234" s="49" t="s">
        <v>1759</v>
      </c>
      <c r="D234" s="49" t="s">
        <v>1760</v>
      </c>
      <c r="E234" s="49" t="s">
        <v>1761</v>
      </c>
      <c r="F234" s="49" t="s">
        <v>362</v>
      </c>
      <c r="G234" s="49" t="s">
        <v>362</v>
      </c>
      <c r="H234" s="54">
        <v>1.0</v>
      </c>
      <c r="I234" s="54">
        <v>1.0</v>
      </c>
      <c r="J234" s="49">
        <f t="shared" ref="J234:K234" si="469">LEN(SUBSTITUTE(SUBSTITUTE(SUBSTITUTE(B234 ,"ˈ",""),"d̠ʒ","ʒ"),"t̠ʃ","ʃ"))</f>
        <v>4</v>
      </c>
      <c r="K234" s="44">
        <f t="shared" si="469"/>
        <v>5</v>
      </c>
      <c r="L234" s="51">
        <f t="shared" ref="L234:M234" si="470">LEN(D234)-LEN(B234)+1</f>
        <v>2</v>
      </c>
      <c r="M234" s="51">
        <f t="shared" si="470"/>
        <v>2</v>
      </c>
      <c r="N234" s="51">
        <f t="shared" si="5"/>
        <v>-1</v>
      </c>
      <c r="O234" s="51" t="str">
        <f t="shared" si="6"/>
        <v>Target</v>
      </c>
      <c r="P234" s="51">
        <f t="shared" si="7"/>
        <v>0</v>
      </c>
      <c r="Q234" s="51" t="str">
        <f t="shared" si="8"/>
        <v>Equal</v>
      </c>
    </row>
    <row r="235">
      <c r="A235" s="48" t="s">
        <v>14</v>
      </c>
      <c r="B235" s="49" t="s">
        <v>1765</v>
      </c>
      <c r="C235" s="49" t="s">
        <v>1766</v>
      </c>
      <c r="D235" s="49" t="s">
        <v>1767</v>
      </c>
      <c r="E235" s="49" t="s">
        <v>1768</v>
      </c>
      <c r="F235" s="49" t="s">
        <v>629</v>
      </c>
      <c r="G235" s="49" t="s">
        <v>630</v>
      </c>
      <c r="H235" s="54">
        <v>2.0</v>
      </c>
      <c r="I235" s="54">
        <v>3.0</v>
      </c>
      <c r="J235" s="49">
        <f t="shared" ref="J235:K235" si="471">LEN(SUBSTITUTE(SUBSTITUTE(SUBSTITUTE(B235 ,"ˈ",""),"d̠ʒ","ʒ"),"t̠ʃ","ʃ"))</f>
        <v>4</v>
      </c>
      <c r="K235" s="44">
        <f t="shared" si="471"/>
        <v>7</v>
      </c>
      <c r="L235" s="51">
        <f t="shared" ref="L235:M235" si="472">LEN(D235)-LEN(B235)+1</f>
        <v>2</v>
      </c>
      <c r="M235" s="51">
        <f t="shared" si="472"/>
        <v>3</v>
      </c>
      <c r="N235" s="51">
        <f t="shared" si="5"/>
        <v>-3</v>
      </c>
      <c r="O235" s="51" t="str">
        <f t="shared" si="6"/>
        <v>Target</v>
      </c>
      <c r="P235" s="51">
        <f t="shared" si="7"/>
        <v>-1</v>
      </c>
      <c r="Q235" s="51" t="str">
        <f t="shared" si="8"/>
        <v>Target</v>
      </c>
    </row>
    <row r="236">
      <c r="A236" s="48" t="s">
        <v>14</v>
      </c>
      <c r="B236" s="49" t="s">
        <v>1771</v>
      </c>
      <c r="C236" s="49" t="s">
        <v>1772</v>
      </c>
      <c r="D236" s="49" t="s">
        <v>1773</v>
      </c>
      <c r="E236" s="49" t="s">
        <v>1774</v>
      </c>
      <c r="F236" s="49" t="s">
        <v>362</v>
      </c>
      <c r="G236" s="49" t="s">
        <v>566</v>
      </c>
      <c r="H236" s="54">
        <v>1.0</v>
      </c>
      <c r="I236" s="54">
        <v>1.0</v>
      </c>
      <c r="J236" s="49">
        <f t="shared" ref="J236:K236" si="473">LEN(SUBSTITUTE(SUBSTITUTE(SUBSTITUTE(B236 ,"ˈ",""),"d̠ʒ","ʒ"),"t̠ʃ","ʃ"))</f>
        <v>4</v>
      </c>
      <c r="K236" s="44">
        <f t="shared" si="473"/>
        <v>5</v>
      </c>
      <c r="L236" s="51">
        <f t="shared" ref="L236:M236" si="474">LEN(D236)-LEN(B236)+1</f>
        <v>2</v>
      </c>
      <c r="M236" s="51">
        <f t="shared" si="474"/>
        <v>2</v>
      </c>
      <c r="N236" s="51">
        <f t="shared" si="5"/>
        <v>-1</v>
      </c>
      <c r="O236" s="51" t="str">
        <f t="shared" si="6"/>
        <v>Target</v>
      </c>
      <c r="P236" s="51">
        <f t="shared" si="7"/>
        <v>0</v>
      </c>
      <c r="Q236" s="51" t="str">
        <f t="shared" si="8"/>
        <v>Equal</v>
      </c>
    </row>
    <row r="237">
      <c r="A237" s="48" t="s">
        <v>14</v>
      </c>
      <c r="B237" s="49" t="s">
        <v>1777</v>
      </c>
      <c r="C237" s="49" t="s">
        <v>1778</v>
      </c>
      <c r="D237" s="49" t="s">
        <v>1777</v>
      </c>
      <c r="E237" s="49" t="s">
        <v>1779</v>
      </c>
      <c r="F237" s="49" t="s">
        <v>36</v>
      </c>
      <c r="G237" s="49" t="s">
        <v>996</v>
      </c>
      <c r="H237" s="54" t="s">
        <v>36</v>
      </c>
      <c r="I237" s="54">
        <v>2.0</v>
      </c>
      <c r="J237" s="49">
        <f t="shared" ref="J237:K237" si="475">LEN(SUBSTITUTE(SUBSTITUTE(SUBSTITUTE(B237 ,"ˈ",""),"d̠ʒ","ʒ"),"t̠ʃ","ʃ"))</f>
        <v>3</v>
      </c>
      <c r="K237" s="44">
        <f t="shared" si="475"/>
        <v>4</v>
      </c>
      <c r="L237" s="51">
        <f t="shared" ref="L237:M237" si="476">LEN(D237)-LEN(B237)+1</f>
        <v>1</v>
      </c>
      <c r="M237" s="51">
        <f t="shared" si="476"/>
        <v>2</v>
      </c>
      <c r="N237" s="51">
        <f t="shared" si="5"/>
        <v>-1</v>
      </c>
      <c r="O237" s="51" t="str">
        <f t="shared" si="6"/>
        <v>Target</v>
      </c>
      <c r="P237" s="51">
        <f t="shared" si="7"/>
        <v>-1</v>
      </c>
      <c r="Q237" s="51" t="str">
        <f t="shared" si="8"/>
        <v>Target</v>
      </c>
    </row>
    <row r="238">
      <c r="A238" s="48" t="s">
        <v>14</v>
      </c>
      <c r="B238" s="49" t="s">
        <v>1782</v>
      </c>
      <c r="C238" s="49" t="s">
        <v>1783</v>
      </c>
      <c r="D238" s="49" t="s">
        <v>1784</v>
      </c>
      <c r="E238" s="49" t="s">
        <v>1785</v>
      </c>
      <c r="F238" s="49" t="s">
        <v>1784</v>
      </c>
      <c r="G238" s="49" t="s">
        <v>1703</v>
      </c>
      <c r="H238" s="54">
        <v>1.0</v>
      </c>
      <c r="I238" s="54">
        <v>1.0</v>
      </c>
      <c r="J238" s="49">
        <f t="shared" ref="J238:K238" si="477">LEN(SUBSTITUTE(SUBSTITUTE(SUBSTITUTE(B238 ,"ˈ",""),"d̠ʒ","ʒ"),"t̠ʃ","ʃ"))</f>
        <v>5</v>
      </c>
      <c r="K238" s="44">
        <f t="shared" si="477"/>
        <v>6</v>
      </c>
      <c r="L238" s="51">
        <f t="shared" ref="L238:M238" si="478">LEN(D238)-LEN(B238)+1</f>
        <v>2</v>
      </c>
      <c r="M238" s="51">
        <f t="shared" si="478"/>
        <v>2</v>
      </c>
      <c r="N238" s="51">
        <f t="shared" si="5"/>
        <v>-1</v>
      </c>
      <c r="O238" s="51" t="str">
        <f t="shared" si="6"/>
        <v>Target</v>
      </c>
      <c r="P238" s="51">
        <f t="shared" si="7"/>
        <v>0</v>
      </c>
      <c r="Q238" s="51" t="str">
        <f t="shared" si="8"/>
        <v>Equal</v>
      </c>
    </row>
    <row r="239">
      <c r="A239" s="48" t="s">
        <v>14</v>
      </c>
      <c r="B239" s="49" t="s">
        <v>1040</v>
      </c>
      <c r="C239" s="49" t="s">
        <v>1041</v>
      </c>
      <c r="D239" s="49" t="s">
        <v>1040</v>
      </c>
      <c r="E239" s="49" t="s">
        <v>1041</v>
      </c>
      <c r="F239" s="49" t="s">
        <v>1040</v>
      </c>
      <c r="G239" s="49" t="s">
        <v>1041</v>
      </c>
      <c r="H239" s="54">
        <v>1.0</v>
      </c>
      <c r="I239" s="54">
        <v>1.0</v>
      </c>
      <c r="J239" s="49">
        <f t="shared" ref="J239:K239" si="479">LEN(SUBSTITUTE(SUBSTITUTE(SUBSTITUTE(B239 ,"ˈ",""),"d̠ʒ","ʒ"),"t̠ʃ","ʃ"))</f>
        <v>2</v>
      </c>
      <c r="K239" s="44">
        <f t="shared" si="479"/>
        <v>3</v>
      </c>
      <c r="L239" s="51">
        <f t="shared" ref="L239:M239" si="480">LEN(D239)-LEN(B239)+1</f>
        <v>1</v>
      </c>
      <c r="M239" s="51">
        <f t="shared" si="480"/>
        <v>1</v>
      </c>
      <c r="N239" s="51">
        <f t="shared" si="5"/>
        <v>-1</v>
      </c>
      <c r="O239" s="51" t="str">
        <f t="shared" si="6"/>
        <v>Target</v>
      </c>
      <c r="P239" s="51">
        <f t="shared" si="7"/>
        <v>0</v>
      </c>
      <c r="Q239" s="51" t="str">
        <f t="shared" si="8"/>
        <v>Equal</v>
      </c>
    </row>
    <row r="240">
      <c r="A240" s="48" t="s">
        <v>14</v>
      </c>
      <c r="B240" s="49" t="s">
        <v>1790</v>
      </c>
      <c r="C240" s="49" t="s">
        <v>3676</v>
      </c>
      <c r="D240" s="49" t="s">
        <v>1792</v>
      </c>
      <c r="E240" s="49" t="s">
        <v>3677</v>
      </c>
      <c r="F240" s="49" t="s">
        <v>1796</v>
      </c>
      <c r="G240" s="49" t="s">
        <v>29</v>
      </c>
      <c r="H240" s="54">
        <v>1.0</v>
      </c>
      <c r="I240" s="54">
        <v>1.0</v>
      </c>
      <c r="J240" s="49">
        <f t="shared" ref="J240:K240" si="481">LEN(SUBSTITUTE(SUBSTITUTE(SUBSTITUTE(B240 ,"ˈ",""),"d̠ʒ","ʒ"),"t̠ʃ","ʃ"))</f>
        <v>5</v>
      </c>
      <c r="K240" s="44">
        <f t="shared" si="481"/>
        <v>4</v>
      </c>
      <c r="L240" s="51">
        <f t="shared" ref="L240:M240" si="482">LEN(D240)-LEN(B240)+1</f>
        <v>2</v>
      </c>
      <c r="M240" s="51">
        <f t="shared" si="482"/>
        <v>2</v>
      </c>
      <c r="N240" s="51">
        <f t="shared" si="5"/>
        <v>1</v>
      </c>
      <c r="O240" s="51" t="str">
        <f t="shared" si="6"/>
        <v>Source</v>
      </c>
      <c r="P240" s="51">
        <f t="shared" si="7"/>
        <v>0</v>
      </c>
      <c r="Q240" s="51" t="str">
        <f t="shared" si="8"/>
        <v>Equal</v>
      </c>
    </row>
    <row r="241">
      <c r="A241" s="48" t="s">
        <v>14</v>
      </c>
      <c r="B241" s="49" t="s">
        <v>1797</v>
      </c>
      <c r="C241" s="49" t="s">
        <v>1798</v>
      </c>
      <c r="D241" s="49" t="s">
        <v>1797</v>
      </c>
      <c r="E241" s="49" t="s">
        <v>1799</v>
      </c>
      <c r="F241" s="49" t="s">
        <v>36</v>
      </c>
      <c r="G241" s="49" t="s">
        <v>1235</v>
      </c>
      <c r="H241" s="54" t="s">
        <v>36</v>
      </c>
      <c r="I241" s="54">
        <v>2.0</v>
      </c>
      <c r="J241" s="49">
        <f t="shared" ref="J241:K241" si="483">LEN(SUBSTITUTE(SUBSTITUTE(SUBSTITUTE(B241 ,"ˈ",""),"d̠ʒ","ʒ"),"t̠ʃ","ʃ"))</f>
        <v>2</v>
      </c>
      <c r="K241" s="44">
        <f t="shared" si="483"/>
        <v>5</v>
      </c>
      <c r="L241" s="51">
        <f t="shared" ref="L241:M241" si="484">LEN(D241)-LEN(B241)+1</f>
        <v>1</v>
      </c>
      <c r="M241" s="51">
        <f t="shared" si="484"/>
        <v>2</v>
      </c>
      <c r="N241" s="51">
        <f t="shared" si="5"/>
        <v>-3</v>
      </c>
      <c r="O241" s="51" t="str">
        <f t="shared" si="6"/>
        <v>Target</v>
      </c>
      <c r="P241" s="51">
        <f t="shared" si="7"/>
        <v>-1</v>
      </c>
      <c r="Q241" s="51" t="str">
        <f t="shared" si="8"/>
        <v>Target</v>
      </c>
    </row>
    <row r="242">
      <c r="A242" s="48" t="s">
        <v>14</v>
      </c>
      <c r="B242" s="49" t="s">
        <v>1803</v>
      </c>
      <c r="C242" s="49" t="s">
        <v>1804</v>
      </c>
      <c r="D242" s="49" t="s">
        <v>1805</v>
      </c>
      <c r="E242" s="49" t="s">
        <v>1806</v>
      </c>
      <c r="F242" s="49" t="s">
        <v>1807</v>
      </c>
      <c r="G242" s="49" t="s">
        <v>1808</v>
      </c>
      <c r="H242" s="54">
        <v>1.0</v>
      </c>
      <c r="I242" s="54">
        <v>1.0</v>
      </c>
      <c r="J242" s="49">
        <f t="shared" ref="J242:K242" si="485">LEN(SUBSTITUTE(SUBSTITUTE(SUBSTITUTE(B242 ,"ˈ",""),"d̠ʒ","ʒ"),"t̠ʃ","ʃ"))</f>
        <v>5</v>
      </c>
      <c r="K242" s="44">
        <f t="shared" si="485"/>
        <v>8</v>
      </c>
      <c r="L242" s="51">
        <f t="shared" ref="L242:M242" si="486">LEN(D242)-LEN(B242)+1</f>
        <v>2</v>
      </c>
      <c r="M242" s="51">
        <f t="shared" si="486"/>
        <v>3</v>
      </c>
      <c r="N242" s="51">
        <f t="shared" si="5"/>
        <v>-3</v>
      </c>
      <c r="O242" s="51" t="str">
        <f t="shared" si="6"/>
        <v>Target</v>
      </c>
      <c r="P242" s="51">
        <f t="shared" si="7"/>
        <v>-1</v>
      </c>
      <c r="Q242" s="51" t="str">
        <f t="shared" si="8"/>
        <v>Target</v>
      </c>
    </row>
    <row r="243">
      <c r="A243" s="48" t="s">
        <v>14</v>
      </c>
      <c r="B243" s="49" t="s">
        <v>1812</v>
      </c>
      <c r="C243" s="49" t="s">
        <v>1813</v>
      </c>
      <c r="D243" s="49" t="s">
        <v>1814</v>
      </c>
      <c r="E243" s="49" t="s">
        <v>1815</v>
      </c>
      <c r="F243" s="49" t="s">
        <v>326</v>
      </c>
      <c r="G243" s="49" t="s">
        <v>1470</v>
      </c>
      <c r="H243" s="54">
        <v>2.0</v>
      </c>
      <c r="I243" s="54">
        <v>2.0</v>
      </c>
      <c r="J243" s="49">
        <f t="shared" ref="J243:K243" si="487">LEN(SUBSTITUTE(SUBSTITUTE(SUBSTITUTE(B243 ,"ˈ",""),"d̠ʒ","ʒ"),"t̠ʃ","ʃ"))</f>
        <v>4</v>
      </c>
      <c r="K243" s="44">
        <f t="shared" si="487"/>
        <v>5</v>
      </c>
      <c r="L243" s="51">
        <f t="shared" ref="L243:M243" si="488">LEN(D243)-LEN(B243)+1</f>
        <v>2</v>
      </c>
      <c r="M243" s="51">
        <f t="shared" si="488"/>
        <v>2</v>
      </c>
      <c r="N243" s="51">
        <f t="shared" si="5"/>
        <v>-1</v>
      </c>
      <c r="O243" s="51" t="str">
        <f t="shared" si="6"/>
        <v>Target</v>
      </c>
      <c r="P243" s="51">
        <f t="shared" si="7"/>
        <v>0</v>
      </c>
      <c r="Q243" s="51" t="str">
        <f t="shared" si="8"/>
        <v>Equal</v>
      </c>
    </row>
    <row r="244">
      <c r="A244" s="48" t="s">
        <v>14</v>
      </c>
      <c r="B244" s="49" t="s">
        <v>1818</v>
      </c>
      <c r="C244" s="49" t="s">
        <v>1819</v>
      </c>
      <c r="D244" s="49" t="s">
        <v>1820</v>
      </c>
      <c r="E244" s="49" t="s">
        <v>1821</v>
      </c>
      <c r="F244" s="49" t="s">
        <v>1823</v>
      </c>
      <c r="G244" s="49" t="s">
        <v>49</v>
      </c>
      <c r="H244" s="54">
        <v>1.0</v>
      </c>
      <c r="I244" s="54">
        <v>1.0</v>
      </c>
      <c r="J244" s="49">
        <f t="shared" ref="J244:K244" si="489">LEN(SUBSTITUTE(SUBSTITUTE(SUBSTITUTE(B244 ,"ˈ",""),"d̠ʒ","ʒ"),"t̠ʃ","ʃ"))</f>
        <v>4</v>
      </c>
      <c r="K244" s="44">
        <f t="shared" si="489"/>
        <v>6</v>
      </c>
      <c r="L244" s="51">
        <f t="shared" ref="L244:M244" si="490">LEN(D244)-LEN(B244)+1</f>
        <v>2</v>
      </c>
      <c r="M244" s="51">
        <f t="shared" si="490"/>
        <v>3</v>
      </c>
      <c r="N244" s="51">
        <f t="shared" si="5"/>
        <v>-2</v>
      </c>
      <c r="O244" s="51" t="str">
        <f t="shared" si="6"/>
        <v>Target</v>
      </c>
      <c r="P244" s="51">
        <f t="shared" si="7"/>
        <v>-1</v>
      </c>
      <c r="Q244" s="51" t="str">
        <f t="shared" si="8"/>
        <v>Target</v>
      </c>
    </row>
    <row r="245">
      <c r="A245" s="48" t="s">
        <v>14</v>
      </c>
      <c r="B245" s="49" t="s">
        <v>1824</v>
      </c>
      <c r="C245" s="49" t="s">
        <v>1825</v>
      </c>
      <c r="D245" s="49" t="s">
        <v>1826</v>
      </c>
      <c r="E245" s="49" t="s">
        <v>1827</v>
      </c>
      <c r="F245" s="49" t="s">
        <v>190</v>
      </c>
      <c r="G245" s="49" t="s">
        <v>190</v>
      </c>
      <c r="H245" s="54">
        <v>3.0</v>
      </c>
      <c r="I245" s="54">
        <v>3.0</v>
      </c>
      <c r="J245" s="49">
        <f t="shared" ref="J245:K245" si="491">LEN(SUBSTITUTE(SUBSTITUTE(SUBSTITUTE(B245 ,"ˈ",""),"d̠ʒ","ʒ"),"t̠ʃ","ʃ"))</f>
        <v>7</v>
      </c>
      <c r="K245" s="44">
        <f t="shared" si="491"/>
        <v>7</v>
      </c>
      <c r="L245" s="51">
        <f t="shared" ref="L245:M245" si="492">LEN(D245)-LEN(B245)+1</f>
        <v>3</v>
      </c>
      <c r="M245" s="51">
        <f t="shared" si="492"/>
        <v>3</v>
      </c>
      <c r="N245" s="51">
        <f t="shared" si="5"/>
        <v>0</v>
      </c>
      <c r="O245" s="51" t="str">
        <f t="shared" si="6"/>
        <v>Equal</v>
      </c>
      <c r="P245" s="51">
        <f t="shared" si="7"/>
        <v>0</v>
      </c>
      <c r="Q245" s="51" t="str">
        <f t="shared" si="8"/>
        <v>Equal</v>
      </c>
    </row>
    <row r="246">
      <c r="A246" s="48" t="s">
        <v>14</v>
      </c>
      <c r="B246" s="49" t="s">
        <v>1831</v>
      </c>
      <c r="C246" s="49" t="s">
        <v>1832</v>
      </c>
      <c r="D246" s="49" t="s">
        <v>1833</v>
      </c>
      <c r="E246" s="49" t="s">
        <v>1834</v>
      </c>
      <c r="F246" s="49" t="s">
        <v>287</v>
      </c>
      <c r="G246" s="49" t="s">
        <v>233</v>
      </c>
      <c r="H246" s="54">
        <v>1.0</v>
      </c>
      <c r="I246" s="54">
        <v>1.0</v>
      </c>
      <c r="J246" s="49">
        <f t="shared" ref="J246:K246" si="493">LEN(SUBSTITUTE(SUBSTITUTE(SUBSTITUTE(B246 ,"ˈ",""),"d̠ʒ","ʒ"),"t̠ʃ","ʃ"))</f>
        <v>3</v>
      </c>
      <c r="K246" s="44">
        <f t="shared" si="493"/>
        <v>5</v>
      </c>
      <c r="L246" s="51">
        <f t="shared" ref="L246:M246" si="494">LEN(D246)-LEN(B246)+1</f>
        <v>2</v>
      </c>
      <c r="M246" s="51">
        <f t="shared" si="494"/>
        <v>3</v>
      </c>
      <c r="N246" s="51">
        <f t="shared" si="5"/>
        <v>-2</v>
      </c>
      <c r="O246" s="51" t="str">
        <f t="shared" si="6"/>
        <v>Target</v>
      </c>
      <c r="P246" s="51">
        <f t="shared" si="7"/>
        <v>-1</v>
      </c>
      <c r="Q246" s="51" t="str">
        <f t="shared" si="8"/>
        <v>Target</v>
      </c>
    </row>
    <row r="247">
      <c r="A247" s="48" t="s">
        <v>14</v>
      </c>
      <c r="B247" s="49" t="s">
        <v>1837</v>
      </c>
      <c r="C247" s="49" t="s">
        <v>1838</v>
      </c>
      <c r="D247" s="49" t="s">
        <v>1839</v>
      </c>
      <c r="E247" s="49" t="s">
        <v>1840</v>
      </c>
      <c r="F247" s="49" t="s">
        <v>1968</v>
      </c>
      <c r="G247" s="49" t="s">
        <v>495</v>
      </c>
      <c r="H247" s="54">
        <v>2.0</v>
      </c>
      <c r="I247" s="54">
        <v>4.0</v>
      </c>
      <c r="J247" s="49">
        <f t="shared" ref="J247:K247" si="495">LEN(SUBSTITUTE(SUBSTITUTE(SUBSTITUTE(B247 ,"ˈ",""),"d̠ʒ","ʒ"),"t̠ʃ","ʃ"))</f>
        <v>6</v>
      </c>
      <c r="K247" s="44">
        <f t="shared" si="495"/>
        <v>10</v>
      </c>
      <c r="L247" s="51">
        <f t="shared" ref="L247:M247" si="496">LEN(D247)-LEN(B247)+1</f>
        <v>2</v>
      </c>
      <c r="M247" s="51">
        <f t="shared" si="496"/>
        <v>4</v>
      </c>
      <c r="N247" s="51">
        <f t="shared" si="5"/>
        <v>-4</v>
      </c>
      <c r="O247" s="51" t="str">
        <f t="shared" si="6"/>
        <v>Target</v>
      </c>
      <c r="P247" s="51">
        <f t="shared" si="7"/>
        <v>-2</v>
      </c>
      <c r="Q247" s="51" t="str">
        <f t="shared" si="8"/>
        <v>Target</v>
      </c>
    </row>
    <row r="248">
      <c r="A248" s="48" t="s">
        <v>14</v>
      </c>
      <c r="B248" s="49" t="s">
        <v>1843</v>
      </c>
      <c r="C248" s="49" t="s">
        <v>1844</v>
      </c>
      <c r="D248" s="49" t="s">
        <v>1845</v>
      </c>
      <c r="E248" s="49" t="s">
        <v>1846</v>
      </c>
      <c r="F248" s="49" t="s">
        <v>3678</v>
      </c>
      <c r="G248" s="49" t="s">
        <v>49</v>
      </c>
      <c r="H248" s="54">
        <v>1.0</v>
      </c>
      <c r="I248" s="54">
        <v>1.0</v>
      </c>
      <c r="J248" s="49">
        <f t="shared" ref="J248:K248" si="497">LEN(SUBSTITUTE(SUBSTITUTE(SUBSTITUTE(B248 ,"ˈ",""),"d̠ʒ","ʒ"),"t̠ʃ","ʃ"))</f>
        <v>5</v>
      </c>
      <c r="K248" s="44">
        <f t="shared" si="497"/>
        <v>5</v>
      </c>
      <c r="L248" s="51">
        <f t="shared" ref="L248:M248" si="498">LEN(D248)-LEN(B248)+1</f>
        <v>2</v>
      </c>
      <c r="M248" s="51">
        <f t="shared" si="498"/>
        <v>3</v>
      </c>
      <c r="N248" s="51">
        <f t="shared" si="5"/>
        <v>0</v>
      </c>
      <c r="O248" s="51" t="str">
        <f t="shared" si="6"/>
        <v>Equal</v>
      </c>
      <c r="P248" s="51">
        <f t="shared" si="7"/>
        <v>-1</v>
      </c>
      <c r="Q248" s="51" t="str">
        <f t="shared" si="8"/>
        <v>Target</v>
      </c>
    </row>
    <row r="249">
      <c r="A249" s="48" t="s">
        <v>14</v>
      </c>
      <c r="B249" s="49" t="s">
        <v>1849</v>
      </c>
      <c r="C249" s="49" t="s">
        <v>1850</v>
      </c>
      <c r="D249" s="49" t="s">
        <v>1851</v>
      </c>
      <c r="E249" s="49" t="s">
        <v>1852</v>
      </c>
      <c r="F249" s="49" t="s">
        <v>784</v>
      </c>
      <c r="G249" s="49" t="s">
        <v>784</v>
      </c>
      <c r="H249" s="54">
        <v>3.0</v>
      </c>
      <c r="I249" s="54">
        <v>3.0</v>
      </c>
      <c r="J249" s="49">
        <f t="shared" ref="J249:K249" si="499">LEN(SUBSTITUTE(SUBSTITUTE(SUBSTITUTE(B249 ,"ˈ",""),"d̠ʒ","ʒ"),"t̠ʃ","ʃ"))</f>
        <v>7</v>
      </c>
      <c r="K249" s="44">
        <f t="shared" si="499"/>
        <v>7</v>
      </c>
      <c r="L249" s="51">
        <f t="shared" ref="L249:M249" si="500">LEN(D249)-LEN(B249)+1</f>
        <v>3</v>
      </c>
      <c r="M249" s="51">
        <f t="shared" si="500"/>
        <v>3</v>
      </c>
      <c r="N249" s="51">
        <f t="shared" si="5"/>
        <v>0</v>
      </c>
      <c r="O249" s="51" t="str">
        <f t="shared" si="6"/>
        <v>Equal</v>
      </c>
      <c r="P249" s="51">
        <f t="shared" si="7"/>
        <v>0</v>
      </c>
      <c r="Q249" s="51" t="str">
        <f t="shared" si="8"/>
        <v>Equal</v>
      </c>
    </row>
    <row r="250">
      <c r="A250" s="48" t="s">
        <v>14</v>
      </c>
      <c r="B250" s="49" t="s">
        <v>1856</v>
      </c>
      <c r="C250" s="49" t="s">
        <v>1857</v>
      </c>
      <c r="D250" s="49" t="s">
        <v>1858</v>
      </c>
      <c r="E250" s="49" t="s">
        <v>1859</v>
      </c>
      <c r="F250" s="49" t="s">
        <v>956</v>
      </c>
      <c r="G250" s="49" t="s">
        <v>663</v>
      </c>
      <c r="H250" s="54">
        <v>1.0</v>
      </c>
      <c r="I250" s="54">
        <v>1.0</v>
      </c>
      <c r="J250" s="49">
        <f t="shared" ref="J250:K250" si="501">LEN(SUBSTITUTE(SUBSTITUTE(SUBSTITUTE(B250 ,"ˈ",""),"d̠ʒ","ʒ"),"t̠ʃ","ʃ"))</f>
        <v>5</v>
      </c>
      <c r="K250" s="44">
        <f t="shared" si="501"/>
        <v>5</v>
      </c>
      <c r="L250" s="51">
        <f t="shared" ref="L250:M250" si="502">LEN(D250)-LEN(B250)+1</f>
        <v>2</v>
      </c>
      <c r="M250" s="51">
        <f t="shared" si="502"/>
        <v>3</v>
      </c>
      <c r="N250" s="51">
        <f t="shared" si="5"/>
        <v>0</v>
      </c>
      <c r="O250" s="51" t="str">
        <f t="shared" si="6"/>
        <v>Equal</v>
      </c>
      <c r="P250" s="51">
        <f t="shared" si="7"/>
        <v>-1</v>
      </c>
      <c r="Q250" s="51" t="str">
        <f t="shared" si="8"/>
        <v>Target</v>
      </c>
    </row>
    <row r="251">
      <c r="A251" s="48" t="s">
        <v>14</v>
      </c>
      <c r="B251" s="49" t="s">
        <v>1862</v>
      </c>
      <c r="C251" s="49" t="s">
        <v>1863</v>
      </c>
      <c r="D251" s="49" t="s">
        <v>1864</v>
      </c>
      <c r="E251" s="49" t="s">
        <v>1865</v>
      </c>
      <c r="F251" s="49" t="s">
        <v>312</v>
      </c>
      <c r="G251" s="49" t="s">
        <v>312</v>
      </c>
      <c r="H251" s="54">
        <v>2.0</v>
      </c>
      <c r="I251" s="54">
        <v>3.0</v>
      </c>
      <c r="J251" s="49">
        <f t="shared" ref="J251:K251" si="503">LEN(SUBSTITUTE(SUBSTITUTE(SUBSTITUTE(B251 ,"ˈ",""),"d̠ʒ","ʒ"),"t̠ʃ","ʃ"))</f>
        <v>4</v>
      </c>
      <c r="K251" s="44">
        <f t="shared" si="503"/>
        <v>6</v>
      </c>
      <c r="L251" s="51">
        <f t="shared" ref="L251:M251" si="504">LEN(D251)-LEN(B251)+1</f>
        <v>2</v>
      </c>
      <c r="M251" s="51">
        <f t="shared" si="504"/>
        <v>3</v>
      </c>
      <c r="N251" s="51">
        <f t="shared" si="5"/>
        <v>-2</v>
      </c>
      <c r="O251" s="51" t="str">
        <f t="shared" si="6"/>
        <v>Target</v>
      </c>
      <c r="P251" s="51">
        <f t="shared" si="7"/>
        <v>-1</v>
      </c>
      <c r="Q251" s="51" t="str">
        <f t="shared" si="8"/>
        <v>Target</v>
      </c>
    </row>
    <row r="252">
      <c r="A252" s="48" t="s">
        <v>14</v>
      </c>
      <c r="B252" s="49" t="s">
        <v>1869</v>
      </c>
      <c r="C252" s="49" t="s">
        <v>1870</v>
      </c>
      <c r="D252" s="49" t="s">
        <v>1869</v>
      </c>
      <c r="E252" s="49" t="s">
        <v>1871</v>
      </c>
      <c r="F252" s="49" t="s">
        <v>1869</v>
      </c>
      <c r="G252" s="49" t="s">
        <v>610</v>
      </c>
      <c r="H252" s="54">
        <v>1.0</v>
      </c>
      <c r="I252" s="54">
        <v>1.0</v>
      </c>
      <c r="J252" s="49">
        <f t="shared" ref="J252:K252" si="505">LEN(SUBSTITUTE(SUBSTITUTE(SUBSTITUTE(B252 ,"ˈ",""),"d̠ʒ","ʒ"),"t̠ʃ","ʃ"))</f>
        <v>3</v>
      </c>
      <c r="K252" s="44">
        <f t="shared" si="505"/>
        <v>5</v>
      </c>
      <c r="L252" s="51">
        <f t="shared" ref="L252:M252" si="506">LEN(D252)-LEN(B252)+1</f>
        <v>1</v>
      </c>
      <c r="M252" s="51">
        <f t="shared" si="506"/>
        <v>2</v>
      </c>
      <c r="N252" s="51">
        <f t="shared" si="5"/>
        <v>-2</v>
      </c>
      <c r="O252" s="51" t="str">
        <f t="shared" si="6"/>
        <v>Target</v>
      </c>
      <c r="P252" s="51">
        <f t="shared" si="7"/>
        <v>-1</v>
      </c>
      <c r="Q252" s="51" t="str">
        <f t="shared" si="8"/>
        <v>Target</v>
      </c>
    </row>
    <row r="253">
      <c r="A253" s="48" t="s">
        <v>14</v>
      </c>
      <c r="B253" s="49" t="s">
        <v>1875</v>
      </c>
      <c r="C253" s="49" t="s">
        <v>3679</v>
      </c>
      <c r="D253" s="49" t="s">
        <v>1877</v>
      </c>
      <c r="E253" s="49" t="s">
        <v>3680</v>
      </c>
      <c r="F253" s="49" t="s">
        <v>1882</v>
      </c>
      <c r="G253" s="56" t="s">
        <v>3681</v>
      </c>
      <c r="H253" s="54">
        <v>2.0</v>
      </c>
      <c r="I253" s="54">
        <v>2.0</v>
      </c>
      <c r="J253" s="49">
        <f t="shared" ref="J253:K253" si="507">LEN(SUBSTITUTE(SUBSTITUTE(SUBSTITUTE(B253 ,"ˈ",""),"d̠ʒ","ʒ"),"t̠ʃ","ʃ"))</f>
        <v>6</v>
      </c>
      <c r="K253" s="44">
        <f t="shared" si="507"/>
        <v>7</v>
      </c>
      <c r="L253" s="51">
        <f t="shared" ref="L253:M253" si="508">LEN(D253)-LEN(B253)+1</f>
        <v>2</v>
      </c>
      <c r="M253" s="51">
        <f t="shared" si="508"/>
        <v>2</v>
      </c>
      <c r="N253" s="51">
        <f t="shared" si="5"/>
        <v>-1</v>
      </c>
      <c r="O253" s="51" t="str">
        <f t="shared" si="6"/>
        <v>Target</v>
      </c>
      <c r="P253" s="51">
        <f t="shared" si="7"/>
        <v>0</v>
      </c>
      <c r="Q253" s="51" t="str">
        <f t="shared" si="8"/>
        <v>Equal</v>
      </c>
    </row>
    <row r="254">
      <c r="A254" s="48" t="s">
        <v>14</v>
      </c>
      <c r="B254" s="49" t="s">
        <v>1884</v>
      </c>
      <c r="C254" s="49" t="s">
        <v>1885</v>
      </c>
      <c r="D254" s="49" t="s">
        <v>1886</v>
      </c>
      <c r="E254" s="49" t="s">
        <v>1887</v>
      </c>
      <c r="F254" s="49" t="s">
        <v>918</v>
      </c>
      <c r="G254" s="49" t="s">
        <v>576</v>
      </c>
      <c r="H254" s="54">
        <v>2.0</v>
      </c>
      <c r="I254" s="54">
        <v>2.0</v>
      </c>
      <c r="J254" s="49">
        <f t="shared" ref="J254:K254" si="509">LEN(SUBSTITUTE(SUBSTITUTE(SUBSTITUTE(B254 ,"ˈ",""),"d̠ʒ","ʒ"),"t̠ʃ","ʃ"))</f>
        <v>3</v>
      </c>
      <c r="K254" s="44">
        <f t="shared" si="509"/>
        <v>6</v>
      </c>
      <c r="L254" s="51">
        <f t="shared" ref="L254:M254" si="510">LEN(D254)-LEN(B254)+1</f>
        <v>2</v>
      </c>
      <c r="M254" s="51">
        <f t="shared" si="510"/>
        <v>2</v>
      </c>
      <c r="N254" s="51">
        <f t="shared" si="5"/>
        <v>-3</v>
      </c>
      <c r="O254" s="51" t="str">
        <f t="shared" si="6"/>
        <v>Target</v>
      </c>
      <c r="P254" s="51">
        <f t="shared" si="7"/>
        <v>0</v>
      </c>
      <c r="Q254" s="51" t="str">
        <f t="shared" si="8"/>
        <v>Equal</v>
      </c>
    </row>
    <row r="255">
      <c r="A255" s="48" t="s">
        <v>14</v>
      </c>
      <c r="B255" s="49" t="s">
        <v>1890</v>
      </c>
      <c r="C255" s="49" t="s">
        <v>1891</v>
      </c>
      <c r="D255" s="49" t="s">
        <v>1892</v>
      </c>
      <c r="E255" s="49" t="s">
        <v>1893</v>
      </c>
      <c r="F255" s="49" t="s">
        <v>1898</v>
      </c>
      <c r="G255" s="49" t="s">
        <v>1899</v>
      </c>
      <c r="H255" s="54">
        <v>2.0</v>
      </c>
      <c r="I255" s="54">
        <v>3.0</v>
      </c>
      <c r="J255" s="49">
        <f t="shared" ref="J255:K255" si="511">LEN(SUBSTITUTE(SUBSTITUTE(SUBSTITUTE(B255 ,"ˈ",""),"d̠ʒ","ʒ"),"t̠ʃ","ʃ"))</f>
        <v>5</v>
      </c>
      <c r="K255" s="44">
        <f t="shared" si="511"/>
        <v>6</v>
      </c>
      <c r="L255" s="51">
        <f t="shared" ref="L255:M255" si="512">LEN(D255)-LEN(B255)+1</f>
        <v>2</v>
      </c>
      <c r="M255" s="51">
        <f t="shared" si="512"/>
        <v>3</v>
      </c>
      <c r="N255" s="51">
        <f t="shared" si="5"/>
        <v>-1</v>
      </c>
      <c r="O255" s="51" t="str">
        <f t="shared" si="6"/>
        <v>Target</v>
      </c>
      <c r="P255" s="51">
        <f t="shared" si="7"/>
        <v>-1</v>
      </c>
      <c r="Q255" s="51" t="str">
        <f t="shared" si="8"/>
        <v>Target</v>
      </c>
    </row>
    <row r="256">
      <c r="A256" s="48" t="s">
        <v>14</v>
      </c>
      <c r="B256" s="49" t="s">
        <v>1900</v>
      </c>
      <c r="C256" s="49" t="s">
        <v>1901</v>
      </c>
      <c r="D256" s="49" t="s">
        <v>1902</v>
      </c>
      <c r="E256" s="49" t="s">
        <v>1903</v>
      </c>
      <c r="F256" s="49" t="s">
        <v>30</v>
      </c>
      <c r="G256" s="49" t="s">
        <v>1904</v>
      </c>
      <c r="H256" s="54">
        <v>1.0</v>
      </c>
      <c r="I256" s="54">
        <v>1.0</v>
      </c>
      <c r="J256" s="49">
        <f t="shared" ref="J256:K256" si="513">LEN(SUBSTITUTE(SUBSTITUTE(SUBSTITUTE(B256 ,"ˈ",""),"d̠ʒ","ʒ"),"t̠ʃ","ʃ"))</f>
        <v>9</v>
      </c>
      <c r="K256" s="44">
        <f t="shared" si="513"/>
        <v>9</v>
      </c>
      <c r="L256" s="51">
        <f t="shared" ref="L256:M256" si="514">LEN(D256)-LEN(B256)+1</f>
        <v>4</v>
      </c>
      <c r="M256" s="51">
        <f t="shared" si="514"/>
        <v>3</v>
      </c>
      <c r="N256" s="51">
        <f t="shared" si="5"/>
        <v>0</v>
      </c>
      <c r="O256" s="51" t="str">
        <f t="shared" si="6"/>
        <v>Equal</v>
      </c>
      <c r="P256" s="51">
        <f t="shared" si="7"/>
        <v>1</v>
      </c>
      <c r="Q256" s="51" t="str">
        <f t="shared" si="8"/>
        <v>Source</v>
      </c>
    </row>
    <row r="257">
      <c r="A257" s="48" t="s">
        <v>14</v>
      </c>
      <c r="B257" s="49" t="s">
        <v>1910</v>
      </c>
      <c r="C257" s="49" t="s">
        <v>3682</v>
      </c>
      <c r="D257" s="49" t="s">
        <v>1912</v>
      </c>
      <c r="E257" s="49" t="s">
        <v>3682</v>
      </c>
      <c r="F257" s="49" t="s">
        <v>1919</v>
      </c>
      <c r="G257" s="49" t="s">
        <v>36</v>
      </c>
      <c r="H257" s="54">
        <v>4.0</v>
      </c>
      <c r="I257" s="54" t="s">
        <v>36</v>
      </c>
      <c r="J257" s="49">
        <f t="shared" ref="J257:K257" si="515">LEN(SUBSTITUTE(SUBSTITUTE(SUBSTITUTE(B257 ,"ˈ",""),"d̠ʒ","ʒ"),"t̠ʃ","ʃ"))</f>
        <v>9</v>
      </c>
      <c r="K257" s="44">
        <f t="shared" si="515"/>
        <v>4</v>
      </c>
      <c r="L257" s="51">
        <f t="shared" ref="L257:M257" si="516">LEN(D257)-LEN(B257)+1</f>
        <v>4</v>
      </c>
      <c r="M257" s="51">
        <f t="shared" si="516"/>
        <v>1</v>
      </c>
      <c r="N257" s="51">
        <f t="shared" si="5"/>
        <v>5</v>
      </c>
      <c r="O257" s="51" t="str">
        <f t="shared" si="6"/>
        <v>Source</v>
      </c>
      <c r="P257" s="51">
        <f t="shared" si="7"/>
        <v>3</v>
      </c>
      <c r="Q257" s="51" t="str">
        <f t="shared" si="8"/>
        <v>Source</v>
      </c>
    </row>
    <row r="258">
      <c r="A258" s="48" t="s">
        <v>14</v>
      </c>
      <c r="B258" s="49" t="s">
        <v>1920</v>
      </c>
      <c r="C258" s="49" t="s">
        <v>1921</v>
      </c>
      <c r="D258" s="49" t="s">
        <v>1920</v>
      </c>
      <c r="E258" s="49" t="s">
        <v>1922</v>
      </c>
      <c r="F258" s="49" t="s">
        <v>1920</v>
      </c>
      <c r="G258" s="49" t="s">
        <v>1923</v>
      </c>
      <c r="H258" s="54">
        <v>1.0</v>
      </c>
      <c r="I258" s="54">
        <v>1.0</v>
      </c>
      <c r="J258" s="49">
        <f t="shared" ref="J258:K258" si="517">LEN(SUBSTITUTE(SUBSTITUTE(SUBSTITUTE(B258 ,"ˈ",""),"d̠ʒ","ʒ"),"t̠ʃ","ʃ"))</f>
        <v>3</v>
      </c>
      <c r="K258" s="44">
        <f t="shared" si="517"/>
        <v>5</v>
      </c>
      <c r="L258" s="51">
        <f t="shared" ref="L258:M258" si="518">LEN(D258)-LEN(B258)+1</f>
        <v>1</v>
      </c>
      <c r="M258" s="51">
        <f t="shared" si="518"/>
        <v>2</v>
      </c>
      <c r="N258" s="51">
        <f t="shared" si="5"/>
        <v>-2</v>
      </c>
      <c r="O258" s="51" t="str">
        <f t="shared" si="6"/>
        <v>Target</v>
      </c>
      <c r="P258" s="51">
        <f t="shared" si="7"/>
        <v>-1</v>
      </c>
      <c r="Q258" s="51" t="str">
        <f t="shared" si="8"/>
        <v>Target</v>
      </c>
    </row>
    <row r="259">
      <c r="A259" s="48" t="s">
        <v>14</v>
      </c>
      <c r="B259" s="49" t="s">
        <v>1926</v>
      </c>
      <c r="C259" s="49" t="s">
        <v>1927</v>
      </c>
      <c r="D259" s="49" t="s">
        <v>1928</v>
      </c>
      <c r="E259" s="49" t="s">
        <v>1929</v>
      </c>
      <c r="F259" s="49" t="s">
        <v>296</v>
      </c>
      <c r="G259" s="49" t="s">
        <v>758</v>
      </c>
      <c r="H259" s="54">
        <v>2.0</v>
      </c>
      <c r="I259" s="54">
        <v>3.0</v>
      </c>
      <c r="J259" s="49">
        <f t="shared" ref="J259:K259" si="519">LEN(SUBSTITUTE(SUBSTITUTE(SUBSTITUTE(B259 ,"ˈ",""),"d̠ʒ","ʒ"),"t̠ʃ","ʃ"))</f>
        <v>5</v>
      </c>
      <c r="K259" s="44">
        <f t="shared" si="519"/>
        <v>7</v>
      </c>
      <c r="L259" s="51">
        <f t="shared" ref="L259:M259" si="520">LEN(D259)-LEN(B259)+1</f>
        <v>2</v>
      </c>
      <c r="M259" s="51">
        <f t="shared" si="520"/>
        <v>3</v>
      </c>
      <c r="N259" s="51">
        <f t="shared" si="5"/>
        <v>-2</v>
      </c>
      <c r="O259" s="51" t="str">
        <f t="shared" si="6"/>
        <v>Target</v>
      </c>
      <c r="P259" s="51">
        <f t="shared" si="7"/>
        <v>-1</v>
      </c>
      <c r="Q259" s="51" t="str">
        <f t="shared" si="8"/>
        <v>Target</v>
      </c>
    </row>
    <row r="260">
      <c r="A260" s="48" t="s">
        <v>14</v>
      </c>
      <c r="B260" s="49" t="s">
        <v>1934</v>
      </c>
      <c r="C260" s="49" t="s">
        <v>1935</v>
      </c>
      <c r="D260" s="49" t="s">
        <v>1936</v>
      </c>
      <c r="E260" s="49" t="s">
        <v>1937</v>
      </c>
      <c r="F260" s="49" t="s">
        <v>108</v>
      </c>
      <c r="G260" s="49" t="s">
        <v>175</v>
      </c>
      <c r="H260" s="54">
        <v>1.0</v>
      </c>
      <c r="I260" s="54">
        <v>1.0</v>
      </c>
      <c r="J260" s="49">
        <f t="shared" ref="J260:K260" si="521">LEN(SUBSTITUTE(SUBSTITUTE(SUBSTITUTE(B260 ,"ˈ",""),"d̠ʒ","ʒ"),"t̠ʃ","ʃ"))</f>
        <v>5</v>
      </c>
      <c r="K260" s="44">
        <f t="shared" si="521"/>
        <v>6</v>
      </c>
      <c r="L260" s="51">
        <f t="shared" ref="L260:M260" si="522">LEN(D260)-LEN(B260)+1</f>
        <v>2</v>
      </c>
      <c r="M260" s="51">
        <f t="shared" si="522"/>
        <v>3</v>
      </c>
      <c r="N260" s="51">
        <f t="shared" si="5"/>
        <v>-1</v>
      </c>
      <c r="O260" s="51" t="str">
        <f t="shared" si="6"/>
        <v>Target</v>
      </c>
      <c r="P260" s="51">
        <f t="shared" si="7"/>
        <v>-1</v>
      </c>
      <c r="Q260" s="51" t="str">
        <f t="shared" si="8"/>
        <v>Target</v>
      </c>
    </row>
    <row r="261">
      <c r="A261" s="48" t="s">
        <v>14</v>
      </c>
      <c r="B261" s="49" t="s">
        <v>1942</v>
      </c>
      <c r="C261" s="49" t="s">
        <v>1943</v>
      </c>
      <c r="D261" s="49" t="s">
        <v>1944</v>
      </c>
      <c r="E261" s="49" t="s">
        <v>1945</v>
      </c>
      <c r="F261" s="49" t="s">
        <v>131</v>
      </c>
      <c r="G261" s="49" t="s">
        <v>131</v>
      </c>
      <c r="H261" s="54">
        <v>1.0</v>
      </c>
      <c r="I261" s="54">
        <v>1.0</v>
      </c>
      <c r="J261" s="49">
        <f t="shared" ref="J261:K261" si="523">LEN(SUBSTITUTE(SUBSTITUTE(SUBSTITUTE(B261 ,"ˈ",""),"d̠ʒ","ʒ"),"t̠ʃ","ʃ"))</f>
        <v>4</v>
      </c>
      <c r="K261" s="44">
        <f t="shared" si="523"/>
        <v>4</v>
      </c>
      <c r="L261" s="51">
        <f t="shared" ref="L261:M261" si="524">LEN(D261)-LEN(B261)+1</f>
        <v>2</v>
      </c>
      <c r="M261" s="51">
        <f t="shared" si="524"/>
        <v>2</v>
      </c>
      <c r="N261" s="51">
        <f t="shared" si="5"/>
        <v>0</v>
      </c>
      <c r="O261" s="51" t="str">
        <f t="shared" si="6"/>
        <v>Equal</v>
      </c>
      <c r="P261" s="51">
        <f t="shared" si="7"/>
        <v>0</v>
      </c>
      <c r="Q261" s="51" t="str">
        <f t="shared" si="8"/>
        <v>Equal</v>
      </c>
    </row>
    <row r="262">
      <c r="A262" s="48" t="s">
        <v>14</v>
      </c>
      <c r="B262" s="49" t="s">
        <v>1948</v>
      </c>
      <c r="C262" s="49" t="s">
        <v>1949</v>
      </c>
      <c r="D262" s="49" t="s">
        <v>1950</v>
      </c>
      <c r="E262" s="49" t="s">
        <v>1951</v>
      </c>
      <c r="F262" s="49" t="s">
        <v>29</v>
      </c>
      <c r="G262" s="49" t="s">
        <v>3683</v>
      </c>
      <c r="H262" s="54">
        <v>1.0</v>
      </c>
      <c r="I262" s="54">
        <v>1.0</v>
      </c>
      <c r="J262" s="49">
        <f t="shared" ref="J262:K262" si="525">LEN(SUBSTITUTE(SUBSTITUTE(SUBSTITUTE(B262 ,"ˈ",""),"d̠ʒ","ʒ"),"t̠ʃ","ʃ"))</f>
        <v>4</v>
      </c>
      <c r="K262" s="44">
        <f t="shared" si="525"/>
        <v>8</v>
      </c>
      <c r="L262" s="51">
        <f t="shared" ref="L262:M262" si="526">LEN(D262)-LEN(B262)+1</f>
        <v>2</v>
      </c>
      <c r="M262" s="51">
        <f t="shared" si="526"/>
        <v>3</v>
      </c>
      <c r="N262" s="51">
        <f t="shared" si="5"/>
        <v>-4</v>
      </c>
      <c r="O262" s="51" t="str">
        <f t="shared" si="6"/>
        <v>Target</v>
      </c>
      <c r="P262" s="51">
        <f t="shared" si="7"/>
        <v>-1</v>
      </c>
      <c r="Q262" s="51" t="str">
        <f t="shared" si="8"/>
        <v>Target</v>
      </c>
    </row>
    <row r="263">
      <c r="A263" s="48" t="s">
        <v>14</v>
      </c>
      <c r="B263" s="49" t="s">
        <v>1954</v>
      </c>
      <c r="C263" s="49" t="s">
        <v>1955</v>
      </c>
      <c r="D263" s="49" t="s">
        <v>1956</v>
      </c>
      <c r="E263" s="49" t="s">
        <v>1957</v>
      </c>
      <c r="F263" s="49" t="s">
        <v>1960</v>
      </c>
      <c r="G263" s="49" t="s">
        <v>75</v>
      </c>
      <c r="H263" s="54">
        <v>2.0</v>
      </c>
      <c r="I263" s="54">
        <v>3.0</v>
      </c>
      <c r="J263" s="49">
        <f t="shared" ref="J263:K263" si="527">LEN(SUBSTITUTE(SUBSTITUTE(SUBSTITUTE(B263 ,"ˈ",""),"d̠ʒ","ʒ"),"t̠ʃ","ʃ"))</f>
        <v>5</v>
      </c>
      <c r="K263" s="44">
        <f t="shared" si="527"/>
        <v>6</v>
      </c>
      <c r="L263" s="51">
        <f t="shared" ref="L263:M263" si="528">LEN(D263)-LEN(B263)+1</f>
        <v>2</v>
      </c>
      <c r="M263" s="51">
        <f t="shared" si="528"/>
        <v>3</v>
      </c>
      <c r="N263" s="51">
        <f t="shared" si="5"/>
        <v>-1</v>
      </c>
      <c r="O263" s="51" t="str">
        <f t="shared" si="6"/>
        <v>Target</v>
      </c>
      <c r="P263" s="51">
        <f t="shared" si="7"/>
        <v>-1</v>
      </c>
      <c r="Q263" s="51" t="str">
        <f t="shared" si="8"/>
        <v>Target</v>
      </c>
    </row>
    <row r="264">
      <c r="A264" s="48" t="s">
        <v>14</v>
      </c>
      <c r="B264" s="49" t="s">
        <v>1961</v>
      </c>
      <c r="C264" s="49" t="s">
        <v>1962</v>
      </c>
      <c r="D264" s="49" t="s">
        <v>1963</v>
      </c>
      <c r="E264" s="49" t="s">
        <v>1964</v>
      </c>
      <c r="F264" s="49" t="s">
        <v>128</v>
      </c>
      <c r="G264" s="49" t="s">
        <v>1965</v>
      </c>
      <c r="H264" s="54">
        <v>1.0</v>
      </c>
      <c r="I264" s="54">
        <v>1.0</v>
      </c>
      <c r="J264" s="49">
        <f t="shared" ref="J264:K264" si="529">LEN(SUBSTITUTE(SUBSTITUTE(SUBSTITUTE(B264 ,"ˈ",""),"d̠ʒ","ʒ"),"t̠ʃ","ʃ"))</f>
        <v>6</v>
      </c>
      <c r="K264" s="44">
        <f t="shared" si="529"/>
        <v>6</v>
      </c>
      <c r="L264" s="51">
        <f t="shared" ref="L264:M264" si="530">LEN(D264)-LEN(B264)+1</f>
        <v>3</v>
      </c>
      <c r="M264" s="51">
        <f t="shared" si="530"/>
        <v>2</v>
      </c>
      <c r="N264" s="51">
        <f t="shared" si="5"/>
        <v>0</v>
      </c>
      <c r="O264" s="51" t="str">
        <f t="shared" si="6"/>
        <v>Equal</v>
      </c>
      <c r="P264" s="51">
        <f t="shared" si="7"/>
        <v>1</v>
      </c>
      <c r="Q264" s="51" t="str">
        <f t="shared" si="8"/>
        <v>Source</v>
      </c>
    </row>
    <row r="265">
      <c r="A265" s="48" t="s">
        <v>14</v>
      </c>
      <c r="B265" s="49" t="s">
        <v>1969</v>
      </c>
      <c r="C265" s="49" t="s">
        <v>1970</v>
      </c>
      <c r="D265" s="49" t="s">
        <v>1969</v>
      </c>
      <c r="E265" s="49" t="s">
        <v>1972</v>
      </c>
      <c r="F265" s="49" t="s">
        <v>36</v>
      </c>
      <c r="G265" s="49" t="s">
        <v>49</v>
      </c>
      <c r="H265" s="54" t="s">
        <v>36</v>
      </c>
      <c r="I265" s="54">
        <v>2.0</v>
      </c>
      <c r="J265" s="49">
        <f t="shared" ref="J265:K265" si="531">LEN(SUBSTITUTE(SUBSTITUTE(SUBSTITUTE(B265 ,"ˈ",""),"d̠ʒ","ʒ"),"t̠ʃ","ʃ"))</f>
        <v>3</v>
      </c>
      <c r="K265" s="44">
        <f t="shared" si="531"/>
        <v>3</v>
      </c>
      <c r="L265" s="51">
        <f t="shared" ref="L265:M265" si="532">LEN(D265)-LEN(B265)+1</f>
        <v>1</v>
      </c>
      <c r="M265" s="51">
        <f t="shared" si="532"/>
        <v>2</v>
      </c>
      <c r="N265" s="51">
        <f t="shared" si="5"/>
        <v>0</v>
      </c>
      <c r="O265" s="51" t="str">
        <f t="shared" si="6"/>
        <v>Equal</v>
      </c>
      <c r="P265" s="51">
        <f t="shared" si="7"/>
        <v>-1</v>
      </c>
      <c r="Q265" s="51" t="str">
        <f t="shared" si="8"/>
        <v>Target</v>
      </c>
    </row>
    <row r="266">
      <c r="A266" s="48" t="s">
        <v>14</v>
      </c>
      <c r="B266" s="49" t="s">
        <v>1976</v>
      </c>
      <c r="C266" s="49" t="s">
        <v>1977</v>
      </c>
      <c r="D266" s="49" t="s">
        <v>1978</v>
      </c>
      <c r="E266" s="49" t="s">
        <v>1979</v>
      </c>
      <c r="F266" s="49" t="s">
        <v>549</v>
      </c>
      <c r="G266" s="49" t="s">
        <v>549</v>
      </c>
      <c r="H266" s="54">
        <v>1.0</v>
      </c>
      <c r="I266" s="54">
        <v>1.0</v>
      </c>
      <c r="J266" s="49">
        <f t="shared" ref="J266:K266" si="533">LEN(SUBSTITUTE(SUBSTITUTE(SUBSTITUTE(B266 ,"ˈ",""),"d̠ʒ","ʒ"),"t̠ʃ","ʃ"))</f>
        <v>4</v>
      </c>
      <c r="K266" s="44">
        <f t="shared" si="533"/>
        <v>4</v>
      </c>
      <c r="L266" s="51">
        <f t="shared" ref="L266:M266" si="534">LEN(D266)-LEN(B266)+1</f>
        <v>2</v>
      </c>
      <c r="M266" s="51">
        <f t="shared" si="534"/>
        <v>2</v>
      </c>
      <c r="N266" s="51">
        <f t="shared" si="5"/>
        <v>0</v>
      </c>
      <c r="O266" s="51" t="str">
        <f t="shared" si="6"/>
        <v>Equal</v>
      </c>
      <c r="P266" s="51">
        <f t="shared" si="7"/>
        <v>0</v>
      </c>
      <c r="Q266" s="51" t="str">
        <f t="shared" si="8"/>
        <v>Equal</v>
      </c>
    </row>
    <row r="267">
      <c r="A267" s="48" t="s">
        <v>14</v>
      </c>
      <c r="B267" s="49" t="s">
        <v>1984</v>
      </c>
      <c r="C267" s="49" t="s">
        <v>1985</v>
      </c>
      <c r="D267" s="49" t="s">
        <v>1986</v>
      </c>
      <c r="E267" s="49" t="s">
        <v>1987</v>
      </c>
      <c r="F267" s="49" t="s">
        <v>402</v>
      </c>
      <c r="G267" s="49" t="s">
        <v>402</v>
      </c>
      <c r="H267" s="54">
        <v>2.0</v>
      </c>
      <c r="I267" s="54">
        <v>2.0</v>
      </c>
      <c r="J267" s="49">
        <f t="shared" ref="J267:K267" si="535">LEN(SUBSTITUTE(SUBSTITUTE(SUBSTITUTE(B267 ,"ˈ",""),"d̠ʒ","ʒ"),"t̠ʃ","ʃ"))</f>
        <v>5</v>
      </c>
      <c r="K267" s="44">
        <f t="shared" si="535"/>
        <v>5</v>
      </c>
      <c r="L267" s="51">
        <f t="shared" ref="L267:M267" si="536">LEN(D267)-LEN(B267)+1</f>
        <v>2</v>
      </c>
      <c r="M267" s="51">
        <f t="shared" si="536"/>
        <v>2</v>
      </c>
      <c r="N267" s="51">
        <f t="shared" si="5"/>
        <v>0</v>
      </c>
      <c r="O267" s="51" t="str">
        <f t="shared" si="6"/>
        <v>Equal</v>
      </c>
      <c r="P267" s="51">
        <f t="shared" si="7"/>
        <v>0</v>
      </c>
      <c r="Q267" s="51" t="str">
        <f t="shared" si="8"/>
        <v>Equal</v>
      </c>
    </row>
    <row r="268">
      <c r="A268" s="48" t="s">
        <v>14</v>
      </c>
      <c r="B268" s="49" t="s">
        <v>1990</v>
      </c>
      <c r="C268" s="49" t="s">
        <v>1991</v>
      </c>
      <c r="D268" s="49" t="s">
        <v>1992</v>
      </c>
      <c r="E268" s="49" t="s">
        <v>1993</v>
      </c>
      <c r="F268" s="49" t="s">
        <v>1994</v>
      </c>
      <c r="G268" s="49" t="s">
        <v>437</v>
      </c>
      <c r="H268" s="54">
        <v>1.0</v>
      </c>
      <c r="I268" s="54">
        <v>1.0</v>
      </c>
      <c r="J268" s="49">
        <f t="shared" ref="J268:K268" si="537">LEN(SUBSTITUTE(SUBSTITUTE(SUBSTITUTE(B268 ,"ˈ",""),"d̠ʒ","ʒ"),"t̠ʃ","ʃ"))</f>
        <v>5</v>
      </c>
      <c r="K268" s="44">
        <f t="shared" si="537"/>
        <v>10</v>
      </c>
      <c r="L268" s="51">
        <f t="shared" ref="L268:M268" si="538">LEN(D268)-LEN(B268)+1</f>
        <v>2</v>
      </c>
      <c r="M268" s="51">
        <f t="shared" si="538"/>
        <v>4</v>
      </c>
      <c r="N268" s="51">
        <f t="shared" si="5"/>
        <v>-5</v>
      </c>
      <c r="O268" s="51" t="str">
        <f t="shared" si="6"/>
        <v>Target</v>
      </c>
      <c r="P268" s="51">
        <f t="shared" si="7"/>
        <v>-2</v>
      </c>
      <c r="Q268" s="51" t="str">
        <f t="shared" si="8"/>
        <v>Target</v>
      </c>
    </row>
    <row r="269">
      <c r="A269" s="48" t="s">
        <v>14</v>
      </c>
      <c r="B269" s="49" t="s">
        <v>3684</v>
      </c>
      <c r="C269" s="49" t="s">
        <v>1998</v>
      </c>
      <c r="D269" s="49" t="s">
        <v>3685</v>
      </c>
      <c r="E269" s="49" t="s">
        <v>2000</v>
      </c>
      <c r="F269" s="49" t="s">
        <v>133</v>
      </c>
      <c r="G269" s="49" t="s">
        <v>2004</v>
      </c>
      <c r="H269" s="54">
        <v>4.0</v>
      </c>
      <c r="I269" s="54">
        <v>2.0</v>
      </c>
      <c r="J269" s="49">
        <f t="shared" ref="J269:K269" si="539">LEN(SUBSTITUTE(SUBSTITUTE(SUBSTITUTE(B269 ,"ˈ",""),"d̠ʒ","ʒ"),"t̠ʃ","ʃ"))</f>
        <v>10</v>
      </c>
      <c r="K269" s="44">
        <f t="shared" si="539"/>
        <v>8</v>
      </c>
      <c r="L269" s="51">
        <f t="shared" ref="L269:M269" si="540">LEN(D269)-LEN(B269)+1</f>
        <v>4</v>
      </c>
      <c r="M269" s="51">
        <f t="shared" si="540"/>
        <v>2</v>
      </c>
      <c r="N269" s="51">
        <f t="shared" si="5"/>
        <v>2</v>
      </c>
      <c r="O269" s="51" t="str">
        <f t="shared" si="6"/>
        <v>Source</v>
      </c>
      <c r="P269" s="51">
        <f t="shared" si="7"/>
        <v>2</v>
      </c>
      <c r="Q269" s="51" t="str">
        <f t="shared" si="8"/>
        <v>Source</v>
      </c>
    </row>
    <row r="270">
      <c r="A270" s="48" t="s">
        <v>14</v>
      </c>
      <c r="B270" s="49" t="s">
        <v>2005</v>
      </c>
      <c r="C270" s="48" t="s">
        <v>2005</v>
      </c>
      <c r="D270" s="49" t="s">
        <v>2006</v>
      </c>
      <c r="E270" s="49" t="s">
        <v>2006</v>
      </c>
      <c r="F270" s="49" t="s">
        <v>1032</v>
      </c>
      <c r="G270" s="49" t="s">
        <v>1032</v>
      </c>
      <c r="H270" s="54">
        <v>1.0</v>
      </c>
      <c r="I270" s="54">
        <v>1.0</v>
      </c>
      <c r="J270" s="49">
        <f t="shared" ref="J270:K270" si="541">LEN(SUBSTITUTE(SUBSTITUTE(SUBSTITUTE(B270 ,"ˈ",""),"d̠ʒ","ʒ"),"t̠ʃ","ʃ"))</f>
        <v>4</v>
      </c>
      <c r="K270" s="44">
        <f t="shared" si="541"/>
        <v>4</v>
      </c>
      <c r="L270" s="51">
        <f t="shared" ref="L270:M270" si="542">LEN(D270)-LEN(B270)+1</f>
        <v>2</v>
      </c>
      <c r="M270" s="51">
        <f t="shared" si="542"/>
        <v>2</v>
      </c>
      <c r="N270" s="51">
        <f t="shared" si="5"/>
        <v>0</v>
      </c>
      <c r="O270" s="51" t="str">
        <f t="shared" si="6"/>
        <v>Equal</v>
      </c>
      <c r="P270" s="51">
        <f t="shared" si="7"/>
        <v>0</v>
      </c>
      <c r="Q270" s="51" t="str">
        <f t="shared" si="8"/>
        <v>Equal</v>
      </c>
    </row>
    <row r="271">
      <c r="A271" s="48" t="s">
        <v>14</v>
      </c>
      <c r="B271" s="49" t="s">
        <v>2009</v>
      </c>
      <c r="C271" s="48" t="s">
        <v>2010</v>
      </c>
      <c r="D271" s="49" t="s">
        <v>2011</v>
      </c>
      <c r="E271" s="49" t="s">
        <v>2012</v>
      </c>
      <c r="F271" s="49" t="s">
        <v>1426</v>
      </c>
      <c r="G271" s="49" t="s">
        <v>1426</v>
      </c>
      <c r="H271" s="54">
        <v>3.0</v>
      </c>
      <c r="I271" s="54">
        <v>3.0</v>
      </c>
      <c r="J271" s="49">
        <f t="shared" ref="J271:K271" si="543">LEN(SUBSTITUTE(SUBSTITUTE(SUBSTITUTE(B271 ,"ˈ",""),"d̠ʒ","ʒ"),"t̠ʃ","ʃ"))</f>
        <v>7</v>
      </c>
      <c r="K271" s="44">
        <f t="shared" si="543"/>
        <v>7</v>
      </c>
      <c r="L271" s="51">
        <f t="shared" ref="L271:M271" si="544">LEN(D271)-LEN(B271)+1</f>
        <v>3</v>
      </c>
      <c r="M271" s="51">
        <f t="shared" si="544"/>
        <v>3</v>
      </c>
      <c r="N271" s="51">
        <f t="shared" si="5"/>
        <v>0</v>
      </c>
      <c r="O271" s="51" t="str">
        <f t="shared" si="6"/>
        <v>Equal</v>
      </c>
      <c r="P271" s="51">
        <f t="shared" si="7"/>
        <v>0</v>
      </c>
      <c r="Q271" s="51" t="str">
        <f t="shared" si="8"/>
        <v>Equal</v>
      </c>
    </row>
    <row r="272">
      <c r="A272" s="48" t="s">
        <v>14</v>
      </c>
      <c r="B272" s="49" t="s">
        <v>2016</v>
      </c>
      <c r="C272" s="49" t="s">
        <v>2017</v>
      </c>
      <c r="D272" s="49" t="s">
        <v>2018</v>
      </c>
      <c r="E272" s="49" t="s">
        <v>2019</v>
      </c>
      <c r="F272" s="49" t="s">
        <v>848</v>
      </c>
      <c r="G272" s="49" t="s">
        <v>987</v>
      </c>
      <c r="H272" s="54">
        <v>1.0</v>
      </c>
      <c r="I272" s="54">
        <v>1.0</v>
      </c>
      <c r="J272" s="49">
        <f t="shared" ref="J272:K272" si="545">LEN(SUBSTITUTE(SUBSTITUTE(SUBSTITUTE(B272 ,"ˈ",""),"d̠ʒ","ʒ"),"t̠ʃ","ʃ"))</f>
        <v>8</v>
      </c>
      <c r="K272" s="44">
        <f t="shared" si="545"/>
        <v>9</v>
      </c>
      <c r="L272" s="51">
        <f t="shared" ref="L272:M272" si="546">LEN(D272)-LEN(B272)+1</f>
        <v>3</v>
      </c>
      <c r="M272" s="51">
        <f t="shared" si="546"/>
        <v>5</v>
      </c>
      <c r="N272" s="51">
        <f t="shared" si="5"/>
        <v>-1</v>
      </c>
      <c r="O272" s="51" t="str">
        <f t="shared" si="6"/>
        <v>Target</v>
      </c>
      <c r="P272" s="51">
        <f t="shared" si="7"/>
        <v>-2</v>
      </c>
      <c r="Q272" s="51" t="str">
        <f t="shared" si="8"/>
        <v>Target</v>
      </c>
    </row>
    <row r="273">
      <c r="A273" s="48" t="s">
        <v>14</v>
      </c>
      <c r="B273" s="49" t="s">
        <v>984</v>
      </c>
      <c r="C273" s="49" t="s">
        <v>2025</v>
      </c>
      <c r="D273" s="49" t="s">
        <v>984</v>
      </c>
      <c r="E273" s="49" t="s">
        <v>2026</v>
      </c>
      <c r="F273" s="49" t="s">
        <v>36</v>
      </c>
      <c r="G273" s="49" t="s">
        <v>1137</v>
      </c>
      <c r="H273" s="54" t="s">
        <v>36</v>
      </c>
      <c r="I273" s="54">
        <v>2.0</v>
      </c>
      <c r="J273" s="49">
        <f t="shared" ref="J273:K273" si="547">LEN(SUBSTITUTE(SUBSTITUTE(SUBSTITUTE(B273 ,"ˈ",""),"d̠ʒ","ʒ"),"t̠ʃ","ʃ"))</f>
        <v>2</v>
      </c>
      <c r="K273" s="44">
        <f t="shared" si="547"/>
        <v>4</v>
      </c>
      <c r="L273" s="51">
        <f t="shared" ref="L273:M273" si="548">LEN(D273)-LEN(B273)+1</f>
        <v>1</v>
      </c>
      <c r="M273" s="51">
        <f t="shared" si="548"/>
        <v>2</v>
      </c>
      <c r="N273" s="51">
        <f t="shared" si="5"/>
        <v>-2</v>
      </c>
      <c r="O273" s="51" t="str">
        <f t="shared" si="6"/>
        <v>Target</v>
      </c>
      <c r="P273" s="51">
        <f t="shared" si="7"/>
        <v>-1</v>
      </c>
      <c r="Q273" s="51" t="str">
        <f t="shared" si="8"/>
        <v>Target</v>
      </c>
    </row>
    <row r="274">
      <c r="A274" s="48" t="s">
        <v>14</v>
      </c>
      <c r="B274" s="49" t="s">
        <v>2029</v>
      </c>
      <c r="C274" s="49" t="s">
        <v>2030</v>
      </c>
      <c r="D274" s="49" t="s">
        <v>2031</v>
      </c>
      <c r="E274" s="49" t="s">
        <v>2032</v>
      </c>
      <c r="F274" s="49" t="s">
        <v>128</v>
      </c>
      <c r="G274" s="49" t="s">
        <v>899</v>
      </c>
      <c r="H274" s="54">
        <v>1.0</v>
      </c>
      <c r="I274" s="54">
        <v>1.0</v>
      </c>
      <c r="J274" s="49">
        <f t="shared" ref="J274:K274" si="549">LEN(SUBSTITUTE(SUBSTITUTE(SUBSTITUTE(B274 ,"ˈ",""),"d̠ʒ","ʒ"),"t̠ʃ","ʃ"))</f>
        <v>4</v>
      </c>
      <c r="K274" s="44">
        <f t="shared" si="549"/>
        <v>4</v>
      </c>
      <c r="L274" s="51">
        <f t="shared" ref="L274:M274" si="550">LEN(D274)-LEN(B274)+1</f>
        <v>2</v>
      </c>
      <c r="M274" s="51">
        <f t="shared" si="550"/>
        <v>2</v>
      </c>
      <c r="N274" s="51">
        <f t="shared" si="5"/>
        <v>0</v>
      </c>
      <c r="O274" s="51" t="str">
        <f t="shared" si="6"/>
        <v>Equal</v>
      </c>
      <c r="P274" s="51">
        <f t="shared" si="7"/>
        <v>0</v>
      </c>
      <c r="Q274" s="51" t="str">
        <f t="shared" si="8"/>
        <v>Equal</v>
      </c>
    </row>
    <row r="275">
      <c r="A275" s="48" t="s">
        <v>14</v>
      </c>
      <c r="B275" s="49" t="s">
        <v>2035</v>
      </c>
      <c r="C275" s="49" t="s">
        <v>2036</v>
      </c>
      <c r="D275" s="49" t="s">
        <v>2037</v>
      </c>
      <c r="E275" s="49" t="s">
        <v>2038</v>
      </c>
      <c r="F275" s="49" t="s">
        <v>1982</v>
      </c>
      <c r="G275" s="49" t="s">
        <v>1983</v>
      </c>
      <c r="H275" s="54">
        <v>2.0</v>
      </c>
      <c r="I275" s="54">
        <v>2.0</v>
      </c>
      <c r="J275" s="49">
        <f t="shared" ref="J275:K275" si="551">LEN(SUBSTITUTE(SUBSTITUTE(SUBSTITUTE(B275 ,"ˈ",""),"d̠ʒ","ʒ"),"t̠ʃ","ʃ"))</f>
        <v>3</v>
      </c>
      <c r="K275" s="44">
        <f t="shared" si="551"/>
        <v>3</v>
      </c>
      <c r="L275" s="51">
        <f t="shared" ref="L275:M275" si="552">LEN(D275)-LEN(B275)+1</f>
        <v>2</v>
      </c>
      <c r="M275" s="51">
        <f t="shared" si="552"/>
        <v>2</v>
      </c>
      <c r="N275" s="51">
        <f t="shared" si="5"/>
        <v>0</v>
      </c>
      <c r="O275" s="51" t="str">
        <f t="shared" si="6"/>
        <v>Equal</v>
      </c>
      <c r="P275" s="51">
        <f t="shared" si="7"/>
        <v>0</v>
      </c>
      <c r="Q275" s="51" t="str">
        <f t="shared" si="8"/>
        <v>Equal</v>
      </c>
    </row>
    <row r="276">
      <c r="A276" s="48" t="s">
        <v>14</v>
      </c>
      <c r="B276" s="49" t="s">
        <v>2041</v>
      </c>
      <c r="C276" s="49" t="s">
        <v>2042</v>
      </c>
      <c r="D276" s="49" t="s">
        <v>2043</v>
      </c>
      <c r="E276" s="49" t="s">
        <v>2044</v>
      </c>
      <c r="F276" s="49" t="s">
        <v>976</v>
      </c>
      <c r="G276" s="49" t="s">
        <v>977</v>
      </c>
      <c r="H276" s="54">
        <v>1.0</v>
      </c>
      <c r="I276" s="54">
        <v>1.0</v>
      </c>
      <c r="J276" s="49">
        <f t="shared" ref="J276:K276" si="553">LEN(SUBSTITUTE(SUBSTITUTE(SUBSTITUTE(B276 ,"ˈ",""),"d̠ʒ","ʒ"),"t̠ʃ","ʃ"))</f>
        <v>5</v>
      </c>
      <c r="K276" s="44">
        <f t="shared" si="553"/>
        <v>5</v>
      </c>
      <c r="L276" s="51">
        <f t="shared" ref="L276:M276" si="554">LEN(D276)-LEN(B276)+1</f>
        <v>2</v>
      </c>
      <c r="M276" s="51">
        <f t="shared" si="554"/>
        <v>2</v>
      </c>
      <c r="N276" s="51">
        <f t="shared" si="5"/>
        <v>0</v>
      </c>
      <c r="O276" s="51" t="str">
        <f t="shared" si="6"/>
        <v>Equal</v>
      </c>
      <c r="P276" s="51">
        <f t="shared" si="7"/>
        <v>0</v>
      </c>
      <c r="Q276" s="51" t="str">
        <f t="shared" si="8"/>
        <v>Equal</v>
      </c>
    </row>
    <row r="277">
      <c r="A277" s="48" t="s">
        <v>14</v>
      </c>
      <c r="B277" s="49" t="s">
        <v>2047</v>
      </c>
      <c r="C277" s="49" t="s">
        <v>2048</v>
      </c>
      <c r="D277" s="49" t="s">
        <v>2049</v>
      </c>
      <c r="E277" s="49" t="s">
        <v>2050</v>
      </c>
      <c r="F277" s="49" t="s">
        <v>143</v>
      </c>
      <c r="G277" s="49" t="s">
        <v>143</v>
      </c>
      <c r="H277" s="54">
        <v>2.0</v>
      </c>
      <c r="I277" s="54">
        <v>2.0</v>
      </c>
      <c r="J277" s="49">
        <f t="shared" ref="J277:K277" si="555">LEN(SUBSTITUTE(SUBSTITUTE(SUBSTITUTE(B277 ,"ˈ",""),"d̠ʒ","ʒ"),"t̠ʃ","ʃ"))</f>
        <v>5</v>
      </c>
      <c r="K277" s="44">
        <f t="shared" si="555"/>
        <v>5</v>
      </c>
      <c r="L277" s="51">
        <f t="shared" ref="L277:M277" si="556">LEN(D277)-LEN(B277)+1</f>
        <v>2</v>
      </c>
      <c r="M277" s="51">
        <f t="shared" si="556"/>
        <v>2</v>
      </c>
      <c r="N277" s="51">
        <f t="shared" si="5"/>
        <v>0</v>
      </c>
      <c r="O277" s="51" t="str">
        <f t="shared" si="6"/>
        <v>Equal</v>
      </c>
      <c r="P277" s="51">
        <f t="shared" si="7"/>
        <v>0</v>
      </c>
      <c r="Q277" s="51" t="str">
        <f t="shared" si="8"/>
        <v>Equal</v>
      </c>
    </row>
    <row r="278">
      <c r="A278" s="48" t="s">
        <v>14</v>
      </c>
      <c r="B278" s="49" t="s">
        <v>2055</v>
      </c>
      <c r="C278" s="49" t="s">
        <v>2056</v>
      </c>
      <c r="D278" s="49" t="s">
        <v>2057</v>
      </c>
      <c r="E278" s="49" t="s">
        <v>2058</v>
      </c>
      <c r="F278" s="49" t="s">
        <v>30</v>
      </c>
      <c r="G278" s="49" t="s">
        <v>49</v>
      </c>
      <c r="H278" s="54">
        <v>1.0</v>
      </c>
      <c r="I278" s="54">
        <v>1.0</v>
      </c>
      <c r="J278" s="49">
        <f t="shared" ref="J278:K278" si="557">LEN(SUBSTITUTE(SUBSTITUTE(SUBSTITUTE(B278 ,"ˈ",""),"d̠ʒ","ʒ"),"t̠ʃ","ʃ"))</f>
        <v>4</v>
      </c>
      <c r="K278" s="44">
        <f t="shared" si="557"/>
        <v>5</v>
      </c>
      <c r="L278" s="51">
        <f t="shared" ref="L278:M278" si="558">LEN(D278)-LEN(B278)+1</f>
        <v>2</v>
      </c>
      <c r="M278" s="51">
        <f t="shared" si="558"/>
        <v>3</v>
      </c>
      <c r="N278" s="51">
        <f t="shared" si="5"/>
        <v>-1</v>
      </c>
      <c r="O278" s="51" t="str">
        <f t="shared" si="6"/>
        <v>Target</v>
      </c>
      <c r="P278" s="51">
        <f t="shared" si="7"/>
        <v>-1</v>
      </c>
      <c r="Q278" s="51" t="str">
        <f t="shared" si="8"/>
        <v>Target</v>
      </c>
    </row>
    <row r="279">
      <c r="A279" s="48" t="s">
        <v>14</v>
      </c>
      <c r="B279" s="49" t="s">
        <v>2062</v>
      </c>
      <c r="C279" s="52" t="s">
        <v>3686</v>
      </c>
      <c r="D279" s="49" t="s">
        <v>2064</v>
      </c>
      <c r="E279" s="49" t="s">
        <v>3687</v>
      </c>
      <c r="F279" s="49" t="s">
        <v>425</v>
      </c>
      <c r="G279" s="49" t="s">
        <v>3688</v>
      </c>
      <c r="H279" s="54">
        <v>3.0</v>
      </c>
      <c r="I279" s="54">
        <v>4.0</v>
      </c>
      <c r="J279" s="49">
        <f t="shared" ref="J279:K279" si="559">LEN(SUBSTITUTE(SUBSTITUTE(SUBSTITUTE(B279 ,"ˈ",""),"d̠ʒ","ʒ"),"t̠ʃ","ʃ"))</f>
        <v>5</v>
      </c>
      <c r="K279" s="44">
        <f t="shared" si="559"/>
        <v>9</v>
      </c>
      <c r="L279" s="51">
        <f t="shared" ref="L279:M279" si="560">LEN(D279)-LEN(B279)+1</f>
        <v>3</v>
      </c>
      <c r="M279" s="51">
        <f t="shared" si="560"/>
        <v>3</v>
      </c>
      <c r="N279" s="51">
        <f t="shared" si="5"/>
        <v>-4</v>
      </c>
      <c r="O279" s="51" t="str">
        <f t="shared" si="6"/>
        <v>Target</v>
      </c>
      <c r="P279" s="51">
        <f t="shared" si="7"/>
        <v>0</v>
      </c>
      <c r="Q279" s="51" t="str">
        <f t="shared" si="8"/>
        <v>Equal</v>
      </c>
    </row>
    <row r="280">
      <c r="A280" s="48" t="s">
        <v>14</v>
      </c>
      <c r="B280" s="49" t="s">
        <v>2068</v>
      </c>
      <c r="C280" s="49" t="s">
        <v>2069</v>
      </c>
      <c r="D280" s="49" t="s">
        <v>2070</v>
      </c>
      <c r="E280" s="49" t="s">
        <v>2071</v>
      </c>
      <c r="F280" s="49" t="s">
        <v>128</v>
      </c>
      <c r="G280" s="49" t="s">
        <v>1248</v>
      </c>
      <c r="H280" s="54">
        <v>1.0</v>
      </c>
      <c r="I280" s="54">
        <v>1.0</v>
      </c>
      <c r="J280" s="49">
        <f t="shared" ref="J280:K280" si="561">LEN(SUBSTITUTE(SUBSTITUTE(SUBSTITUTE(B280 ,"ˈ",""),"d̠ʒ","ʒ"),"t̠ʃ","ʃ"))</f>
        <v>4</v>
      </c>
      <c r="K280" s="44">
        <f t="shared" si="561"/>
        <v>4</v>
      </c>
      <c r="L280" s="51">
        <f t="shared" ref="L280:M280" si="562">LEN(D280)-LEN(B280)+1</f>
        <v>2</v>
      </c>
      <c r="M280" s="51">
        <f t="shared" si="562"/>
        <v>2</v>
      </c>
      <c r="N280" s="51">
        <f t="shared" si="5"/>
        <v>0</v>
      </c>
      <c r="O280" s="51" t="str">
        <f t="shared" si="6"/>
        <v>Equal</v>
      </c>
      <c r="P280" s="51">
        <f t="shared" si="7"/>
        <v>0</v>
      </c>
      <c r="Q280" s="51" t="str">
        <f t="shared" si="8"/>
        <v>Equal</v>
      </c>
    </row>
    <row r="281">
      <c r="A281" s="48" t="s">
        <v>14</v>
      </c>
      <c r="B281" s="49" t="s">
        <v>2075</v>
      </c>
      <c r="C281" s="49" t="s">
        <v>2076</v>
      </c>
      <c r="D281" s="49" t="s">
        <v>2077</v>
      </c>
      <c r="E281" s="49" t="s">
        <v>2078</v>
      </c>
      <c r="F281" s="49" t="s">
        <v>369</v>
      </c>
      <c r="G281" s="49" t="s">
        <v>36</v>
      </c>
      <c r="H281" s="54">
        <v>2.0</v>
      </c>
      <c r="I281" s="54" t="s">
        <v>36</v>
      </c>
      <c r="J281" s="49">
        <f t="shared" ref="J281:K281" si="563">LEN(SUBSTITUTE(SUBSTITUTE(SUBSTITUTE(B281 ,"ˈ",""),"d̠ʒ","ʒ"),"t̠ʃ","ʃ"))</f>
        <v>5</v>
      </c>
      <c r="K281" s="44">
        <f t="shared" si="563"/>
        <v>5</v>
      </c>
      <c r="L281" s="51">
        <f t="shared" ref="L281:M281" si="564">LEN(D281)-LEN(B281)+1</f>
        <v>3</v>
      </c>
      <c r="M281" s="51">
        <f t="shared" si="564"/>
        <v>2</v>
      </c>
      <c r="N281" s="51">
        <f t="shared" si="5"/>
        <v>0</v>
      </c>
      <c r="O281" s="51" t="str">
        <f t="shared" si="6"/>
        <v>Equal</v>
      </c>
      <c r="P281" s="51">
        <f t="shared" si="7"/>
        <v>1</v>
      </c>
      <c r="Q281" s="51" t="str">
        <f t="shared" si="8"/>
        <v>Source</v>
      </c>
    </row>
    <row r="282">
      <c r="A282" s="48" t="s">
        <v>14</v>
      </c>
      <c r="B282" s="49" t="s">
        <v>2081</v>
      </c>
      <c r="C282" s="49" t="s">
        <v>2082</v>
      </c>
      <c r="D282" s="49" t="s">
        <v>2081</v>
      </c>
      <c r="E282" s="49" t="s">
        <v>2083</v>
      </c>
      <c r="F282" s="49" t="s">
        <v>2081</v>
      </c>
      <c r="G282" s="49" t="s">
        <v>2084</v>
      </c>
      <c r="H282" s="54">
        <v>1.0</v>
      </c>
      <c r="I282" s="54">
        <v>1.0</v>
      </c>
      <c r="J282" s="49">
        <f t="shared" ref="J282:K282" si="565">LEN(SUBSTITUTE(SUBSTITUTE(SUBSTITUTE(B282 ,"ˈ",""),"d̠ʒ","ʒ"),"t̠ʃ","ʃ"))</f>
        <v>3</v>
      </c>
      <c r="K282" s="44">
        <f t="shared" si="565"/>
        <v>4</v>
      </c>
      <c r="L282" s="51">
        <f t="shared" ref="L282:M282" si="566">LEN(D282)-LEN(B282)+1</f>
        <v>1</v>
      </c>
      <c r="M282" s="51">
        <f t="shared" si="566"/>
        <v>2</v>
      </c>
      <c r="N282" s="51">
        <f t="shared" si="5"/>
        <v>-1</v>
      </c>
      <c r="O282" s="51" t="str">
        <f t="shared" si="6"/>
        <v>Target</v>
      </c>
      <c r="P282" s="51">
        <f t="shared" si="7"/>
        <v>-1</v>
      </c>
      <c r="Q282" s="51" t="str">
        <f t="shared" si="8"/>
        <v>Target</v>
      </c>
    </row>
    <row r="283">
      <c r="A283" s="48" t="s">
        <v>14</v>
      </c>
      <c r="B283" s="49" t="s">
        <v>2087</v>
      </c>
      <c r="C283" s="49" t="s">
        <v>2088</v>
      </c>
      <c r="D283" s="49" t="s">
        <v>2089</v>
      </c>
      <c r="E283" s="49" t="s">
        <v>2090</v>
      </c>
      <c r="F283" s="49" t="s">
        <v>839</v>
      </c>
      <c r="G283" s="49" t="s">
        <v>1211</v>
      </c>
      <c r="H283" s="54">
        <v>3.0</v>
      </c>
      <c r="I283" s="54">
        <v>2.0</v>
      </c>
      <c r="J283" s="49">
        <f t="shared" ref="J283:K283" si="567">LEN(SUBSTITUTE(SUBSTITUTE(SUBSTITUTE(B283 ,"ˈ",""),"d̠ʒ","ʒ"),"t̠ʃ","ʃ"))</f>
        <v>5</v>
      </c>
      <c r="K283" s="44">
        <f t="shared" si="567"/>
        <v>5</v>
      </c>
      <c r="L283" s="51">
        <f t="shared" ref="L283:M283" si="568">LEN(D283)-LEN(B283)+1</f>
        <v>3</v>
      </c>
      <c r="M283" s="51">
        <f t="shared" si="568"/>
        <v>2</v>
      </c>
      <c r="N283" s="51">
        <f t="shared" si="5"/>
        <v>0</v>
      </c>
      <c r="O283" s="51" t="str">
        <f t="shared" si="6"/>
        <v>Equal</v>
      </c>
      <c r="P283" s="51">
        <f t="shared" si="7"/>
        <v>1</v>
      </c>
      <c r="Q283" s="51" t="str">
        <f t="shared" si="8"/>
        <v>Source</v>
      </c>
    </row>
    <row r="284">
      <c r="A284" s="48" t="s">
        <v>14</v>
      </c>
      <c r="B284" s="49" t="s">
        <v>2092</v>
      </c>
      <c r="C284" s="49" t="s">
        <v>2093</v>
      </c>
      <c r="D284" s="49" t="s">
        <v>2092</v>
      </c>
      <c r="E284" s="49" t="s">
        <v>2095</v>
      </c>
      <c r="F284" s="49" t="s">
        <v>2092</v>
      </c>
      <c r="G284" s="49" t="s">
        <v>845</v>
      </c>
      <c r="H284" s="54">
        <v>1.0</v>
      </c>
      <c r="I284" s="54">
        <v>1.0</v>
      </c>
      <c r="J284" s="49">
        <f t="shared" ref="J284:K284" si="569">LEN(SUBSTITUTE(SUBSTITUTE(SUBSTITUTE(B284 ,"ˈ",""),"d̠ʒ","ʒ"),"t̠ʃ","ʃ"))</f>
        <v>2</v>
      </c>
      <c r="K284" s="44">
        <f t="shared" si="569"/>
        <v>3</v>
      </c>
      <c r="L284" s="51">
        <f t="shared" ref="L284:M284" si="570">LEN(D284)-LEN(B284)+1</f>
        <v>1</v>
      </c>
      <c r="M284" s="51">
        <f t="shared" si="570"/>
        <v>2</v>
      </c>
      <c r="N284" s="51">
        <f t="shared" si="5"/>
        <v>-1</v>
      </c>
      <c r="O284" s="51" t="str">
        <f t="shared" si="6"/>
        <v>Target</v>
      </c>
      <c r="P284" s="51">
        <f t="shared" si="7"/>
        <v>-1</v>
      </c>
      <c r="Q284" s="51" t="str">
        <f t="shared" si="8"/>
        <v>Target</v>
      </c>
    </row>
    <row r="285">
      <c r="A285" s="48" t="s">
        <v>14</v>
      </c>
      <c r="B285" s="49" t="s">
        <v>2099</v>
      </c>
      <c r="C285" s="49" t="s">
        <v>2100</v>
      </c>
      <c r="D285" s="49" t="s">
        <v>2101</v>
      </c>
      <c r="E285" s="49" t="s">
        <v>2102</v>
      </c>
      <c r="F285" s="49" t="s">
        <v>2105</v>
      </c>
      <c r="G285" s="49" t="s">
        <v>2106</v>
      </c>
      <c r="H285" s="54">
        <v>2.0</v>
      </c>
      <c r="I285" s="54">
        <v>2.0</v>
      </c>
      <c r="J285" s="49">
        <f t="shared" ref="J285:K285" si="571">LEN(SUBSTITUTE(SUBSTITUTE(SUBSTITUTE(B285 ,"ˈ",""),"d̠ʒ","ʒ"),"t̠ʃ","ʃ"))</f>
        <v>4</v>
      </c>
      <c r="K285" s="44">
        <f t="shared" si="571"/>
        <v>5</v>
      </c>
      <c r="L285" s="51">
        <f t="shared" ref="L285:M285" si="572">LEN(D285)-LEN(B285)+1</f>
        <v>2</v>
      </c>
      <c r="M285" s="51">
        <f t="shared" si="572"/>
        <v>2</v>
      </c>
      <c r="N285" s="51">
        <f t="shared" si="5"/>
        <v>-1</v>
      </c>
      <c r="O285" s="51" t="str">
        <f t="shared" si="6"/>
        <v>Target</v>
      </c>
      <c r="P285" s="51">
        <f t="shared" si="7"/>
        <v>0</v>
      </c>
      <c r="Q285" s="51" t="str">
        <f t="shared" si="8"/>
        <v>Equal</v>
      </c>
    </row>
    <row r="286">
      <c r="A286" s="48" t="s">
        <v>14</v>
      </c>
      <c r="B286" s="49" t="s">
        <v>2107</v>
      </c>
      <c r="C286" s="49" t="s">
        <v>2108</v>
      </c>
      <c r="D286" s="49" t="s">
        <v>2109</v>
      </c>
      <c r="E286" s="49" t="s">
        <v>2110</v>
      </c>
      <c r="F286" s="49" t="s">
        <v>287</v>
      </c>
      <c r="G286" s="49" t="s">
        <v>263</v>
      </c>
      <c r="H286" s="54">
        <v>1.0</v>
      </c>
      <c r="I286" s="54">
        <v>1.0</v>
      </c>
      <c r="J286" s="49">
        <f t="shared" ref="J286:K286" si="573">LEN(SUBSTITUTE(SUBSTITUTE(SUBSTITUTE(B286 ,"ˈ",""),"d̠ʒ","ʒ"),"t̠ʃ","ʃ"))</f>
        <v>3</v>
      </c>
      <c r="K286" s="44">
        <f t="shared" si="573"/>
        <v>8</v>
      </c>
      <c r="L286" s="51">
        <f t="shared" ref="L286:M286" si="574">LEN(D286)-LEN(B286)+1</f>
        <v>2</v>
      </c>
      <c r="M286" s="51">
        <f t="shared" si="574"/>
        <v>2</v>
      </c>
      <c r="N286" s="51">
        <f t="shared" si="5"/>
        <v>-5</v>
      </c>
      <c r="O286" s="51" t="str">
        <f t="shared" si="6"/>
        <v>Target</v>
      </c>
      <c r="P286" s="51">
        <f t="shared" si="7"/>
        <v>0</v>
      </c>
      <c r="Q286" s="51" t="str">
        <f t="shared" si="8"/>
        <v>Equal</v>
      </c>
    </row>
    <row r="287">
      <c r="A287" s="48" t="s">
        <v>14</v>
      </c>
      <c r="B287" s="49" t="s">
        <v>2113</v>
      </c>
      <c r="C287" s="49" t="s">
        <v>2114</v>
      </c>
      <c r="D287" s="49" t="s">
        <v>2115</v>
      </c>
      <c r="E287" s="49" t="s">
        <v>2116</v>
      </c>
      <c r="F287" s="49" t="s">
        <v>1737</v>
      </c>
      <c r="G287" s="49" t="s">
        <v>98</v>
      </c>
      <c r="H287" s="54">
        <v>2.0</v>
      </c>
      <c r="I287" s="54">
        <v>4.0</v>
      </c>
      <c r="J287" s="49">
        <f t="shared" ref="J287:K287" si="575">LEN(SUBSTITUTE(SUBSTITUTE(SUBSTITUTE(B287 ,"ˈ",""),"d̠ʒ","ʒ"),"t̠ʃ","ʃ"))</f>
        <v>7</v>
      </c>
      <c r="K287" s="44">
        <f t="shared" si="575"/>
        <v>9</v>
      </c>
      <c r="L287" s="51">
        <f t="shared" ref="L287:M287" si="576">LEN(D287)-LEN(B287)+1</f>
        <v>2</v>
      </c>
      <c r="M287" s="51">
        <f t="shared" si="576"/>
        <v>4</v>
      </c>
      <c r="N287" s="51">
        <f t="shared" si="5"/>
        <v>-2</v>
      </c>
      <c r="O287" s="51" t="str">
        <f t="shared" si="6"/>
        <v>Target</v>
      </c>
      <c r="P287" s="51">
        <f t="shared" si="7"/>
        <v>-2</v>
      </c>
      <c r="Q287" s="51" t="str">
        <f t="shared" si="8"/>
        <v>Target</v>
      </c>
    </row>
    <row r="288">
      <c r="A288" s="48" t="s">
        <v>14</v>
      </c>
      <c r="B288" s="49" t="s">
        <v>2119</v>
      </c>
      <c r="C288" s="49" t="s">
        <v>2120</v>
      </c>
      <c r="D288" s="49" t="s">
        <v>2121</v>
      </c>
      <c r="E288" s="49" t="s">
        <v>2122</v>
      </c>
      <c r="F288" s="49" t="s">
        <v>2123</v>
      </c>
      <c r="G288" s="49" t="s">
        <v>2124</v>
      </c>
      <c r="H288" s="54">
        <v>1.0</v>
      </c>
      <c r="I288" s="54">
        <v>1.0</v>
      </c>
      <c r="J288" s="49">
        <f t="shared" ref="J288:K288" si="577">LEN(SUBSTITUTE(SUBSTITUTE(SUBSTITUTE(B288 ,"ˈ",""),"d̠ʒ","ʒ"),"t̠ʃ","ʃ"))</f>
        <v>4</v>
      </c>
      <c r="K288" s="44">
        <f t="shared" si="577"/>
        <v>7</v>
      </c>
      <c r="L288" s="51">
        <f t="shared" ref="L288:M288" si="578">LEN(D288)-LEN(B288)+1</f>
        <v>2</v>
      </c>
      <c r="M288" s="51">
        <f t="shared" si="578"/>
        <v>2</v>
      </c>
      <c r="N288" s="51">
        <f t="shared" si="5"/>
        <v>-3</v>
      </c>
      <c r="O288" s="51" t="str">
        <f t="shared" si="6"/>
        <v>Target</v>
      </c>
      <c r="P288" s="51">
        <f t="shared" si="7"/>
        <v>0</v>
      </c>
      <c r="Q288" s="51" t="str">
        <f t="shared" si="8"/>
        <v>Equal</v>
      </c>
    </row>
    <row r="289">
      <c r="A289" s="48" t="s">
        <v>14</v>
      </c>
      <c r="B289" s="49" t="s">
        <v>2128</v>
      </c>
      <c r="C289" s="49" t="s">
        <v>2129</v>
      </c>
      <c r="D289" s="49" t="s">
        <v>2130</v>
      </c>
      <c r="E289" s="49" t="s">
        <v>2131</v>
      </c>
      <c r="F289" s="49" t="s">
        <v>2136</v>
      </c>
      <c r="G289" s="49" t="s">
        <v>49</v>
      </c>
      <c r="H289" s="54">
        <v>2.0</v>
      </c>
      <c r="I289" s="54">
        <v>2.0</v>
      </c>
      <c r="J289" s="49">
        <f t="shared" ref="J289:K289" si="579">LEN(SUBSTITUTE(SUBSTITUTE(SUBSTITUTE(B289 ,"ˈ",""),"d̠ʒ","ʒ"),"t̠ʃ","ʃ"))</f>
        <v>4</v>
      </c>
      <c r="K289" s="44">
        <f t="shared" si="579"/>
        <v>3</v>
      </c>
      <c r="L289" s="51">
        <f t="shared" ref="L289:M289" si="580">LEN(D289)-LEN(B289)+1</f>
        <v>2</v>
      </c>
      <c r="M289" s="51">
        <f t="shared" si="580"/>
        <v>2</v>
      </c>
      <c r="N289" s="51">
        <f t="shared" si="5"/>
        <v>1</v>
      </c>
      <c r="O289" s="51" t="str">
        <f t="shared" si="6"/>
        <v>Source</v>
      </c>
      <c r="P289" s="51">
        <f t="shared" si="7"/>
        <v>0</v>
      </c>
      <c r="Q289" s="51" t="str">
        <f t="shared" si="8"/>
        <v>Equal</v>
      </c>
    </row>
    <row r="290">
      <c r="A290" s="48" t="s">
        <v>14</v>
      </c>
      <c r="B290" s="49" t="s">
        <v>2137</v>
      </c>
      <c r="C290" s="49" t="s">
        <v>2138</v>
      </c>
      <c r="D290" s="49" t="s">
        <v>2139</v>
      </c>
      <c r="E290" s="49" t="s">
        <v>2140</v>
      </c>
      <c r="F290" s="49" t="s">
        <v>287</v>
      </c>
      <c r="G290" s="49" t="s">
        <v>2141</v>
      </c>
      <c r="H290" s="54">
        <v>1.0</v>
      </c>
      <c r="I290" s="54">
        <v>1.0</v>
      </c>
      <c r="J290" s="49">
        <f t="shared" ref="J290:K290" si="581">LEN(SUBSTITUTE(SUBSTITUTE(SUBSTITUTE(B290 ,"ˈ",""),"d̠ʒ","ʒ"),"t̠ʃ","ʃ"))</f>
        <v>4</v>
      </c>
      <c r="K290" s="44">
        <f t="shared" si="581"/>
        <v>4</v>
      </c>
      <c r="L290" s="51">
        <f t="shared" ref="L290:M290" si="582">LEN(D290)-LEN(B290)+1</f>
        <v>2</v>
      </c>
      <c r="M290" s="51">
        <f t="shared" si="582"/>
        <v>2</v>
      </c>
      <c r="N290" s="51">
        <f t="shared" si="5"/>
        <v>0</v>
      </c>
      <c r="O290" s="51" t="str">
        <f t="shared" si="6"/>
        <v>Equal</v>
      </c>
      <c r="P290" s="51">
        <f t="shared" si="7"/>
        <v>0</v>
      </c>
      <c r="Q290" s="51" t="str">
        <f t="shared" si="8"/>
        <v>Equal</v>
      </c>
    </row>
    <row r="291">
      <c r="A291" s="48" t="s">
        <v>14</v>
      </c>
      <c r="B291" s="49" t="s">
        <v>2144</v>
      </c>
      <c r="C291" s="49" t="s">
        <v>1211</v>
      </c>
      <c r="D291" s="49" t="s">
        <v>2145</v>
      </c>
      <c r="E291" s="49" t="s">
        <v>1211</v>
      </c>
      <c r="F291" s="49" t="s">
        <v>661</v>
      </c>
      <c r="G291" s="49" t="s">
        <v>36</v>
      </c>
      <c r="H291" s="54">
        <v>2.0</v>
      </c>
      <c r="I291" s="54" t="s">
        <v>36</v>
      </c>
      <c r="J291" s="49">
        <f t="shared" ref="J291:K291" si="583">LEN(SUBSTITUTE(SUBSTITUTE(SUBSTITUTE(B291 ,"ˈ",""),"d̠ʒ","ʒ"),"t̠ʃ","ʃ"))</f>
        <v>4</v>
      </c>
      <c r="K291" s="44">
        <f t="shared" si="583"/>
        <v>3</v>
      </c>
      <c r="L291" s="51">
        <f t="shared" ref="L291:M291" si="584">LEN(D291)-LEN(B291)+1</f>
        <v>2</v>
      </c>
      <c r="M291" s="51">
        <f t="shared" si="584"/>
        <v>1</v>
      </c>
      <c r="N291" s="51">
        <f t="shared" si="5"/>
        <v>1</v>
      </c>
      <c r="O291" s="51" t="str">
        <f t="shared" si="6"/>
        <v>Source</v>
      </c>
      <c r="P291" s="51">
        <f t="shared" si="7"/>
        <v>1</v>
      </c>
      <c r="Q291" s="51" t="str">
        <f t="shared" si="8"/>
        <v>Source</v>
      </c>
    </row>
    <row r="292">
      <c r="A292" s="48" t="s">
        <v>14</v>
      </c>
      <c r="B292" s="49" t="s">
        <v>2148</v>
      </c>
      <c r="C292" s="49" t="s">
        <v>2149</v>
      </c>
      <c r="D292" s="49" t="s">
        <v>2150</v>
      </c>
      <c r="E292" s="49" t="s">
        <v>2149</v>
      </c>
      <c r="F292" s="49" t="s">
        <v>471</v>
      </c>
      <c r="G292" s="49" t="s">
        <v>2149</v>
      </c>
      <c r="H292" s="54">
        <v>1.0</v>
      </c>
      <c r="I292" s="54">
        <v>1.0</v>
      </c>
      <c r="J292" s="49">
        <f t="shared" ref="J292:K292" si="585">LEN(SUBSTITUTE(SUBSTITUTE(SUBSTITUTE(B292 ,"ˈ",""),"d̠ʒ","ʒ"),"t̠ʃ","ʃ"))</f>
        <v>3</v>
      </c>
      <c r="K292" s="44">
        <f t="shared" si="585"/>
        <v>2</v>
      </c>
      <c r="L292" s="51">
        <f t="shared" ref="L292:M292" si="586">LEN(D292)-LEN(B292)+1</f>
        <v>2</v>
      </c>
      <c r="M292" s="51">
        <f t="shared" si="586"/>
        <v>1</v>
      </c>
      <c r="N292" s="51">
        <f t="shared" si="5"/>
        <v>1</v>
      </c>
      <c r="O292" s="51" t="str">
        <f t="shared" si="6"/>
        <v>Source</v>
      </c>
      <c r="P292" s="51">
        <f t="shared" si="7"/>
        <v>1</v>
      </c>
      <c r="Q292" s="51" t="str">
        <f t="shared" si="8"/>
        <v>Source</v>
      </c>
    </row>
    <row r="293">
      <c r="A293" s="48" t="s">
        <v>14</v>
      </c>
      <c r="B293" s="49" t="s">
        <v>2153</v>
      </c>
      <c r="C293" s="49" t="s">
        <v>2154</v>
      </c>
      <c r="D293" s="49" t="s">
        <v>2155</v>
      </c>
      <c r="E293" s="49" t="s">
        <v>2156</v>
      </c>
      <c r="F293" s="49" t="s">
        <v>2159</v>
      </c>
      <c r="G293" s="49" t="s">
        <v>128</v>
      </c>
      <c r="H293" s="54">
        <v>2.0</v>
      </c>
      <c r="I293" s="54">
        <v>2.0</v>
      </c>
      <c r="J293" s="49">
        <f t="shared" ref="J293:K293" si="587">LEN(SUBSTITUTE(SUBSTITUTE(SUBSTITUTE(B293 ,"ˈ",""),"d̠ʒ","ʒ"),"t̠ʃ","ʃ"))</f>
        <v>4</v>
      </c>
      <c r="K293" s="44">
        <f t="shared" si="587"/>
        <v>3</v>
      </c>
      <c r="L293" s="51">
        <f t="shared" ref="L293:M293" si="588">LEN(D293)-LEN(B293)+1</f>
        <v>2</v>
      </c>
      <c r="M293" s="51">
        <f t="shared" si="588"/>
        <v>2</v>
      </c>
      <c r="N293" s="51">
        <f t="shared" si="5"/>
        <v>1</v>
      </c>
      <c r="O293" s="51" t="str">
        <f t="shared" si="6"/>
        <v>Source</v>
      </c>
      <c r="P293" s="51">
        <f t="shared" si="7"/>
        <v>0</v>
      </c>
      <c r="Q293" s="51" t="str">
        <f t="shared" si="8"/>
        <v>Equal</v>
      </c>
    </row>
    <row r="294">
      <c r="A294" s="48" t="s">
        <v>14</v>
      </c>
      <c r="B294" s="49" t="s">
        <v>2160</v>
      </c>
      <c r="C294" s="49" t="s">
        <v>2161</v>
      </c>
      <c r="D294" s="49" t="s">
        <v>2162</v>
      </c>
      <c r="E294" s="49" t="s">
        <v>2161</v>
      </c>
      <c r="F294" s="49" t="s">
        <v>471</v>
      </c>
      <c r="G294" s="49" t="s">
        <v>2161</v>
      </c>
      <c r="H294" s="54">
        <v>1.0</v>
      </c>
      <c r="I294" s="54">
        <v>1.0</v>
      </c>
      <c r="J294" s="49">
        <f t="shared" ref="J294:K294" si="589">LEN(SUBSTITUTE(SUBSTITUTE(SUBSTITUTE(B294 ,"ˈ",""),"d̠ʒ","ʒ"),"t̠ʃ","ʃ"))</f>
        <v>3</v>
      </c>
      <c r="K294" s="44">
        <f t="shared" si="589"/>
        <v>3</v>
      </c>
      <c r="L294" s="51">
        <f t="shared" ref="L294:M294" si="590">LEN(D294)-LEN(B294)+1</f>
        <v>2</v>
      </c>
      <c r="M294" s="51">
        <f t="shared" si="590"/>
        <v>1</v>
      </c>
      <c r="N294" s="51">
        <f t="shared" si="5"/>
        <v>0</v>
      </c>
      <c r="O294" s="51" t="str">
        <f t="shared" si="6"/>
        <v>Equal</v>
      </c>
      <c r="P294" s="51">
        <f t="shared" si="7"/>
        <v>1</v>
      </c>
      <c r="Q294" s="51" t="str">
        <f t="shared" si="8"/>
        <v>Source</v>
      </c>
    </row>
    <row r="295">
      <c r="A295" s="48" t="s">
        <v>14</v>
      </c>
      <c r="B295" s="49" t="s">
        <v>2165</v>
      </c>
      <c r="C295" s="49" t="s">
        <v>2166</v>
      </c>
      <c r="D295" s="49" t="s">
        <v>2167</v>
      </c>
      <c r="E295" s="49" t="s">
        <v>2168</v>
      </c>
      <c r="F295" s="49" t="s">
        <v>425</v>
      </c>
      <c r="G295" s="49" t="s">
        <v>425</v>
      </c>
      <c r="H295" s="54">
        <v>3.0</v>
      </c>
      <c r="I295" s="54">
        <v>2.0</v>
      </c>
      <c r="J295" s="49">
        <f t="shared" ref="J295:K295" si="591">LEN(SUBSTITUTE(SUBSTITUTE(SUBSTITUTE(B295 ,"ˈ",""),"d̠ʒ","ʒ"),"t̠ʃ","ʃ"))</f>
        <v>5</v>
      </c>
      <c r="K295" s="44">
        <f t="shared" si="591"/>
        <v>4</v>
      </c>
      <c r="L295" s="51">
        <f t="shared" ref="L295:M295" si="592">LEN(D295)-LEN(B295)+1</f>
        <v>3</v>
      </c>
      <c r="M295" s="51">
        <f t="shared" si="592"/>
        <v>2</v>
      </c>
      <c r="N295" s="51">
        <f t="shared" si="5"/>
        <v>1</v>
      </c>
      <c r="O295" s="51" t="str">
        <f t="shared" si="6"/>
        <v>Source</v>
      </c>
      <c r="P295" s="51">
        <f t="shared" si="7"/>
        <v>1</v>
      </c>
      <c r="Q295" s="51" t="str">
        <f t="shared" si="8"/>
        <v>Source</v>
      </c>
    </row>
    <row r="296">
      <c r="A296" s="48" t="s">
        <v>14</v>
      </c>
      <c r="B296" s="49" t="s">
        <v>2171</v>
      </c>
      <c r="C296" s="49" t="s">
        <v>2172</v>
      </c>
      <c r="D296" s="49" t="s">
        <v>2173</v>
      </c>
      <c r="E296" s="49" t="s">
        <v>2174</v>
      </c>
      <c r="F296" s="49" t="s">
        <v>2175</v>
      </c>
      <c r="G296" s="49" t="s">
        <v>2176</v>
      </c>
      <c r="H296" s="54">
        <v>1.0</v>
      </c>
      <c r="I296" s="54">
        <v>1.0</v>
      </c>
      <c r="J296" s="49">
        <f t="shared" ref="J296:K296" si="593">LEN(SUBSTITUTE(SUBSTITUTE(SUBSTITUTE(B296 ,"ˈ",""),"d̠ʒ","ʒ"),"t̠ʃ","ʃ"))</f>
        <v>5</v>
      </c>
      <c r="K296" s="44">
        <f t="shared" si="593"/>
        <v>6</v>
      </c>
      <c r="L296" s="51">
        <f t="shared" ref="L296:M296" si="594">LEN(D296)-LEN(B296)+1</f>
        <v>2</v>
      </c>
      <c r="M296" s="51">
        <f t="shared" si="594"/>
        <v>3</v>
      </c>
      <c r="N296" s="51">
        <f t="shared" si="5"/>
        <v>-1</v>
      </c>
      <c r="O296" s="51" t="str">
        <f t="shared" si="6"/>
        <v>Target</v>
      </c>
      <c r="P296" s="51">
        <f t="shared" si="7"/>
        <v>-1</v>
      </c>
      <c r="Q296" s="51" t="str">
        <f t="shared" si="8"/>
        <v>Target</v>
      </c>
    </row>
    <row r="297">
      <c r="A297" s="48" t="s">
        <v>14</v>
      </c>
      <c r="B297" s="49" t="s">
        <v>2179</v>
      </c>
      <c r="C297" s="49" t="s">
        <v>2180</v>
      </c>
      <c r="D297" s="49" t="s">
        <v>2181</v>
      </c>
      <c r="E297" s="49" t="s">
        <v>2180</v>
      </c>
      <c r="F297" s="49" t="s">
        <v>245</v>
      </c>
      <c r="G297" s="49" t="s">
        <v>36</v>
      </c>
      <c r="H297" s="54">
        <v>3.0</v>
      </c>
      <c r="I297" s="54" t="s">
        <v>36</v>
      </c>
      <c r="J297" s="49">
        <f t="shared" ref="J297:K297" si="595">LEN(SUBSTITUTE(SUBSTITUTE(SUBSTITUTE(B297 ,"ˈ",""),"d̠ʒ","ʒ"),"t̠ʃ","ʃ"))</f>
        <v>5</v>
      </c>
      <c r="K297" s="44">
        <f t="shared" si="595"/>
        <v>3</v>
      </c>
      <c r="L297" s="51">
        <f t="shared" ref="L297:M297" si="596">LEN(D297)-LEN(B297)+1</f>
        <v>3</v>
      </c>
      <c r="M297" s="51">
        <f t="shared" si="596"/>
        <v>1</v>
      </c>
      <c r="N297" s="51">
        <f t="shared" si="5"/>
        <v>2</v>
      </c>
      <c r="O297" s="51" t="str">
        <f t="shared" si="6"/>
        <v>Source</v>
      </c>
      <c r="P297" s="51">
        <f t="shared" si="7"/>
        <v>2</v>
      </c>
      <c r="Q297" s="51" t="str">
        <f t="shared" si="8"/>
        <v>Source</v>
      </c>
    </row>
    <row r="298">
      <c r="A298" s="48" t="s">
        <v>14</v>
      </c>
      <c r="B298" s="49" t="s">
        <v>2184</v>
      </c>
      <c r="C298" s="49" t="s">
        <v>2185</v>
      </c>
      <c r="D298" s="49" t="s">
        <v>2186</v>
      </c>
      <c r="E298" s="49" t="s">
        <v>2187</v>
      </c>
      <c r="F298" s="49" t="s">
        <v>301</v>
      </c>
      <c r="G298" s="49" t="s">
        <v>301</v>
      </c>
      <c r="H298" s="54">
        <v>1.0</v>
      </c>
      <c r="I298" s="54">
        <v>1.0</v>
      </c>
      <c r="J298" s="49">
        <f t="shared" ref="J298:K298" si="597">LEN(SUBSTITUTE(SUBSTITUTE(SUBSTITUTE(B298 ,"ˈ",""),"d̠ʒ","ʒ"),"t̠ʃ","ʃ"))</f>
        <v>5</v>
      </c>
      <c r="K298" s="44">
        <f t="shared" si="597"/>
        <v>6</v>
      </c>
      <c r="L298" s="51">
        <f t="shared" ref="L298:M298" si="598">LEN(D298)-LEN(B298)+1</f>
        <v>3</v>
      </c>
      <c r="M298" s="51">
        <f t="shared" si="598"/>
        <v>3</v>
      </c>
      <c r="N298" s="51">
        <f t="shared" si="5"/>
        <v>-1</v>
      </c>
      <c r="O298" s="51" t="str">
        <f t="shared" si="6"/>
        <v>Target</v>
      </c>
      <c r="P298" s="51">
        <f t="shared" si="7"/>
        <v>0</v>
      </c>
      <c r="Q298" s="51" t="str">
        <f t="shared" si="8"/>
        <v>Equal</v>
      </c>
    </row>
    <row r="299">
      <c r="A299" s="48" t="s">
        <v>14</v>
      </c>
      <c r="B299" s="49" t="s">
        <v>2191</v>
      </c>
      <c r="C299" s="49" t="s">
        <v>2192</v>
      </c>
      <c r="D299" s="49" t="s">
        <v>2193</v>
      </c>
      <c r="E299" s="49" t="s">
        <v>2194</v>
      </c>
      <c r="F299" s="49" t="s">
        <v>724</v>
      </c>
      <c r="G299" s="49" t="s">
        <v>724</v>
      </c>
      <c r="H299" s="54">
        <v>3.0</v>
      </c>
      <c r="I299" s="54">
        <v>2.0</v>
      </c>
      <c r="J299" s="49">
        <f t="shared" ref="J299:K299" si="599">LEN(SUBSTITUTE(SUBSTITUTE(SUBSTITUTE(B299 ,"ˈ",""),"d̠ʒ","ʒ"),"t̠ʃ","ʃ"))</f>
        <v>5</v>
      </c>
      <c r="K299" s="44">
        <f t="shared" si="599"/>
        <v>4</v>
      </c>
      <c r="L299" s="51">
        <f t="shared" ref="L299:M299" si="600">LEN(D299)-LEN(B299)+1</f>
        <v>3</v>
      </c>
      <c r="M299" s="51">
        <f t="shared" si="600"/>
        <v>2</v>
      </c>
      <c r="N299" s="51">
        <f t="shared" si="5"/>
        <v>1</v>
      </c>
      <c r="O299" s="51" t="str">
        <f t="shared" si="6"/>
        <v>Source</v>
      </c>
      <c r="P299" s="51">
        <f t="shared" si="7"/>
        <v>1</v>
      </c>
      <c r="Q299" s="51" t="str">
        <f t="shared" si="8"/>
        <v>Source</v>
      </c>
    </row>
    <row r="300">
      <c r="A300" s="48" t="s">
        <v>14</v>
      </c>
      <c r="B300" s="49" t="s">
        <v>2023</v>
      </c>
      <c r="C300" s="49" t="s">
        <v>2198</v>
      </c>
      <c r="D300" s="49" t="s">
        <v>2023</v>
      </c>
      <c r="E300" s="49" t="s">
        <v>2199</v>
      </c>
      <c r="F300" s="49" t="s">
        <v>2023</v>
      </c>
      <c r="G300" s="49" t="s">
        <v>1040</v>
      </c>
      <c r="H300" s="54">
        <v>1.0</v>
      </c>
      <c r="I300" s="54">
        <v>1.0</v>
      </c>
      <c r="J300" s="49">
        <f t="shared" ref="J300:K300" si="601">LEN(SUBSTITUTE(SUBSTITUTE(SUBSTITUTE(B300 ,"ˈ",""),"d̠ʒ","ʒ"),"t̠ʃ","ʃ"))</f>
        <v>2</v>
      </c>
      <c r="K300" s="44">
        <f t="shared" si="601"/>
        <v>4</v>
      </c>
      <c r="L300" s="51">
        <f t="shared" ref="L300:M300" si="602">LEN(D300)-LEN(B300)+1</f>
        <v>1</v>
      </c>
      <c r="M300" s="51">
        <f t="shared" si="602"/>
        <v>2</v>
      </c>
      <c r="N300" s="51">
        <f t="shared" si="5"/>
        <v>-2</v>
      </c>
      <c r="O300" s="51" t="str">
        <f t="shared" si="6"/>
        <v>Target</v>
      </c>
      <c r="P300" s="51">
        <f t="shared" si="7"/>
        <v>-1</v>
      </c>
      <c r="Q300" s="51" t="str">
        <f t="shared" si="8"/>
        <v>Target</v>
      </c>
    </row>
    <row r="301">
      <c r="A301" s="48" t="s">
        <v>14</v>
      </c>
      <c r="B301" s="49" t="s">
        <v>2202</v>
      </c>
      <c r="C301" s="49" t="s">
        <v>2203</v>
      </c>
      <c r="D301" s="49" t="s">
        <v>2204</v>
      </c>
      <c r="E301" s="49" t="s">
        <v>2205</v>
      </c>
      <c r="F301" s="49" t="s">
        <v>116</v>
      </c>
      <c r="G301" s="49" t="s">
        <v>116</v>
      </c>
      <c r="H301" s="54">
        <v>3.0</v>
      </c>
      <c r="I301" s="54">
        <v>4.0</v>
      </c>
      <c r="J301" s="49">
        <f t="shared" ref="J301:K301" si="603">LEN(SUBSTITUTE(SUBSTITUTE(SUBSTITUTE(B301 ,"ˈ",""),"d̠ʒ","ʒ"),"t̠ʃ","ʃ"))</f>
        <v>6</v>
      </c>
      <c r="K301" s="44">
        <f t="shared" si="603"/>
        <v>8</v>
      </c>
      <c r="L301" s="51">
        <f t="shared" ref="L301:M301" si="604">LEN(D301)-LEN(B301)+1</f>
        <v>3</v>
      </c>
      <c r="M301" s="51">
        <f t="shared" si="604"/>
        <v>4</v>
      </c>
      <c r="N301" s="51">
        <f t="shared" si="5"/>
        <v>-2</v>
      </c>
      <c r="O301" s="51" t="str">
        <f t="shared" si="6"/>
        <v>Target</v>
      </c>
      <c r="P301" s="51">
        <f t="shared" si="7"/>
        <v>-1</v>
      </c>
      <c r="Q301" s="51" t="str">
        <f t="shared" si="8"/>
        <v>Target</v>
      </c>
    </row>
    <row r="302">
      <c r="A302" s="48" t="s">
        <v>14</v>
      </c>
      <c r="B302" s="49" t="s">
        <v>2210</v>
      </c>
      <c r="C302" s="49" t="s">
        <v>2211</v>
      </c>
      <c r="D302" s="49" t="s">
        <v>2212</v>
      </c>
      <c r="E302" s="49" t="s">
        <v>2213</v>
      </c>
      <c r="F302" s="49" t="s">
        <v>128</v>
      </c>
      <c r="G302" s="49" t="s">
        <v>2217</v>
      </c>
      <c r="H302" s="54">
        <v>1.0</v>
      </c>
      <c r="I302" s="54">
        <v>1.0</v>
      </c>
      <c r="J302" s="49">
        <f t="shared" ref="J302:K302" si="605">LEN(SUBSTITUTE(SUBSTITUTE(SUBSTITUTE(B302 ,"ˈ",""),"d̠ʒ","ʒ"),"t̠ʃ","ʃ"))</f>
        <v>6</v>
      </c>
      <c r="K302" s="44">
        <f t="shared" si="605"/>
        <v>4</v>
      </c>
      <c r="L302" s="51">
        <f t="shared" ref="L302:M302" si="606">LEN(D302)-LEN(B302)+1</f>
        <v>3</v>
      </c>
      <c r="M302" s="51">
        <f t="shared" si="606"/>
        <v>2</v>
      </c>
      <c r="N302" s="51">
        <f t="shared" si="5"/>
        <v>2</v>
      </c>
      <c r="O302" s="51" t="str">
        <f t="shared" si="6"/>
        <v>Source</v>
      </c>
      <c r="P302" s="51">
        <f t="shared" si="7"/>
        <v>1</v>
      </c>
      <c r="Q302" s="51" t="str">
        <f t="shared" si="8"/>
        <v>Source</v>
      </c>
    </row>
    <row r="303">
      <c r="A303" s="48" t="s">
        <v>14</v>
      </c>
      <c r="B303" s="49" t="s">
        <v>2218</v>
      </c>
      <c r="C303" s="49" t="s">
        <v>2219</v>
      </c>
      <c r="D303" s="49" t="s">
        <v>2220</v>
      </c>
      <c r="E303" s="49" t="s">
        <v>2219</v>
      </c>
      <c r="F303" s="49" t="s">
        <v>1346</v>
      </c>
      <c r="G303" s="49" t="s">
        <v>36</v>
      </c>
      <c r="H303" s="54">
        <v>2.0</v>
      </c>
      <c r="I303" s="54" t="s">
        <v>36</v>
      </c>
      <c r="J303" s="49">
        <f t="shared" ref="J303:K303" si="607">LEN(SUBSTITUTE(SUBSTITUTE(SUBSTITUTE(B303 ,"ˈ",""),"d̠ʒ","ʒ"),"t̠ʃ","ʃ"))</f>
        <v>3</v>
      </c>
      <c r="K303" s="44">
        <f t="shared" si="607"/>
        <v>3</v>
      </c>
      <c r="L303" s="51">
        <f t="shared" ref="L303:M303" si="608">LEN(D303)-LEN(B303)+1</f>
        <v>2</v>
      </c>
      <c r="M303" s="51">
        <f t="shared" si="608"/>
        <v>1</v>
      </c>
      <c r="N303" s="51">
        <f t="shared" si="5"/>
        <v>0</v>
      </c>
      <c r="O303" s="51" t="str">
        <f t="shared" si="6"/>
        <v>Equal</v>
      </c>
      <c r="P303" s="51">
        <f t="shared" si="7"/>
        <v>1</v>
      </c>
      <c r="Q303" s="51" t="str">
        <f t="shared" si="8"/>
        <v>Source</v>
      </c>
    </row>
    <row r="304">
      <c r="A304" s="48" t="s">
        <v>14</v>
      </c>
      <c r="B304" s="49" t="s">
        <v>2223</v>
      </c>
      <c r="C304" s="49" t="s">
        <v>3689</v>
      </c>
      <c r="D304" s="49" t="s">
        <v>2225</v>
      </c>
      <c r="E304" s="49" t="s">
        <v>2226</v>
      </c>
      <c r="F304" s="49" t="s">
        <v>984</v>
      </c>
      <c r="G304" s="49" t="s">
        <v>425</v>
      </c>
      <c r="H304" s="54">
        <v>2.0</v>
      </c>
      <c r="I304" s="54">
        <v>3.0</v>
      </c>
      <c r="J304" s="49">
        <f t="shared" ref="J304:K304" si="609">LEN(SUBSTITUTE(SUBSTITUTE(SUBSTITUTE(B304 ,"ˈ",""),"d̠ʒ","ʒ"),"t̠ʃ","ʃ"))</f>
        <v>4</v>
      </c>
      <c r="K304" s="44">
        <f t="shared" si="609"/>
        <v>6</v>
      </c>
      <c r="L304" s="51">
        <f t="shared" ref="L304:M304" si="610">LEN(D304)-LEN(B304)+1</f>
        <v>2</v>
      </c>
      <c r="M304" s="51">
        <f t="shared" si="610"/>
        <v>3</v>
      </c>
      <c r="N304" s="51">
        <f t="shared" si="5"/>
        <v>-2</v>
      </c>
      <c r="O304" s="51" t="str">
        <f t="shared" si="6"/>
        <v>Target</v>
      </c>
      <c r="P304" s="51">
        <f t="shared" si="7"/>
        <v>-1</v>
      </c>
      <c r="Q304" s="51" t="str">
        <f t="shared" si="8"/>
        <v>Target</v>
      </c>
    </row>
    <row r="305">
      <c r="A305" s="48" t="s">
        <v>14</v>
      </c>
      <c r="B305" s="49" t="s">
        <v>2231</v>
      </c>
      <c r="C305" s="49" t="s">
        <v>2232</v>
      </c>
      <c r="D305" s="49" t="s">
        <v>2233</v>
      </c>
      <c r="E305" s="49" t="s">
        <v>2234</v>
      </c>
      <c r="F305" s="49" t="s">
        <v>108</v>
      </c>
      <c r="G305" s="49" t="s">
        <v>2235</v>
      </c>
      <c r="H305" s="54">
        <v>1.0</v>
      </c>
      <c r="I305" s="54">
        <v>1.0</v>
      </c>
      <c r="J305" s="49">
        <f t="shared" ref="J305:K305" si="611">LEN(SUBSTITUTE(SUBSTITUTE(SUBSTITUTE(B305 ,"ˈ",""),"d̠ʒ","ʒ"),"t̠ʃ","ʃ"))</f>
        <v>8</v>
      </c>
      <c r="K305" s="44">
        <f t="shared" si="611"/>
        <v>11</v>
      </c>
      <c r="L305" s="51">
        <f t="shared" ref="L305:M305" si="612">LEN(D305)-LEN(B305)+1</f>
        <v>3</v>
      </c>
      <c r="M305" s="51">
        <f t="shared" si="612"/>
        <v>4</v>
      </c>
      <c r="N305" s="51">
        <f t="shared" si="5"/>
        <v>-3</v>
      </c>
      <c r="O305" s="51" t="str">
        <f t="shared" si="6"/>
        <v>Target</v>
      </c>
      <c r="P305" s="51">
        <f t="shared" si="7"/>
        <v>-1</v>
      </c>
      <c r="Q305" s="51" t="str">
        <f t="shared" si="8"/>
        <v>Target</v>
      </c>
    </row>
    <row r="306">
      <c r="A306" s="48" t="s">
        <v>14</v>
      </c>
      <c r="B306" s="49" t="s">
        <v>2240</v>
      </c>
      <c r="C306" s="49" t="s">
        <v>2241</v>
      </c>
      <c r="D306" s="52" t="s">
        <v>2242</v>
      </c>
      <c r="E306" s="49" t="s">
        <v>2243</v>
      </c>
      <c r="F306" s="52" t="s">
        <v>878</v>
      </c>
      <c r="G306" s="49" t="s">
        <v>879</v>
      </c>
      <c r="H306" s="54">
        <v>4.0</v>
      </c>
      <c r="I306" s="54">
        <v>3.0</v>
      </c>
      <c r="J306" s="49">
        <f t="shared" ref="J306:K306" si="613">LEN(SUBSTITUTE(SUBSTITUTE(SUBSTITUTE(B306 ,"ˈ",""),"d̠ʒ","ʒ"),"t̠ʃ","ʃ"))</f>
        <v>8</v>
      </c>
      <c r="K306" s="44">
        <f t="shared" si="613"/>
        <v>8</v>
      </c>
      <c r="L306" s="51">
        <f t="shared" ref="L306:M306" si="614">LEN(D306)-LEN(B306)+1</f>
        <v>4</v>
      </c>
      <c r="M306" s="51">
        <f t="shared" si="614"/>
        <v>3</v>
      </c>
      <c r="N306" s="51">
        <f t="shared" si="5"/>
        <v>0</v>
      </c>
      <c r="O306" s="51" t="str">
        <f t="shared" si="6"/>
        <v>Equal</v>
      </c>
      <c r="P306" s="51">
        <f t="shared" si="7"/>
        <v>1</v>
      </c>
      <c r="Q306" s="51" t="str">
        <f t="shared" si="8"/>
        <v>Source</v>
      </c>
    </row>
    <row r="307">
      <c r="A307" s="48" t="s">
        <v>14</v>
      </c>
      <c r="B307" s="49" t="s">
        <v>2246</v>
      </c>
      <c r="C307" s="49" t="s">
        <v>2247</v>
      </c>
      <c r="D307" s="49" t="s">
        <v>2248</v>
      </c>
      <c r="E307" s="49" t="s">
        <v>2249</v>
      </c>
      <c r="F307" s="49" t="s">
        <v>2250</v>
      </c>
      <c r="G307" s="49" t="s">
        <v>668</v>
      </c>
      <c r="H307" s="54">
        <v>1.0</v>
      </c>
      <c r="I307" s="54">
        <v>1.0</v>
      </c>
      <c r="J307" s="49">
        <f t="shared" ref="J307:K307" si="615">LEN(SUBSTITUTE(SUBSTITUTE(SUBSTITUTE(B307 ,"ˈ",""),"d̠ʒ","ʒ"),"t̠ʃ","ʃ"))</f>
        <v>4</v>
      </c>
      <c r="K307" s="44">
        <f t="shared" si="615"/>
        <v>5</v>
      </c>
      <c r="L307" s="51">
        <f t="shared" ref="L307:M307" si="616">LEN(D307)-LEN(B307)+1</f>
        <v>2</v>
      </c>
      <c r="M307" s="51">
        <f t="shared" si="616"/>
        <v>3</v>
      </c>
      <c r="N307" s="51">
        <f t="shared" si="5"/>
        <v>-1</v>
      </c>
      <c r="O307" s="51" t="str">
        <f t="shared" si="6"/>
        <v>Target</v>
      </c>
      <c r="P307" s="51">
        <f t="shared" si="7"/>
        <v>-1</v>
      </c>
      <c r="Q307" s="51" t="str">
        <f t="shared" si="8"/>
        <v>Target</v>
      </c>
    </row>
    <row r="308">
      <c r="A308" s="48" t="s">
        <v>14</v>
      </c>
      <c r="B308" s="49" t="s">
        <v>2253</v>
      </c>
      <c r="C308" s="49" t="s">
        <v>2254</v>
      </c>
      <c r="D308" s="49" t="s">
        <v>2255</v>
      </c>
      <c r="E308" s="49" t="s">
        <v>2256</v>
      </c>
      <c r="F308" s="49" t="s">
        <v>2239</v>
      </c>
      <c r="G308" s="49" t="s">
        <v>1983</v>
      </c>
      <c r="H308" s="54">
        <v>3.0</v>
      </c>
      <c r="I308" s="54">
        <v>4.0</v>
      </c>
      <c r="J308" s="49">
        <f t="shared" ref="J308:K308" si="617">LEN(SUBSTITUTE(SUBSTITUTE(SUBSTITUTE(B308 ,"ˈ",""),"d̠ʒ","ʒ"),"t̠ʃ","ʃ"))</f>
        <v>7</v>
      </c>
      <c r="K308" s="44">
        <f t="shared" si="617"/>
        <v>9</v>
      </c>
      <c r="L308" s="51">
        <f t="shared" ref="L308:M308" si="618">LEN(D308)-LEN(B308)+1</f>
        <v>3</v>
      </c>
      <c r="M308" s="51">
        <f t="shared" si="618"/>
        <v>4</v>
      </c>
      <c r="N308" s="51">
        <f t="shared" si="5"/>
        <v>-2</v>
      </c>
      <c r="O308" s="51" t="str">
        <f t="shared" si="6"/>
        <v>Target</v>
      </c>
      <c r="P308" s="51">
        <f t="shared" si="7"/>
        <v>-1</v>
      </c>
      <c r="Q308" s="51" t="str">
        <f t="shared" si="8"/>
        <v>Target</v>
      </c>
    </row>
    <row r="309">
      <c r="A309" s="48" t="s">
        <v>14</v>
      </c>
      <c r="B309" s="49" t="s">
        <v>2259</v>
      </c>
      <c r="C309" s="49" t="s">
        <v>2260</v>
      </c>
      <c r="D309" s="49" t="s">
        <v>2261</v>
      </c>
      <c r="E309" s="49" t="s">
        <v>2262</v>
      </c>
      <c r="F309" s="49" t="s">
        <v>1754</v>
      </c>
      <c r="G309" s="49" t="s">
        <v>2263</v>
      </c>
      <c r="H309" s="54">
        <v>1.0</v>
      </c>
      <c r="I309" s="54">
        <v>1.0</v>
      </c>
      <c r="J309" s="49">
        <f t="shared" ref="J309:K309" si="619">LEN(SUBSTITUTE(SUBSTITUTE(SUBSTITUTE(B309 ,"ˈ",""),"d̠ʒ","ʒ"),"t̠ʃ","ʃ"))</f>
        <v>6</v>
      </c>
      <c r="K309" s="44">
        <f t="shared" si="619"/>
        <v>7</v>
      </c>
      <c r="L309" s="51">
        <f t="shared" ref="L309:M309" si="620">LEN(D309)-LEN(B309)+1</f>
        <v>3</v>
      </c>
      <c r="M309" s="51">
        <f t="shared" si="620"/>
        <v>3</v>
      </c>
      <c r="N309" s="51">
        <f t="shared" si="5"/>
        <v>-1</v>
      </c>
      <c r="O309" s="51" t="str">
        <f t="shared" si="6"/>
        <v>Target</v>
      </c>
      <c r="P309" s="51">
        <f t="shared" si="7"/>
        <v>0</v>
      </c>
      <c r="Q309" s="51" t="str">
        <f t="shared" si="8"/>
        <v>Equal</v>
      </c>
    </row>
    <row r="310">
      <c r="A310" s="48" t="s">
        <v>14</v>
      </c>
      <c r="B310" s="49" t="s">
        <v>2266</v>
      </c>
      <c r="C310" s="49" t="s">
        <v>2267</v>
      </c>
      <c r="D310" s="49" t="s">
        <v>2268</v>
      </c>
      <c r="E310" s="49" t="s">
        <v>2269</v>
      </c>
      <c r="F310" s="49" t="s">
        <v>2273</v>
      </c>
      <c r="G310" s="49" t="s">
        <v>2273</v>
      </c>
      <c r="H310" s="54">
        <v>3.0</v>
      </c>
      <c r="I310" s="54">
        <v>3.0</v>
      </c>
      <c r="J310" s="49">
        <f t="shared" ref="J310:K310" si="621">LEN(SUBSTITUTE(SUBSTITUTE(SUBSTITUTE(B310 ,"ˈ",""),"d̠ʒ","ʒ"),"t̠ʃ","ʃ"))</f>
        <v>6</v>
      </c>
      <c r="K310" s="44">
        <f t="shared" si="621"/>
        <v>6</v>
      </c>
      <c r="L310" s="51">
        <f t="shared" ref="L310:M310" si="622">LEN(D310)-LEN(B310)+1</f>
        <v>3</v>
      </c>
      <c r="M310" s="51">
        <f t="shared" si="622"/>
        <v>3</v>
      </c>
      <c r="N310" s="51">
        <f t="shared" si="5"/>
        <v>0</v>
      </c>
      <c r="O310" s="51" t="str">
        <f t="shared" si="6"/>
        <v>Equal</v>
      </c>
      <c r="P310" s="51">
        <f t="shared" si="7"/>
        <v>0</v>
      </c>
      <c r="Q310" s="51" t="str">
        <f t="shared" si="8"/>
        <v>Equal</v>
      </c>
    </row>
    <row r="311">
      <c r="A311" s="48" t="s">
        <v>14</v>
      </c>
      <c r="B311" s="48" t="s">
        <v>2274</v>
      </c>
      <c r="C311" s="49" t="s">
        <v>2275</v>
      </c>
      <c r="D311" s="49" t="s">
        <v>2276</v>
      </c>
      <c r="E311" s="49" t="s">
        <v>2276</v>
      </c>
      <c r="F311" s="49" t="s">
        <v>349</v>
      </c>
      <c r="G311" s="49" t="s">
        <v>349</v>
      </c>
      <c r="H311" s="54">
        <v>1.0</v>
      </c>
      <c r="I311" s="54">
        <v>1.0</v>
      </c>
      <c r="J311" s="49">
        <f t="shared" ref="J311:K311" si="623">LEN(SUBSTITUTE(SUBSTITUTE(SUBSTITUTE(B311 ,"ˈ",""),"d̠ʒ","ʒ"),"t̠ʃ","ʃ"))</f>
        <v>6</v>
      </c>
      <c r="K311" s="44">
        <f t="shared" si="623"/>
        <v>6</v>
      </c>
      <c r="L311" s="51">
        <f t="shared" ref="L311:M311" si="624">LEN(D311)-LEN(B311)+1</f>
        <v>3</v>
      </c>
      <c r="M311" s="51">
        <f t="shared" si="624"/>
        <v>3</v>
      </c>
      <c r="N311" s="51">
        <f t="shared" si="5"/>
        <v>0</v>
      </c>
      <c r="O311" s="51" t="str">
        <f t="shared" si="6"/>
        <v>Equal</v>
      </c>
      <c r="P311" s="51">
        <f t="shared" si="7"/>
        <v>0</v>
      </c>
      <c r="Q311" s="51" t="str">
        <f t="shared" si="8"/>
        <v>Equal</v>
      </c>
    </row>
    <row r="312">
      <c r="A312" s="48" t="s">
        <v>14</v>
      </c>
      <c r="B312" s="49" t="s">
        <v>2280</v>
      </c>
      <c r="C312" s="49" t="s">
        <v>2281</v>
      </c>
      <c r="D312" s="49" t="s">
        <v>2282</v>
      </c>
      <c r="E312" s="49" t="s">
        <v>2283</v>
      </c>
      <c r="F312" s="49" t="s">
        <v>190</v>
      </c>
      <c r="G312" s="49" t="s">
        <v>2127</v>
      </c>
      <c r="H312" s="54">
        <v>4.0</v>
      </c>
      <c r="I312" s="54">
        <v>2.0</v>
      </c>
      <c r="J312" s="49">
        <f t="shared" ref="J312:K312" si="625">LEN(SUBSTITUTE(SUBSTITUTE(SUBSTITUTE(B312 ,"ˈ",""),"d̠ʒ","ʒ"),"t̠ʃ","ʃ"))</f>
        <v>9</v>
      </c>
      <c r="K312" s="44">
        <f t="shared" si="625"/>
        <v>7</v>
      </c>
      <c r="L312" s="51">
        <f t="shared" ref="L312:M312" si="626">LEN(D312)-LEN(B312)+1</f>
        <v>4</v>
      </c>
      <c r="M312" s="51">
        <f t="shared" si="626"/>
        <v>2</v>
      </c>
      <c r="N312" s="51">
        <f t="shared" si="5"/>
        <v>2</v>
      </c>
      <c r="O312" s="51" t="str">
        <f t="shared" si="6"/>
        <v>Source</v>
      </c>
      <c r="P312" s="51">
        <f t="shared" si="7"/>
        <v>2</v>
      </c>
      <c r="Q312" s="51" t="str">
        <f t="shared" si="8"/>
        <v>Source</v>
      </c>
    </row>
    <row r="313">
      <c r="A313" s="48" t="s">
        <v>14</v>
      </c>
      <c r="B313" s="49" t="s">
        <v>2286</v>
      </c>
      <c r="C313" s="48" t="s">
        <v>2286</v>
      </c>
      <c r="D313" s="49" t="s">
        <v>2287</v>
      </c>
      <c r="E313" s="49" t="s">
        <v>2287</v>
      </c>
      <c r="F313" s="49" t="s">
        <v>425</v>
      </c>
      <c r="G313" s="49" t="s">
        <v>425</v>
      </c>
      <c r="H313" s="54">
        <v>1.0</v>
      </c>
      <c r="I313" s="54">
        <v>1.0</v>
      </c>
      <c r="J313" s="49">
        <f t="shared" ref="J313:K313" si="627">LEN(SUBSTITUTE(SUBSTITUTE(SUBSTITUTE(B313 ,"ˈ",""),"d̠ʒ","ʒ"),"t̠ʃ","ʃ"))</f>
        <v>6</v>
      </c>
      <c r="K313" s="44">
        <f t="shared" si="627"/>
        <v>6</v>
      </c>
      <c r="L313" s="51">
        <f t="shared" ref="L313:M313" si="628">LEN(D313)-LEN(B313)+1</f>
        <v>3</v>
      </c>
      <c r="M313" s="51">
        <f t="shared" si="628"/>
        <v>3</v>
      </c>
      <c r="N313" s="51">
        <f t="shared" si="5"/>
        <v>0</v>
      </c>
      <c r="O313" s="51" t="str">
        <f t="shared" si="6"/>
        <v>Equal</v>
      </c>
      <c r="P313" s="51">
        <f t="shared" si="7"/>
        <v>0</v>
      </c>
      <c r="Q313" s="51" t="str">
        <f t="shared" si="8"/>
        <v>Equal</v>
      </c>
    </row>
    <row r="314">
      <c r="A314" s="48" t="s">
        <v>14</v>
      </c>
      <c r="B314" s="49" t="s">
        <v>2291</v>
      </c>
      <c r="C314" s="48" t="s">
        <v>2291</v>
      </c>
      <c r="D314" s="49" t="s">
        <v>2292</v>
      </c>
      <c r="E314" s="49" t="s">
        <v>2292</v>
      </c>
      <c r="F314" s="49" t="s">
        <v>387</v>
      </c>
      <c r="G314" s="49" t="s">
        <v>387</v>
      </c>
      <c r="H314" s="54">
        <v>3.0</v>
      </c>
      <c r="I314" s="54">
        <v>3.0</v>
      </c>
      <c r="J314" s="49">
        <f t="shared" ref="J314:K314" si="629">LEN(SUBSTITUTE(SUBSTITUTE(SUBSTITUTE(B314 ,"ˈ",""),"d̠ʒ","ʒ"),"t̠ʃ","ʃ"))</f>
        <v>6</v>
      </c>
      <c r="K314" s="44">
        <f t="shared" si="629"/>
        <v>6</v>
      </c>
      <c r="L314" s="51">
        <f t="shared" ref="L314:M314" si="630">LEN(D314)-LEN(B314)+1</f>
        <v>3</v>
      </c>
      <c r="M314" s="51">
        <f t="shared" si="630"/>
        <v>3</v>
      </c>
      <c r="N314" s="51">
        <f t="shared" si="5"/>
        <v>0</v>
      </c>
      <c r="O314" s="51" t="str">
        <f t="shared" si="6"/>
        <v>Equal</v>
      </c>
      <c r="P314" s="51">
        <f t="shared" si="7"/>
        <v>0</v>
      </c>
      <c r="Q314" s="51" t="str">
        <f t="shared" si="8"/>
        <v>Equal</v>
      </c>
    </row>
    <row r="315">
      <c r="A315" s="48" t="s">
        <v>14</v>
      </c>
      <c r="B315" s="49" t="s">
        <v>2295</v>
      </c>
      <c r="C315" s="49" t="s">
        <v>161</v>
      </c>
      <c r="D315" s="49" t="s">
        <v>2296</v>
      </c>
      <c r="E315" s="49" t="s">
        <v>155</v>
      </c>
      <c r="F315" s="49" t="s">
        <v>157</v>
      </c>
      <c r="G315" s="49" t="s">
        <v>158</v>
      </c>
      <c r="H315" s="54">
        <v>1.0</v>
      </c>
      <c r="I315" s="54">
        <v>1.0</v>
      </c>
      <c r="J315" s="49">
        <f t="shared" ref="J315:K315" si="631">LEN(SUBSTITUTE(SUBSTITUTE(SUBSTITUTE(B315 ,"ˈ",""),"d̠ʒ","ʒ"),"t̠ʃ","ʃ"))</f>
        <v>4</v>
      </c>
      <c r="K315" s="44">
        <f t="shared" si="631"/>
        <v>5</v>
      </c>
      <c r="L315" s="51">
        <f t="shared" ref="L315:M315" si="632">LEN(D315)-LEN(B315)+1</f>
        <v>2</v>
      </c>
      <c r="M315" s="51">
        <f t="shared" si="632"/>
        <v>2</v>
      </c>
      <c r="N315" s="51">
        <f t="shared" si="5"/>
        <v>-1</v>
      </c>
      <c r="O315" s="51" t="str">
        <f t="shared" si="6"/>
        <v>Target</v>
      </c>
      <c r="P315" s="51">
        <f t="shared" si="7"/>
        <v>0</v>
      </c>
      <c r="Q315" s="51" t="str">
        <f t="shared" si="8"/>
        <v>Equal</v>
      </c>
    </row>
    <row r="316">
      <c r="A316" s="48" t="s">
        <v>14</v>
      </c>
      <c r="B316" s="49" t="s">
        <v>2299</v>
      </c>
      <c r="C316" s="49" t="s">
        <v>3690</v>
      </c>
      <c r="D316" s="49" t="s">
        <v>2301</v>
      </c>
      <c r="E316" s="49" t="s">
        <v>3691</v>
      </c>
      <c r="F316" s="49" t="s">
        <v>65</v>
      </c>
      <c r="G316" s="49" t="s">
        <v>162</v>
      </c>
      <c r="H316" s="54">
        <v>2.0</v>
      </c>
      <c r="I316" s="54">
        <v>2.0</v>
      </c>
      <c r="J316" s="49">
        <f t="shared" ref="J316:K316" si="633">LEN(SUBSTITUTE(SUBSTITUTE(SUBSTITUTE(B316 ,"ˈ",""),"d̠ʒ","ʒ"),"t̠ʃ","ʃ"))</f>
        <v>4</v>
      </c>
      <c r="K316" s="44">
        <f t="shared" si="633"/>
        <v>5</v>
      </c>
      <c r="L316" s="51">
        <f t="shared" ref="L316:M316" si="634">LEN(D316)-LEN(B316)+1</f>
        <v>2</v>
      </c>
      <c r="M316" s="51">
        <f t="shared" si="634"/>
        <v>2</v>
      </c>
      <c r="N316" s="51">
        <f t="shared" si="5"/>
        <v>-1</v>
      </c>
      <c r="O316" s="51" t="str">
        <f t="shared" si="6"/>
        <v>Target</v>
      </c>
      <c r="P316" s="51">
        <f t="shared" si="7"/>
        <v>0</v>
      </c>
      <c r="Q316" s="51" t="str">
        <f t="shared" si="8"/>
        <v>Equal</v>
      </c>
    </row>
    <row r="317">
      <c r="A317" s="48" t="s">
        <v>14</v>
      </c>
      <c r="B317" s="49" t="s">
        <v>2304</v>
      </c>
      <c r="C317" s="49" t="s">
        <v>3692</v>
      </c>
      <c r="D317" s="49" t="s">
        <v>2306</v>
      </c>
      <c r="E317" s="49" t="s">
        <v>3693</v>
      </c>
      <c r="F317" s="49" t="s">
        <v>451</v>
      </c>
      <c r="G317" s="49" t="s">
        <v>1628</v>
      </c>
      <c r="H317" s="54">
        <v>1.0</v>
      </c>
      <c r="I317" s="54">
        <v>1.0</v>
      </c>
      <c r="J317" s="49">
        <f t="shared" ref="J317:K317" si="635">LEN(SUBSTITUTE(SUBSTITUTE(SUBSTITUTE(B317 ,"ˈ",""),"d̠ʒ","ʒ"),"t̠ʃ","ʃ"))</f>
        <v>4</v>
      </c>
      <c r="K317" s="44">
        <f t="shared" si="635"/>
        <v>7</v>
      </c>
      <c r="L317" s="51">
        <f t="shared" ref="L317:M317" si="636">LEN(D317)-LEN(B317)+1</f>
        <v>2</v>
      </c>
      <c r="M317" s="51">
        <f t="shared" si="636"/>
        <v>2</v>
      </c>
      <c r="N317" s="51">
        <f t="shared" si="5"/>
        <v>-3</v>
      </c>
      <c r="O317" s="51" t="str">
        <f t="shared" si="6"/>
        <v>Target</v>
      </c>
      <c r="P317" s="51">
        <f t="shared" si="7"/>
        <v>0</v>
      </c>
      <c r="Q317" s="51" t="str">
        <f t="shared" si="8"/>
        <v>Equal</v>
      </c>
    </row>
    <row r="318">
      <c r="A318" s="48" t="s">
        <v>14</v>
      </c>
      <c r="B318" s="49" t="s">
        <v>2310</v>
      </c>
      <c r="C318" s="49" t="s">
        <v>2311</v>
      </c>
      <c r="D318" s="49" t="s">
        <v>2312</v>
      </c>
      <c r="E318" s="49" t="s">
        <v>2313</v>
      </c>
      <c r="F318" s="49" t="s">
        <v>387</v>
      </c>
      <c r="G318" s="49" t="s">
        <v>387</v>
      </c>
      <c r="H318" s="54">
        <v>2.0</v>
      </c>
      <c r="I318" s="54">
        <v>3.0</v>
      </c>
      <c r="J318" s="49">
        <f t="shared" ref="J318:K318" si="637">LEN(SUBSTITUTE(SUBSTITUTE(SUBSTITUTE(B318 ,"ˈ",""),"d̠ʒ","ʒ"),"t̠ʃ","ʃ"))</f>
        <v>5</v>
      </c>
      <c r="K318" s="44">
        <f t="shared" si="637"/>
        <v>6</v>
      </c>
      <c r="L318" s="51">
        <f t="shared" ref="L318:M318" si="638">LEN(D318)-LEN(B318)+1</f>
        <v>2</v>
      </c>
      <c r="M318" s="51">
        <f t="shared" si="638"/>
        <v>3</v>
      </c>
      <c r="N318" s="51">
        <f t="shared" si="5"/>
        <v>-1</v>
      </c>
      <c r="O318" s="51" t="str">
        <f t="shared" si="6"/>
        <v>Target</v>
      </c>
      <c r="P318" s="51">
        <f t="shared" si="7"/>
        <v>-1</v>
      </c>
      <c r="Q318" s="51" t="str">
        <f t="shared" si="8"/>
        <v>Target</v>
      </c>
    </row>
    <row r="319">
      <c r="A319" s="48" t="s">
        <v>14</v>
      </c>
      <c r="B319" s="49" t="s">
        <v>2317</v>
      </c>
      <c r="C319" s="49" t="s">
        <v>3694</v>
      </c>
      <c r="D319" s="49" t="s">
        <v>2319</v>
      </c>
      <c r="E319" s="49" t="s">
        <v>3695</v>
      </c>
      <c r="F319" s="49" t="s">
        <v>157</v>
      </c>
      <c r="G319" s="49" t="s">
        <v>296</v>
      </c>
      <c r="H319" s="54">
        <v>2.0</v>
      </c>
      <c r="I319" s="54">
        <v>3.0</v>
      </c>
      <c r="J319" s="49">
        <f t="shared" ref="J319:K319" si="639">LEN(SUBSTITUTE(SUBSTITUTE(SUBSTITUTE(B319 ,"ˈ",""),"d̠ʒ","ʒ"),"t̠ʃ","ʃ"))</f>
        <v>5</v>
      </c>
      <c r="K319" s="44">
        <f t="shared" si="639"/>
        <v>5</v>
      </c>
      <c r="L319" s="51">
        <f t="shared" ref="L319:M319" si="640">LEN(D319)-LEN(B319)+1</f>
        <v>2</v>
      </c>
      <c r="M319" s="51">
        <f t="shared" si="640"/>
        <v>3</v>
      </c>
      <c r="N319" s="51">
        <f t="shared" si="5"/>
        <v>0</v>
      </c>
      <c r="O319" s="51" t="str">
        <f t="shared" si="6"/>
        <v>Equal</v>
      </c>
      <c r="P319" s="51">
        <f t="shared" si="7"/>
        <v>-1</v>
      </c>
      <c r="Q319" s="51" t="str">
        <f t="shared" si="8"/>
        <v>Target</v>
      </c>
    </row>
    <row r="320">
      <c r="A320" s="48" t="s">
        <v>14</v>
      </c>
      <c r="B320" s="49" t="s">
        <v>1542</v>
      </c>
      <c r="C320" s="49" t="s">
        <v>3696</v>
      </c>
      <c r="D320" s="49" t="s">
        <v>1544</v>
      </c>
      <c r="E320" s="49" t="s">
        <v>3696</v>
      </c>
      <c r="F320" s="49" t="s">
        <v>1541</v>
      </c>
      <c r="G320" s="49" t="s">
        <v>3696</v>
      </c>
      <c r="H320" s="54">
        <v>1.0</v>
      </c>
      <c r="I320" s="54">
        <v>1.0</v>
      </c>
      <c r="J320" s="49">
        <f t="shared" ref="J320:K320" si="641">LEN(SUBSTITUTE(SUBSTITUTE(SUBSTITUTE(B320 ,"ˈ",""),"d̠ʒ","ʒ"),"t̠ʃ","ʃ"))</f>
        <v>4</v>
      </c>
      <c r="K320" s="44">
        <f t="shared" si="641"/>
        <v>3</v>
      </c>
      <c r="L320" s="51">
        <f t="shared" ref="L320:M320" si="642">LEN(D320)-LEN(B320)+1</f>
        <v>2</v>
      </c>
      <c r="M320" s="51">
        <f t="shared" si="642"/>
        <v>1</v>
      </c>
      <c r="N320" s="51">
        <f t="shared" si="5"/>
        <v>1</v>
      </c>
      <c r="O320" s="51" t="str">
        <f t="shared" si="6"/>
        <v>Source</v>
      </c>
      <c r="P320" s="51">
        <f t="shared" si="7"/>
        <v>1</v>
      </c>
      <c r="Q320" s="51" t="str">
        <f t="shared" si="8"/>
        <v>Source</v>
      </c>
    </row>
    <row r="321">
      <c r="A321" s="48" t="s">
        <v>14</v>
      </c>
      <c r="B321" s="49" t="s">
        <v>2328</v>
      </c>
      <c r="C321" s="49" t="s">
        <v>2329</v>
      </c>
      <c r="D321" s="49" t="s">
        <v>2330</v>
      </c>
      <c r="E321" s="49" t="s">
        <v>2331</v>
      </c>
      <c r="F321" s="49" t="s">
        <v>29</v>
      </c>
      <c r="G321" s="49" t="s">
        <v>128</v>
      </c>
      <c r="H321" s="54">
        <v>2.0</v>
      </c>
      <c r="I321" s="54">
        <v>2.0</v>
      </c>
      <c r="J321" s="49">
        <f t="shared" ref="J321:K321" si="643">LEN(SUBSTITUTE(SUBSTITUTE(SUBSTITUTE(B321 ,"ˈ",""),"d̠ʒ","ʒ"),"t̠ʃ","ʃ"))</f>
        <v>3</v>
      </c>
      <c r="K321" s="44">
        <f t="shared" si="643"/>
        <v>3</v>
      </c>
      <c r="L321" s="51">
        <f t="shared" ref="L321:M321" si="644">LEN(D321)-LEN(B321)+1</f>
        <v>2</v>
      </c>
      <c r="M321" s="51">
        <f t="shared" si="644"/>
        <v>2</v>
      </c>
      <c r="N321" s="51">
        <f t="shared" si="5"/>
        <v>0</v>
      </c>
      <c r="O321" s="51" t="str">
        <f t="shared" si="6"/>
        <v>Equal</v>
      </c>
      <c r="P321" s="51">
        <f t="shared" si="7"/>
        <v>0</v>
      </c>
      <c r="Q321" s="51" t="str">
        <f t="shared" si="8"/>
        <v>Equal</v>
      </c>
    </row>
    <row r="322">
      <c r="A322" s="48" t="s">
        <v>14</v>
      </c>
      <c r="B322" s="49" t="s">
        <v>2335</v>
      </c>
      <c r="C322" s="49" t="s">
        <v>2336</v>
      </c>
      <c r="D322" s="49" t="s">
        <v>2337</v>
      </c>
      <c r="E322" s="49" t="s">
        <v>2338</v>
      </c>
      <c r="F322" s="49" t="s">
        <v>2339</v>
      </c>
      <c r="G322" s="49" t="s">
        <v>2340</v>
      </c>
      <c r="H322" s="54">
        <v>1.0</v>
      </c>
      <c r="I322" s="54">
        <v>1.0</v>
      </c>
      <c r="J322" s="49">
        <f t="shared" ref="J322:K322" si="645">LEN(SUBSTITUTE(SUBSTITUTE(SUBSTITUTE(B322 ,"ˈ",""),"d̠ʒ","ʒ"),"t̠ʃ","ʃ"))</f>
        <v>5</v>
      </c>
      <c r="K322" s="44">
        <f t="shared" si="645"/>
        <v>5</v>
      </c>
      <c r="L322" s="51">
        <f t="shared" ref="L322:M322" si="646">LEN(D322)-LEN(B322)+1</f>
        <v>2</v>
      </c>
      <c r="M322" s="51">
        <f t="shared" si="646"/>
        <v>3</v>
      </c>
      <c r="N322" s="51">
        <f t="shared" si="5"/>
        <v>0</v>
      </c>
      <c r="O322" s="51" t="str">
        <f t="shared" si="6"/>
        <v>Equal</v>
      </c>
      <c r="P322" s="51">
        <f t="shared" si="7"/>
        <v>-1</v>
      </c>
      <c r="Q322" s="51" t="str">
        <f t="shared" si="8"/>
        <v>Target</v>
      </c>
    </row>
    <row r="323">
      <c r="A323" s="48" t="s">
        <v>14</v>
      </c>
      <c r="B323" s="49" t="s">
        <v>2343</v>
      </c>
      <c r="C323" s="49" t="s">
        <v>2344</v>
      </c>
      <c r="D323" s="49" t="s">
        <v>2345</v>
      </c>
      <c r="E323" s="49" t="s">
        <v>2344</v>
      </c>
      <c r="F323" s="49" t="s">
        <v>918</v>
      </c>
      <c r="G323" s="49" t="s">
        <v>36</v>
      </c>
      <c r="H323" s="54">
        <v>2.0</v>
      </c>
      <c r="I323" s="54" t="s">
        <v>36</v>
      </c>
      <c r="J323" s="49">
        <f t="shared" ref="J323:K323" si="647">LEN(SUBSTITUTE(SUBSTITUTE(SUBSTITUTE(B323 ,"ˈ",""),"d̠ʒ","ʒ"),"t̠ʃ","ʃ"))</f>
        <v>3</v>
      </c>
      <c r="K323" s="44">
        <f t="shared" si="647"/>
        <v>2</v>
      </c>
      <c r="L323" s="51">
        <f t="shared" ref="L323:M323" si="648">LEN(D323)-LEN(B323)+1</f>
        <v>2</v>
      </c>
      <c r="M323" s="51">
        <f t="shared" si="648"/>
        <v>1</v>
      </c>
      <c r="N323" s="51">
        <f t="shared" si="5"/>
        <v>1</v>
      </c>
      <c r="O323" s="51" t="str">
        <f t="shared" si="6"/>
        <v>Source</v>
      </c>
      <c r="P323" s="51">
        <f t="shared" si="7"/>
        <v>1</v>
      </c>
      <c r="Q323" s="51" t="str">
        <f t="shared" si="8"/>
        <v>Source</v>
      </c>
    </row>
    <row r="324">
      <c r="A324" s="48" t="s">
        <v>14</v>
      </c>
      <c r="B324" s="49" t="s">
        <v>2348</v>
      </c>
      <c r="C324" s="49" t="s">
        <v>2349</v>
      </c>
      <c r="D324" s="49" t="s">
        <v>2350</v>
      </c>
      <c r="E324" s="49" t="s">
        <v>2351</v>
      </c>
      <c r="F324" s="49" t="s">
        <v>2352</v>
      </c>
      <c r="G324" s="49" t="s">
        <v>2352</v>
      </c>
      <c r="H324" s="54">
        <v>1.0</v>
      </c>
      <c r="I324" s="54">
        <v>1.0</v>
      </c>
      <c r="J324" s="49">
        <f t="shared" ref="J324:K324" si="649">LEN(SUBSTITUTE(SUBSTITUTE(SUBSTITUTE(B324 ,"ˈ",""),"d̠ʒ","ʒ"),"t̠ʃ","ʃ"))</f>
        <v>3</v>
      </c>
      <c r="K324" s="44">
        <f t="shared" si="649"/>
        <v>3</v>
      </c>
      <c r="L324" s="51">
        <f t="shared" ref="L324:M324" si="650">LEN(D324)-LEN(B324)+1</f>
        <v>2</v>
      </c>
      <c r="M324" s="51">
        <f t="shared" si="650"/>
        <v>2</v>
      </c>
      <c r="N324" s="51">
        <f t="shared" si="5"/>
        <v>0</v>
      </c>
      <c r="O324" s="51" t="str">
        <f t="shared" si="6"/>
        <v>Equal</v>
      </c>
      <c r="P324" s="51">
        <f t="shared" si="7"/>
        <v>0</v>
      </c>
      <c r="Q324" s="51" t="str">
        <f t="shared" si="8"/>
        <v>Equal</v>
      </c>
    </row>
    <row r="325">
      <c r="A325" s="48" t="s">
        <v>14</v>
      </c>
      <c r="B325" s="49" t="s">
        <v>2355</v>
      </c>
      <c r="C325" s="49" t="s">
        <v>2356</v>
      </c>
      <c r="D325" s="49" t="s">
        <v>2357</v>
      </c>
      <c r="E325" s="49" t="s">
        <v>2358</v>
      </c>
      <c r="F325" s="49" t="s">
        <v>2361</v>
      </c>
      <c r="G325" s="49" t="s">
        <v>2362</v>
      </c>
      <c r="H325" s="54">
        <v>2.0</v>
      </c>
      <c r="I325" s="54">
        <v>2.0</v>
      </c>
      <c r="J325" s="49">
        <f t="shared" ref="J325:K325" si="651">LEN(SUBSTITUTE(SUBSTITUTE(SUBSTITUTE(B325 ,"ˈ",""),"d̠ʒ","ʒ"),"t̠ʃ","ʃ"))</f>
        <v>3</v>
      </c>
      <c r="K325" s="44">
        <f t="shared" si="651"/>
        <v>4</v>
      </c>
      <c r="L325" s="51">
        <f t="shared" ref="L325:M325" si="652">LEN(D325)-LEN(B325)+1</f>
        <v>2</v>
      </c>
      <c r="M325" s="51">
        <f t="shared" si="652"/>
        <v>2</v>
      </c>
      <c r="N325" s="51">
        <f t="shared" si="5"/>
        <v>-1</v>
      </c>
      <c r="O325" s="51" t="str">
        <f t="shared" si="6"/>
        <v>Target</v>
      </c>
      <c r="P325" s="51">
        <f t="shared" si="7"/>
        <v>0</v>
      </c>
      <c r="Q325" s="51" t="str">
        <f t="shared" si="8"/>
        <v>Equal</v>
      </c>
    </row>
    <row r="326">
      <c r="A326" s="48" t="s">
        <v>14</v>
      </c>
      <c r="B326" s="49" t="s">
        <v>308</v>
      </c>
      <c r="C326" s="49" t="s">
        <v>308</v>
      </c>
      <c r="D326" s="49" t="s">
        <v>308</v>
      </c>
      <c r="E326" s="49" t="s">
        <v>308</v>
      </c>
      <c r="F326" s="49" t="s">
        <v>308</v>
      </c>
      <c r="G326" s="49" t="s">
        <v>308</v>
      </c>
      <c r="H326" s="54">
        <v>1.0</v>
      </c>
      <c r="I326" s="54">
        <v>1.0</v>
      </c>
      <c r="J326" s="49">
        <f t="shared" ref="J326:K326" si="653">LEN(SUBSTITUTE(SUBSTITUTE(SUBSTITUTE(B326 ,"ˈ",""),"d̠ʒ","ʒ"),"t̠ʃ","ʃ"))</f>
        <v>2</v>
      </c>
      <c r="K326" s="44">
        <f t="shared" si="653"/>
        <v>2</v>
      </c>
      <c r="L326" s="51">
        <f t="shared" ref="L326:M326" si="654">LEN(D326)-LEN(B326)+1</f>
        <v>1</v>
      </c>
      <c r="M326" s="51">
        <f t="shared" si="654"/>
        <v>1</v>
      </c>
      <c r="N326" s="51">
        <f t="shared" si="5"/>
        <v>0</v>
      </c>
      <c r="O326" s="51" t="str">
        <f t="shared" si="6"/>
        <v>Equal</v>
      </c>
      <c r="P326" s="51">
        <f t="shared" si="7"/>
        <v>0</v>
      </c>
      <c r="Q326" s="51" t="str">
        <f t="shared" si="8"/>
        <v>Equal</v>
      </c>
    </row>
    <row r="327">
      <c r="A327" s="48" t="s">
        <v>14</v>
      </c>
      <c r="B327" s="49" t="s">
        <v>2365</v>
      </c>
      <c r="C327" s="49" t="s">
        <v>2366</v>
      </c>
      <c r="D327" s="49" t="s">
        <v>2367</v>
      </c>
      <c r="E327" s="49" t="s">
        <v>2368</v>
      </c>
      <c r="F327" s="49" t="s">
        <v>961</v>
      </c>
      <c r="G327" s="49" t="s">
        <v>420</v>
      </c>
      <c r="H327" s="54">
        <v>1.0</v>
      </c>
      <c r="I327" s="54">
        <v>1.0</v>
      </c>
      <c r="J327" s="49">
        <f t="shared" ref="J327:K327" si="655">LEN(SUBSTITUTE(SUBSTITUTE(SUBSTITUTE(B327 ,"ˈ",""),"d̠ʒ","ʒ"),"t̠ʃ","ʃ"))</f>
        <v>4</v>
      </c>
      <c r="K327" s="44">
        <f t="shared" si="655"/>
        <v>4</v>
      </c>
      <c r="L327" s="51">
        <f t="shared" ref="L327:M327" si="656">LEN(D327)-LEN(B327)+1</f>
        <v>2</v>
      </c>
      <c r="M327" s="51">
        <f t="shared" si="656"/>
        <v>2</v>
      </c>
      <c r="N327" s="51">
        <f t="shared" si="5"/>
        <v>0</v>
      </c>
      <c r="O327" s="51" t="str">
        <f t="shared" si="6"/>
        <v>Equal</v>
      </c>
      <c r="P327" s="51">
        <f t="shared" si="7"/>
        <v>0</v>
      </c>
      <c r="Q327" s="51" t="str">
        <f t="shared" si="8"/>
        <v>Equal</v>
      </c>
    </row>
    <row r="328">
      <c r="A328" s="48" t="s">
        <v>14</v>
      </c>
      <c r="B328" s="49" t="s">
        <v>2371</v>
      </c>
      <c r="C328" s="49" t="s">
        <v>2372</v>
      </c>
      <c r="D328" s="49" t="s">
        <v>2373</v>
      </c>
      <c r="E328" s="49" t="s">
        <v>2374</v>
      </c>
      <c r="F328" s="49" t="s">
        <v>55</v>
      </c>
      <c r="G328" s="49" t="s">
        <v>784</v>
      </c>
      <c r="H328" s="54">
        <v>2.0</v>
      </c>
      <c r="I328" s="54">
        <v>2.0</v>
      </c>
      <c r="J328" s="49">
        <f t="shared" ref="J328:K328" si="657">LEN(SUBSTITUTE(SUBSTITUTE(SUBSTITUTE(B328 ,"ˈ",""),"d̠ʒ","ʒ"),"t̠ʃ","ʃ"))</f>
        <v>5</v>
      </c>
      <c r="K328" s="44">
        <f t="shared" si="657"/>
        <v>7</v>
      </c>
      <c r="L328" s="51">
        <f t="shared" ref="L328:M328" si="658">LEN(D328)-LEN(B328)+1</f>
        <v>2</v>
      </c>
      <c r="M328" s="51">
        <f t="shared" si="658"/>
        <v>2</v>
      </c>
      <c r="N328" s="51">
        <f t="shared" si="5"/>
        <v>-2</v>
      </c>
      <c r="O328" s="51" t="str">
        <f t="shared" si="6"/>
        <v>Target</v>
      </c>
      <c r="P328" s="51">
        <f t="shared" si="7"/>
        <v>0</v>
      </c>
      <c r="Q328" s="51" t="str">
        <f t="shared" si="8"/>
        <v>Equal</v>
      </c>
    </row>
    <row r="329">
      <c r="A329" s="48" t="s">
        <v>14</v>
      </c>
      <c r="B329" s="49" t="s">
        <v>2379</v>
      </c>
      <c r="C329" s="49" t="s">
        <v>2372</v>
      </c>
      <c r="D329" s="49" t="s">
        <v>2380</v>
      </c>
      <c r="E329" s="49" t="s">
        <v>2374</v>
      </c>
      <c r="F329" s="49" t="s">
        <v>2381</v>
      </c>
      <c r="G329" s="49" t="s">
        <v>2376</v>
      </c>
      <c r="H329" s="54">
        <v>1.0</v>
      </c>
      <c r="I329" s="54">
        <v>1.0</v>
      </c>
      <c r="J329" s="49">
        <f t="shared" ref="J329:K329" si="659">LEN(SUBSTITUTE(SUBSTITUTE(SUBSTITUTE(B329 ,"ˈ",""),"d̠ʒ","ʒ"),"t̠ʃ","ʃ"))</f>
        <v>5</v>
      </c>
      <c r="K329" s="44">
        <f t="shared" si="659"/>
        <v>7</v>
      </c>
      <c r="L329" s="51">
        <f t="shared" ref="L329:M329" si="660">LEN(D329)-LEN(B329)+1</f>
        <v>2</v>
      </c>
      <c r="M329" s="51">
        <f t="shared" si="660"/>
        <v>2</v>
      </c>
      <c r="N329" s="51">
        <f t="shared" si="5"/>
        <v>-2</v>
      </c>
      <c r="O329" s="51" t="str">
        <f t="shared" si="6"/>
        <v>Target</v>
      </c>
      <c r="P329" s="51">
        <f t="shared" si="7"/>
        <v>0</v>
      </c>
      <c r="Q329" s="51" t="str">
        <f t="shared" si="8"/>
        <v>Equal</v>
      </c>
    </row>
    <row r="330">
      <c r="A330" s="48" t="s">
        <v>14</v>
      </c>
      <c r="B330" s="49" t="s">
        <v>2382</v>
      </c>
      <c r="C330" s="49" t="s">
        <v>2382</v>
      </c>
      <c r="D330" s="49" t="s">
        <v>2383</v>
      </c>
      <c r="E330" s="49" t="s">
        <v>2383</v>
      </c>
      <c r="F330" s="49" t="s">
        <v>116</v>
      </c>
      <c r="G330" s="49" t="s">
        <v>116</v>
      </c>
      <c r="H330" s="54">
        <v>2.0</v>
      </c>
      <c r="I330" s="54">
        <v>2.0</v>
      </c>
      <c r="J330" s="49">
        <f t="shared" ref="J330:K330" si="661">LEN(SUBSTITUTE(SUBSTITUTE(SUBSTITUTE(B330 ,"ˈ",""),"d̠ʒ","ʒ"),"t̠ʃ","ʃ"))</f>
        <v>4</v>
      </c>
      <c r="K330" s="44">
        <f t="shared" si="661"/>
        <v>4</v>
      </c>
      <c r="L330" s="51">
        <f t="shared" ref="L330:M330" si="662">LEN(D330)-LEN(B330)+1</f>
        <v>2</v>
      </c>
      <c r="M330" s="51">
        <f t="shared" si="662"/>
        <v>2</v>
      </c>
      <c r="N330" s="51">
        <f t="shared" si="5"/>
        <v>0</v>
      </c>
      <c r="O330" s="51" t="str">
        <f t="shared" si="6"/>
        <v>Equal</v>
      </c>
      <c r="P330" s="51">
        <f t="shared" si="7"/>
        <v>0</v>
      </c>
      <c r="Q330" s="51" t="str">
        <f t="shared" si="8"/>
        <v>Equal</v>
      </c>
    </row>
    <row r="331">
      <c r="A331" s="48" t="s">
        <v>14</v>
      </c>
      <c r="B331" s="49" t="s">
        <v>2386</v>
      </c>
      <c r="C331" s="49" t="s">
        <v>2387</v>
      </c>
      <c r="D331" s="49" t="s">
        <v>2386</v>
      </c>
      <c r="E331" s="49" t="s">
        <v>2387</v>
      </c>
      <c r="F331" s="49" t="s">
        <v>2386</v>
      </c>
      <c r="G331" s="49" t="s">
        <v>2387</v>
      </c>
      <c r="H331" s="54">
        <v>1.0</v>
      </c>
      <c r="I331" s="54">
        <v>1.0</v>
      </c>
      <c r="J331" s="49">
        <f t="shared" ref="J331:K331" si="663">LEN(SUBSTITUTE(SUBSTITUTE(SUBSTITUTE(B331 ,"ˈ",""),"d̠ʒ","ʒ"),"t̠ʃ","ʃ"))</f>
        <v>3</v>
      </c>
      <c r="K331" s="44">
        <f t="shared" si="663"/>
        <v>3</v>
      </c>
      <c r="L331" s="51">
        <f t="shared" ref="L331:M331" si="664">LEN(D331)-LEN(B331)+1</f>
        <v>1</v>
      </c>
      <c r="M331" s="51">
        <f t="shared" si="664"/>
        <v>1</v>
      </c>
      <c r="N331" s="51">
        <f t="shared" si="5"/>
        <v>0</v>
      </c>
      <c r="O331" s="51" t="str">
        <f t="shared" si="6"/>
        <v>Equal</v>
      </c>
      <c r="P331" s="51">
        <f t="shared" si="7"/>
        <v>0</v>
      </c>
      <c r="Q331" s="51" t="str">
        <f t="shared" si="8"/>
        <v>Equal</v>
      </c>
    </row>
    <row r="332">
      <c r="A332" s="48" t="s">
        <v>14</v>
      </c>
      <c r="B332" s="49" t="s">
        <v>2390</v>
      </c>
      <c r="C332" s="49" t="s">
        <v>2391</v>
      </c>
      <c r="D332" s="49" t="s">
        <v>2392</v>
      </c>
      <c r="E332" s="49" t="s">
        <v>2393</v>
      </c>
      <c r="F332" s="49" t="s">
        <v>175</v>
      </c>
      <c r="G332" s="49" t="s">
        <v>175</v>
      </c>
      <c r="H332" s="54">
        <v>2.0</v>
      </c>
      <c r="I332" s="54">
        <v>2.0</v>
      </c>
      <c r="J332" s="49">
        <f t="shared" ref="J332:K332" si="665">LEN(SUBSTITUTE(SUBSTITUTE(SUBSTITUTE(B332 ,"ˈ",""),"d̠ʒ","ʒ"),"t̠ʃ","ʃ"))</f>
        <v>4</v>
      </c>
      <c r="K332" s="44">
        <f t="shared" si="665"/>
        <v>5</v>
      </c>
      <c r="L332" s="51">
        <f t="shared" ref="L332:M332" si="666">LEN(D332)-LEN(B332)+1</f>
        <v>2</v>
      </c>
      <c r="M332" s="51">
        <f t="shared" si="666"/>
        <v>2</v>
      </c>
      <c r="N332" s="51">
        <f t="shared" si="5"/>
        <v>-1</v>
      </c>
      <c r="O332" s="51" t="str">
        <f t="shared" si="6"/>
        <v>Target</v>
      </c>
      <c r="P332" s="51">
        <f t="shared" si="7"/>
        <v>0</v>
      </c>
      <c r="Q332" s="51" t="str">
        <f t="shared" si="8"/>
        <v>Equal</v>
      </c>
    </row>
    <row r="333">
      <c r="A333" s="48" t="s">
        <v>14</v>
      </c>
      <c r="B333" s="49" t="s">
        <v>2397</v>
      </c>
      <c r="C333" s="49" t="s">
        <v>2398</v>
      </c>
      <c r="D333" s="49" t="s">
        <v>2399</v>
      </c>
      <c r="E333" s="49" t="s">
        <v>2400</v>
      </c>
      <c r="F333" s="49" t="s">
        <v>1919</v>
      </c>
      <c r="G333" s="49" t="s">
        <v>1599</v>
      </c>
      <c r="H333" s="54">
        <v>1.0</v>
      </c>
      <c r="I333" s="54">
        <v>1.0</v>
      </c>
      <c r="J333" s="49">
        <f t="shared" ref="J333:K333" si="667">LEN(SUBSTITUTE(SUBSTITUTE(SUBSTITUTE(B333 ,"ˈ",""),"d̠ʒ","ʒ"),"t̠ʃ","ʃ"))</f>
        <v>4</v>
      </c>
      <c r="K333" s="44">
        <f t="shared" si="667"/>
        <v>5</v>
      </c>
      <c r="L333" s="51">
        <f t="shared" ref="L333:M333" si="668">LEN(D333)-LEN(B333)+1</f>
        <v>2</v>
      </c>
      <c r="M333" s="51">
        <f t="shared" si="668"/>
        <v>2</v>
      </c>
      <c r="N333" s="51">
        <f t="shared" si="5"/>
        <v>-1</v>
      </c>
      <c r="O333" s="51" t="str">
        <f t="shared" si="6"/>
        <v>Target</v>
      </c>
      <c r="P333" s="51">
        <f t="shared" si="7"/>
        <v>0</v>
      </c>
      <c r="Q333" s="51" t="str">
        <f t="shared" si="8"/>
        <v>Equal</v>
      </c>
    </row>
    <row r="334">
      <c r="A334" s="48" t="s">
        <v>14</v>
      </c>
      <c r="B334" s="49" t="s">
        <v>2403</v>
      </c>
      <c r="C334" s="49" t="s">
        <v>2404</v>
      </c>
      <c r="D334" s="49" t="s">
        <v>2405</v>
      </c>
      <c r="E334" s="49" t="s">
        <v>2406</v>
      </c>
      <c r="F334" s="49" t="s">
        <v>419</v>
      </c>
      <c r="G334" s="49" t="s">
        <v>425</v>
      </c>
      <c r="H334" s="54">
        <v>2.0</v>
      </c>
      <c r="I334" s="54">
        <v>2.0</v>
      </c>
      <c r="J334" s="49">
        <f t="shared" ref="J334:K334" si="669">LEN(SUBSTITUTE(SUBSTITUTE(SUBSTITUTE(B334 ,"ˈ",""),"d̠ʒ","ʒ"),"t̠ʃ","ʃ"))</f>
        <v>4</v>
      </c>
      <c r="K334" s="44">
        <f t="shared" si="669"/>
        <v>4</v>
      </c>
      <c r="L334" s="51">
        <f t="shared" ref="L334:M334" si="670">LEN(D334)-LEN(B334)+1</f>
        <v>2</v>
      </c>
      <c r="M334" s="51">
        <f t="shared" si="670"/>
        <v>2</v>
      </c>
      <c r="N334" s="51">
        <f t="shared" si="5"/>
        <v>0</v>
      </c>
      <c r="O334" s="51" t="str">
        <f t="shared" si="6"/>
        <v>Equal</v>
      </c>
      <c r="P334" s="51">
        <f t="shared" si="7"/>
        <v>0</v>
      </c>
      <c r="Q334" s="51" t="str">
        <f t="shared" si="8"/>
        <v>Equal</v>
      </c>
    </row>
    <row r="335">
      <c r="A335" s="48" t="s">
        <v>14</v>
      </c>
      <c r="B335" s="49" t="s">
        <v>2409</v>
      </c>
      <c r="C335" s="49" t="s">
        <v>2410</v>
      </c>
      <c r="D335" s="49" t="s">
        <v>2411</v>
      </c>
      <c r="E335" s="49" t="s">
        <v>2412</v>
      </c>
      <c r="F335" s="49" t="s">
        <v>2413</v>
      </c>
      <c r="G335" s="49" t="s">
        <v>2414</v>
      </c>
      <c r="H335" s="54">
        <v>1.0</v>
      </c>
      <c r="I335" s="54">
        <v>1.0</v>
      </c>
      <c r="J335" s="49">
        <f t="shared" ref="J335:K335" si="671">LEN(SUBSTITUTE(SUBSTITUTE(SUBSTITUTE(B335 ,"ˈ",""),"d̠ʒ","ʒ"),"t̠ʃ","ʃ"))</f>
        <v>5</v>
      </c>
      <c r="K335" s="44">
        <f t="shared" si="671"/>
        <v>6</v>
      </c>
      <c r="L335" s="51">
        <f t="shared" ref="L335:M335" si="672">LEN(D335)-LEN(B335)+1</f>
        <v>2</v>
      </c>
      <c r="M335" s="51">
        <f t="shared" si="672"/>
        <v>2</v>
      </c>
      <c r="N335" s="51">
        <f t="shared" si="5"/>
        <v>-1</v>
      </c>
      <c r="O335" s="51" t="str">
        <f t="shared" si="6"/>
        <v>Target</v>
      </c>
      <c r="P335" s="51">
        <f t="shared" si="7"/>
        <v>0</v>
      </c>
      <c r="Q335" s="51" t="str">
        <f t="shared" si="8"/>
        <v>Equal</v>
      </c>
    </row>
    <row r="336">
      <c r="A336" s="48" t="s">
        <v>14</v>
      </c>
      <c r="B336" s="49" t="s">
        <v>2051</v>
      </c>
      <c r="C336" s="49" t="s">
        <v>2417</v>
      </c>
      <c r="D336" s="49" t="s">
        <v>2051</v>
      </c>
      <c r="E336" s="49" t="s">
        <v>2418</v>
      </c>
      <c r="F336" s="49" t="s">
        <v>36</v>
      </c>
      <c r="G336" s="49" t="s">
        <v>2421</v>
      </c>
      <c r="H336" s="54" t="s">
        <v>36</v>
      </c>
      <c r="I336" s="54">
        <v>2.0</v>
      </c>
      <c r="J336" s="49">
        <f t="shared" ref="J336:K336" si="673">LEN(SUBSTITUTE(SUBSTITUTE(SUBSTITUTE(B336 ,"ˈ",""),"d̠ʒ","ʒ"),"t̠ʃ","ʃ"))</f>
        <v>3</v>
      </c>
      <c r="K336" s="44">
        <f t="shared" si="673"/>
        <v>5</v>
      </c>
      <c r="L336" s="51">
        <f t="shared" ref="L336:M336" si="674">LEN(D336)-LEN(B336)+1</f>
        <v>1</v>
      </c>
      <c r="M336" s="51">
        <f t="shared" si="674"/>
        <v>2</v>
      </c>
      <c r="N336" s="51">
        <f t="shared" si="5"/>
        <v>-2</v>
      </c>
      <c r="O336" s="51" t="str">
        <f t="shared" si="6"/>
        <v>Target</v>
      </c>
      <c r="P336" s="51">
        <f t="shared" si="7"/>
        <v>-1</v>
      </c>
      <c r="Q336" s="51" t="str">
        <f t="shared" si="8"/>
        <v>Target</v>
      </c>
    </row>
    <row r="337">
      <c r="A337" s="48" t="s">
        <v>14</v>
      </c>
      <c r="B337" s="49" t="s">
        <v>2422</v>
      </c>
      <c r="C337" s="49" t="s">
        <v>2422</v>
      </c>
      <c r="D337" s="49" t="s">
        <v>2423</v>
      </c>
      <c r="E337" s="49" t="s">
        <v>2423</v>
      </c>
      <c r="F337" s="49" t="s">
        <v>2424</v>
      </c>
      <c r="G337" s="49" t="s">
        <v>2424</v>
      </c>
      <c r="H337" s="54">
        <v>1.0</v>
      </c>
      <c r="I337" s="54">
        <v>1.0</v>
      </c>
      <c r="J337" s="49">
        <f t="shared" ref="J337:K337" si="675">LEN(SUBSTITUTE(SUBSTITUTE(SUBSTITUTE(B337 ,"ˈ",""),"d̠ʒ","ʒ"),"t̠ʃ","ʃ"))</f>
        <v>4</v>
      </c>
      <c r="K337" s="44">
        <f t="shared" si="675"/>
        <v>4</v>
      </c>
      <c r="L337" s="51">
        <f t="shared" ref="L337:M337" si="676">LEN(D337)-LEN(B337)+1</f>
        <v>2</v>
      </c>
      <c r="M337" s="51">
        <f t="shared" si="676"/>
        <v>2</v>
      </c>
      <c r="N337" s="51">
        <f t="shared" si="5"/>
        <v>0</v>
      </c>
      <c r="O337" s="51" t="str">
        <f t="shared" si="6"/>
        <v>Equal</v>
      </c>
      <c r="P337" s="51">
        <f t="shared" si="7"/>
        <v>0</v>
      </c>
      <c r="Q337" s="51" t="str">
        <f t="shared" si="8"/>
        <v>Equal</v>
      </c>
    </row>
    <row r="338">
      <c r="A338" s="48" t="s">
        <v>14</v>
      </c>
      <c r="B338" s="49" t="s">
        <v>2427</v>
      </c>
      <c r="C338" s="49" t="s">
        <v>2428</v>
      </c>
      <c r="D338" s="49" t="s">
        <v>2429</v>
      </c>
      <c r="E338" s="49" t="s">
        <v>2430</v>
      </c>
      <c r="F338" s="49" t="s">
        <v>36</v>
      </c>
      <c r="G338" s="49" t="s">
        <v>3697</v>
      </c>
      <c r="H338" s="54" t="s">
        <v>36</v>
      </c>
      <c r="I338" s="54">
        <v>3.0</v>
      </c>
      <c r="J338" s="49">
        <f t="shared" ref="J338:K338" si="677">LEN(SUBSTITUTE(SUBSTITUTE(SUBSTITUTE(B338 ,"ˈ",""),"d̠ʒ","ʒ"),"t̠ʃ","ʃ"))</f>
        <v>4</v>
      </c>
      <c r="K338" s="44">
        <f t="shared" si="677"/>
        <v>15</v>
      </c>
      <c r="L338" s="51">
        <f t="shared" ref="L338:M338" si="678">LEN(D338)-LEN(B338)+1</f>
        <v>2</v>
      </c>
      <c r="M338" s="51">
        <f t="shared" si="678"/>
        <v>4</v>
      </c>
      <c r="N338" s="51">
        <f t="shared" si="5"/>
        <v>-11</v>
      </c>
      <c r="O338" s="51" t="str">
        <f t="shared" si="6"/>
        <v>Target</v>
      </c>
      <c r="P338" s="51">
        <f t="shared" si="7"/>
        <v>-2</v>
      </c>
      <c r="Q338" s="51" t="str">
        <f t="shared" si="8"/>
        <v>Target</v>
      </c>
    </row>
    <row r="339">
      <c r="A339" s="48" t="s">
        <v>14</v>
      </c>
      <c r="B339" s="49" t="s">
        <v>2433</v>
      </c>
      <c r="C339" s="49" t="s">
        <v>2434</v>
      </c>
      <c r="D339" s="49" t="s">
        <v>2435</v>
      </c>
      <c r="E339" s="49" t="s">
        <v>2436</v>
      </c>
      <c r="F339" s="49" t="s">
        <v>784</v>
      </c>
      <c r="G339" s="49" t="s">
        <v>784</v>
      </c>
      <c r="H339" s="54">
        <v>2.0</v>
      </c>
      <c r="I339" s="54">
        <v>3.0</v>
      </c>
      <c r="J339" s="49">
        <f t="shared" ref="J339:K339" si="679">LEN(SUBSTITUTE(SUBSTITUTE(SUBSTITUTE(B339 ,"ˈ",""),"d̠ʒ","ʒ"),"t̠ʃ","ʃ"))</f>
        <v>5</v>
      </c>
      <c r="K339" s="44">
        <f t="shared" si="679"/>
        <v>6</v>
      </c>
      <c r="L339" s="51">
        <f t="shared" ref="L339:M339" si="680">LEN(D339)-LEN(B339)+1</f>
        <v>2</v>
      </c>
      <c r="M339" s="51">
        <f t="shared" si="680"/>
        <v>3</v>
      </c>
      <c r="N339" s="51">
        <f t="shared" si="5"/>
        <v>-1</v>
      </c>
      <c r="O339" s="51" t="str">
        <f t="shared" si="6"/>
        <v>Target</v>
      </c>
      <c r="P339" s="51">
        <f t="shared" si="7"/>
        <v>-1</v>
      </c>
      <c r="Q339" s="51" t="str">
        <f t="shared" si="8"/>
        <v>Target</v>
      </c>
    </row>
    <row r="340">
      <c r="A340" s="48" t="s">
        <v>14</v>
      </c>
      <c r="B340" s="49" t="s">
        <v>2439</v>
      </c>
      <c r="C340" s="49" t="s">
        <v>3698</v>
      </c>
      <c r="D340" s="49" t="s">
        <v>2441</v>
      </c>
      <c r="E340" s="49" t="s">
        <v>3699</v>
      </c>
      <c r="F340" s="49" t="s">
        <v>2443</v>
      </c>
      <c r="G340" s="49" t="s">
        <v>1113</v>
      </c>
      <c r="H340" s="54">
        <v>1.0</v>
      </c>
      <c r="I340" s="54">
        <v>1.0</v>
      </c>
      <c r="J340" s="49">
        <f t="shared" ref="J340:K340" si="681">LEN(SUBSTITUTE(SUBSTITUTE(SUBSTITUTE(B340 ,"ˈ",""),"d̠ʒ","ʒ"),"t̠ʃ","ʃ"))</f>
        <v>8</v>
      </c>
      <c r="K340" s="44">
        <f t="shared" si="681"/>
        <v>10</v>
      </c>
      <c r="L340" s="51">
        <f t="shared" ref="L340:M340" si="682">LEN(D340)-LEN(B340)+1</f>
        <v>4</v>
      </c>
      <c r="M340" s="51">
        <f t="shared" si="682"/>
        <v>5</v>
      </c>
      <c r="N340" s="51">
        <f t="shared" si="5"/>
        <v>-2</v>
      </c>
      <c r="O340" s="51" t="str">
        <f t="shared" si="6"/>
        <v>Target</v>
      </c>
      <c r="P340" s="51">
        <f t="shared" si="7"/>
        <v>-1</v>
      </c>
      <c r="Q340" s="51" t="str">
        <f t="shared" si="8"/>
        <v>Target</v>
      </c>
    </row>
    <row r="341">
      <c r="A341" s="48" t="s">
        <v>14</v>
      </c>
      <c r="B341" s="49" t="s">
        <v>2446</v>
      </c>
      <c r="C341" s="49" t="s">
        <v>684</v>
      </c>
      <c r="D341" s="49" t="s">
        <v>2447</v>
      </c>
      <c r="E341" s="49" t="s">
        <v>686</v>
      </c>
      <c r="F341" s="49" t="s">
        <v>425</v>
      </c>
      <c r="G341" s="49" t="s">
        <v>690</v>
      </c>
      <c r="H341" s="54">
        <v>2.0</v>
      </c>
      <c r="I341" s="54">
        <v>2.0</v>
      </c>
      <c r="J341" s="49">
        <f t="shared" ref="J341:K341" si="683">LEN(SUBSTITUTE(SUBSTITUTE(SUBSTITUTE(B341 ,"ˈ",""),"d̠ʒ","ʒ"),"t̠ʃ","ʃ"))</f>
        <v>4</v>
      </c>
      <c r="K341" s="44">
        <f t="shared" si="683"/>
        <v>4</v>
      </c>
      <c r="L341" s="51">
        <f t="shared" ref="L341:M341" si="684">LEN(D341)-LEN(B341)+1</f>
        <v>2</v>
      </c>
      <c r="M341" s="51">
        <f t="shared" si="684"/>
        <v>2</v>
      </c>
      <c r="N341" s="51">
        <f t="shared" si="5"/>
        <v>0</v>
      </c>
      <c r="O341" s="51" t="str">
        <f t="shared" si="6"/>
        <v>Equal</v>
      </c>
      <c r="P341" s="51">
        <f t="shared" si="7"/>
        <v>0</v>
      </c>
      <c r="Q341" s="51" t="str">
        <f t="shared" si="8"/>
        <v>Equal</v>
      </c>
    </row>
    <row r="342">
      <c r="A342" s="48" t="s">
        <v>14</v>
      </c>
      <c r="B342" s="49" t="s">
        <v>2449</v>
      </c>
      <c r="C342" s="49" t="s">
        <v>2450</v>
      </c>
      <c r="D342" s="49" t="s">
        <v>2451</v>
      </c>
      <c r="E342" s="49" t="s">
        <v>2452</v>
      </c>
      <c r="F342" s="49" t="s">
        <v>2453</v>
      </c>
      <c r="G342" s="49" t="s">
        <v>2453</v>
      </c>
      <c r="H342" s="54">
        <v>1.0</v>
      </c>
      <c r="I342" s="54">
        <v>1.0</v>
      </c>
      <c r="J342" s="49">
        <f t="shared" ref="J342:K342" si="685">LEN(SUBSTITUTE(SUBSTITUTE(SUBSTITUTE(B342 ,"ˈ",""),"d̠ʒ","ʒ"),"t̠ʃ","ʃ"))</f>
        <v>4</v>
      </c>
      <c r="K342" s="44">
        <f t="shared" si="685"/>
        <v>4</v>
      </c>
      <c r="L342" s="51">
        <f t="shared" ref="L342:M342" si="686">LEN(D342)-LEN(B342)+1</f>
        <v>2</v>
      </c>
      <c r="M342" s="51">
        <f t="shared" si="686"/>
        <v>2</v>
      </c>
      <c r="N342" s="51">
        <f t="shared" si="5"/>
        <v>0</v>
      </c>
      <c r="O342" s="51" t="str">
        <f t="shared" si="6"/>
        <v>Equal</v>
      </c>
      <c r="P342" s="51">
        <f t="shared" si="7"/>
        <v>0</v>
      </c>
      <c r="Q342" s="51" t="str">
        <f t="shared" si="8"/>
        <v>Equal</v>
      </c>
    </row>
    <row r="343">
      <c r="A343" s="48" t="s">
        <v>14</v>
      </c>
      <c r="B343" s="49" t="s">
        <v>2456</v>
      </c>
      <c r="C343" s="49" t="s">
        <v>2457</v>
      </c>
      <c r="D343" s="49" t="s">
        <v>2458</v>
      </c>
      <c r="E343" s="49" t="s">
        <v>2459</v>
      </c>
      <c r="F343" s="49" t="s">
        <v>784</v>
      </c>
      <c r="G343" s="49" t="s">
        <v>784</v>
      </c>
      <c r="H343" s="54">
        <v>3.0</v>
      </c>
      <c r="I343" s="54">
        <v>3.0</v>
      </c>
      <c r="J343" s="49">
        <f t="shared" ref="J343:K343" si="687">LEN(SUBSTITUTE(SUBSTITUTE(SUBSTITUTE(B343 ,"ˈ",""),"d̠ʒ","ʒ"),"t̠ʃ","ʃ"))</f>
        <v>6</v>
      </c>
      <c r="K343" s="44">
        <f t="shared" si="687"/>
        <v>6</v>
      </c>
      <c r="L343" s="51">
        <f t="shared" ref="L343:M343" si="688">LEN(D343)-LEN(B343)+1</f>
        <v>3</v>
      </c>
      <c r="M343" s="51">
        <f t="shared" si="688"/>
        <v>3</v>
      </c>
      <c r="N343" s="51">
        <f t="shared" si="5"/>
        <v>0</v>
      </c>
      <c r="O343" s="51" t="str">
        <f t="shared" si="6"/>
        <v>Equal</v>
      </c>
      <c r="P343" s="51">
        <f t="shared" si="7"/>
        <v>0</v>
      </c>
      <c r="Q343" s="51" t="str">
        <f t="shared" si="8"/>
        <v>Equal</v>
      </c>
    </row>
    <row r="344">
      <c r="A344" s="48" t="s">
        <v>14</v>
      </c>
      <c r="B344" s="49" t="s">
        <v>2462</v>
      </c>
      <c r="C344" s="49" t="s">
        <v>2463</v>
      </c>
      <c r="D344" s="49" t="s">
        <v>2464</v>
      </c>
      <c r="E344" s="49" t="s">
        <v>2465</v>
      </c>
      <c r="F344" s="49" t="s">
        <v>2466</v>
      </c>
      <c r="G344" s="49" t="s">
        <v>172</v>
      </c>
      <c r="H344" s="54">
        <v>1.0</v>
      </c>
      <c r="I344" s="54">
        <v>1.0</v>
      </c>
      <c r="J344" s="49">
        <f t="shared" ref="J344:K344" si="689">LEN(SUBSTITUTE(SUBSTITUTE(SUBSTITUTE(B344 ,"ˈ",""),"d̠ʒ","ʒ"),"t̠ʃ","ʃ"))</f>
        <v>5</v>
      </c>
      <c r="K344" s="44">
        <f t="shared" si="689"/>
        <v>7</v>
      </c>
      <c r="L344" s="51">
        <f t="shared" ref="L344:M344" si="690">LEN(D344)-LEN(B344)+1</f>
        <v>2</v>
      </c>
      <c r="M344" s="51">
        <f t="shared" si="690"/>
        <v>3</v>
      </c>
      <c r="N344" s="51">
        <f t="shared" si="5"/>
        <v>-2</v>
      </c>
      <c r="O344" s="51" t="str">
        <f t="shared" si="6"/>
        <v>Target</v>
      </c>
      <c r="P344" s="51">
        <f t="shared" si="7"/>
        <v>-1</v>
      </c>
      <c r="Q344" s="51" t="str">
        <f t="shared" si="8"/>
        <v>Target</v>
      </c>
    </row>
    <row r="345">
      <c r="A345" s="48" t="s">
        <v>14</v>
      </c>
      <c r="B345" s="49" t="s">
        <v>2469</v>
      </c>
      <c r="C345" s="49" t="s">
        <v>2470</v>
      </c>
      <c r="D345" s="49" t="s">
        <v>2471</v>
      </c>
      <c r="E345" s="49" t="s">
        <v>2472</v>
      </c>
      <c r="F345" s="49" t="s">
        <v>2227</v>
      </c>
      <c r="G345" s="49" t="s">
        <v>387</v>
      </c>
      <c r="H345" s="54">
        <v>3.0</v>
      </c>
      <c r="I345" s="54">
        <v>2.0</v>
      </c>
      <c r="J345" s="49">
        <f t="shared" ref="J345:K345" si="691">LEN(SUBSTITUTE(SUBSTITUTE(SUBSTITUTE(B345 ,"ˈ",""),"d̠ʒ","ʒ"),"t̠ʃ","ʃ"))</f>
        <v>5</v>
      </c>
      <c r="K345" s="44">
        <f t="shared" si="691"/>
        <v>5</v>
      </c>
      <c r="L345" s="51">
        <f t="shared" ref="L345:M345" si="692">LEN(D345)-LEN(B345)+1</f>
        <v>3</v>
      </c>
      <c r="M345" s="51">
        <f t="shared" si="692"/>
        <v>2</v>
      </c>
      <c r="N345" s="51">
        <f t="shared" si="5"/>
        <v>0</v>
      </c>
      <c r="O345" s="51" t="str">
        <f t="shared" si="6"/>
        <v>Equal</v>
      </c>
      <c r="P345" s="51">
        <f t="shared" si="7"/>
        <v>1</v>
      </c>
      <c r="Q345" s="51" t="str">
        <f t="shared" si="8"/>
        <v>Source</v>
      </c>
    </row>
    <row r="346">
      <c r="A346" s="48" t="s">
        <v>14</v>
      </c>
      <c r="B346" s="49" t="s">
        <v>2476</v>
      </c>
      <c r="C346" s="49" t="s">
        <v>2476</v>
      </c>
      <c r="D346" s="49" t="s">
        <v>2477</v>
      </c>
      <c r="E346" s="49" t="s">
        <v>2477</v>
      </c>
      <c r="F346" s="49" t="s">
        <v>2478</v>
      </c>
      <c r="G346" s="49" t="s">
        <v>2478</v>
      </c>
      <c r="H346" s="54">
        <v>1.0</v>
      </c>
      <c r="I346" s="54">
        <v>1.0</v>
      </c>
      <c r="J346" s="49">
        <f t="shared" ref="J346:K346" si="693">LEN(SUBSTITUTE(SUBSTITUTE(SUBSTITUTE(B346 ,"ˈ",""),"d̠ʒ","ʒ"),"t̠ʃ","ʃ"))</f>
        <v>4</v>
      </c>
      <c r="K346" s="44">
        <f t="shared" si="693"/>
        <v>4</v>
      </c>
      <c r="L346" s="51">
        <f t="shared" ref="L346:M346" si="694">LEN(D346)-LEN(B346)+1</f>
        <v>2</v>
      </c>
      <c r="M346" s="51">
        <f t="shared" si="694"/>
        <v>2</v>
      </c>
      <c r="N346" s="51">
        <f t="shared" si="5"/>
        <v>0</v>
      </c>
      <c r="O346" s="51" t="str">
        <f t="shared" si="6"/>
        <v>Equal</v>
      </c>
      <c r="P346" s="51">
        <f t="shared" si="7"/>
        <v>0</v>
      </c>
      <c r="Q346" s="51" t="str">
        <f t="shared" si="8"/>
        <v>Equal</v>
      </c>
    </row>
    <row r="347">
      <c r="A347" s="48" t="s">
        <v>14</v>
      </c>
      <c r="B347" s="49" t="s">
        <v>2481</v>
      </c>
      <c r="C347" s="49" t="s">
        <v>2482</v>
      </c>
      <c r="D347" s="49" t="s">
        <v>2483</v>
      </c>
      <c r="E347" s="49" t="s">
        <v>2484</v>
      </c>
      <c r="F347" s="49" t="s">
        <v>425</v>
      </c>
      <c r="G347" s="49" t="s">
        <v>425</v>
      </c>
      <c r="H347" s="54">
        <v>2.0</v>
      </c>
      <c r="I347" s="54">
        <v>2.0</v>
      </c>
      <c r="J347" s="49">
        <f t="shared" ref="J347:K347" si="695">LEN(SUBSTITUTE(SUBSTITUTE(SUBSTITUTE(B347 ,"ˈ",""),"d̠ʒ","ʒ"),"t̠ʃ","ʃ"))</f>
        <v>5</v>
      </c>
      <c r="K347" s="44">
        <f t="shared" si="695"/>
        <v>5</v>
      </c>
      <c r="L347" s="51">
        <f t="shared" ref="L347:M347" si="696">LEN(D347)-LEN(B347)+1</f>
        <v>2</v>
      </c>
      <c r="M347" s="51">
        <f t="shared" si="696"/>
        <v>2</v>
      </c>
      <c r="N347" s="51">
        <f t="shared" si="5"/>
        <v>0</v>
      </c>
      <c r="O347" s="51" t="str">
        <f t="shared" si="6"/>
        <v>Equal</v>
      </c>
      <c r="P347" s="51">
        <f t="shared" si="7"/>
        <v>0</v>
      </c>
      <c r="Q347" s="51" t="str">
        <f t="shared" si="8"/>
        <v>Equal</v>
      </c>
    </row>
    <row r="348">
      <c r="A348" s="48" t="s">
        <v>14</v>
      </c>
      <c r="B348" s="49" t="s">
        <v>2488</v>
      </c>
      <c r="C348" s="49" t="s">
        <v>2489</v>
      </c>
      <c r="D348" s="49" t="s">
        <v>2490</v>
      </c>
      <c r="E348" s="49" t="s">
        <v>2491</v>
      </c>
      <c r="F348" s="49" t="s">
        <v>2492</v>
      </c>
      <c r="G348" s="49" t="s">
        <v>2493</v>
      </c>
      <c r="H348" s="54">
        <v>1.0</v>
      </c>
      <c r="I348" s="54">
        <v>1.0</v>
      </c>
      <c r="J348" s="49">
        <f t="shared" ref="J348:K348" si="697">LEN(SUBSTITUTE(SUBSTITUTE(SUBSTITUTE(B348 ,"ˈ",""),"d̠ʒ","ʒ"),"t̠ʃ","ʃ"))</f>
        <v>5</v>
      </c>
      <c r="K348" s="44">
        <f t="shared" si="697"/>
        <v>6</v>
      </c>
      <c r="L348" s="51">
        <f t="shared" ref="L348:M348" si="698">LEN(D348)-LEN(B348)+1</f>
        <v>2</v>
      </c>
      <c r="M348" s="51">
        <f t="shared" si="698"/>
        <v>2</v>
      </c>
      <c r="N348" s="51">
        <f t="shared" si="5"/>
        <v>-1</v>
      </c>
      <c r="O348" s="51" t="str">
        <f t="shared" si="6"/>
        <v>Target</v>
      </c>
      <c r="P348" s="51">
        <f t="shared" si="7"/>
        <v>0</v>
      </c>
      <c r="Q348" s="51" t="str">
        <f t="shared" si="8"/>
        <v>Equal</v>
      </c>
    </row>
    <row r="349">
      <c r="A349" s="48" t="s">
        <v>14</v>
      </c>
      <c r="B349" s="49" t="s">
        <v>2496</v>
      </c>
      <c r="C349" s="49" t="s">
        <v>2497</v>
      </c>
      <c r="D349" s="49" t="s">
        <v>2498</v>
      </c>
      <c r="E349" s="49" t="s">
        <v>2499</v>
      </c>
      <c r="F349" s="49" t="s">
        <v>55</v>
      </c>
      <c r="G349" s="49" t="s">
        <v>56</v>
      </c>
      <c r="H349" s="54">
        <v>2.0</v>
      </c>
      <c r="I349" s="54">
        <v>2.0</v>
      </c>
      <c r="J349" s="49">
        <f t="shared" ref="J349:K349" si="699">LEN(SUBSTITUTE(SUBSTITUTE(SUBSTITUTE(B349 ,"ˈ",""),"d̠ʒ","ʒ"),"t̠ʃ","ʃ"))</f>
        <v>4</v>
      </c>
      <c r="K349" s="44">
        <f t="shared" si="699"/>
        <v>5</v>
      </c>
      <c r="L349" s="51">
        <f t="shared" ref="L349:M349" si="700">LEN(D349)-LEN(B349)+1</f>
        <v>2</v>
      </c>
      <c r="M349" s="51">
        <f t="shared" si="700"/>
        <v>2</v>
      </c>
      <c r="N349" s="51">
        <f t="shared" si="5"/>
        <v>-1</v>
      </c>
      <c r="O349" s="51" t="str">
        <f t="shared" si="6"/>
        <v>Target</v>
      </c>
      <c r="P349" s="51">
        <f t="shared" si="7"/>
        <v>0</v>
      </c>
      <c r="Q349" s="51" t="str">
        <f t="shared" si="8"/>
        <v>Equal</v>
      </c>
    </row>
    <row r="350">
      <c r="A350" s="48" t="s">
        <v>14</v>
      </c>
      <c r="B350" s="49" t="s">
        <v>2504</v>
      </c>
      <c r="C350" s="49" t="s">
        <v>2505</v>
      </c>
      <c r="D350" s="49" t="s">
        <v>2506</v>
      </c>
      <c r="E350" s="49" t="s">
        <v>2507</v>
      </c>
      <c r="F350" s="49" t="s">
        <v>128</v>
      </c>
      <c r="G350" s="49" t="s">
        <v>1855</v>
      </c>
      <c r="H350" s="54">
        <v>1.0</v>
      </c>
      <c r="I350" s="54">
        <v>1.0</v>
      </c>
      <c r="J350" s="49">
        <f t="shared" ref="J350:K350" si="701">LEN(SUBSTITUTE(SUBSTITUTE(SUBSTITUTE(B350 ,"ˈ",""),"d̠ʒ","ʒ"),"t̠ʃ","ʃ"))</f>
        <v>6</v>
      </c>
      <c r="K350" s="44">
        <f t="shared" si="701"/>
        <v>5</v>
      </c>
      <c r="L350" s="51">
        <f t="shared" ref="L350:M350" si="702">LEN(D350)-LEN(B350)+1</f>
        <v>3</v>
      </c>
      <c r="M350" s="51">
        <f t="shared" si="702"/>
        <v>2</v>
      </c>
      <c r="N350" s="51">
        <f t="shared" si="5"/>
        <v>1</v>
      </c>
      <c r="O350" s="51" t="str">
        <f t="shared" si="6"/>
        <v>Source</v>
      </c>
      <c r="P350" s="51">
        <f t="shared" si="7"/>
        <v>1</v>
      </c>
      <c r="Q350" s="51" t="str">
        <f t="shared" si="8"/>
        <v>Source</v>
      </c>
    </row>
    <row r="351">
      <c r="A351" s="48" t="s">
        <v>14</v>
      </c>
      <c r="B351" s="49" t="s">
        <v>2510</v>
      </c>
      <c r="C351" s="49" t="s">
        <v>2511</v>
      </c>
      <c r="D351" s="49" t="s">
        <v>2512</v>
      </c>
      <c r="E351" s="49" t="s">
        <v>2513</v>
      </c>
      <c r="F351" s="49" t="s">
        <v>98</v>
      </c>
      <c r="G351" s="49" t="s">
        <v>98</v>
      </c>
      <c r="H351" s="54">
        <v>3.0</v>
      </c>
      <c r="I351" s="54">
        <v>2.0</v>
      </c>
      <c r="J351" s="49">
        <f t="shared" ref="J351:K351" si="703">LEN(SUBSTITUTE(SUBSTITUTE(SUBSTITUTE(B351 ,"ˈ",""),"d̠ʒ","ʒ"),"t̠ʃ","ʃ"))</f>
        <v>5</v>
      </c>
      <c r="K351" s="44">
        <f t="shared" si="703"/>
        <v>4</v>
      </c>
      <c r="L351" s="51">
        <f t="shared" ref="L351:M351" si="704">LEN(D351)-LEN(B351)+1</f>
        <v>3</v>
      </c>
      <c r="M351" s="51">
        <f t="shared" si="704"/>
        <v>2</v>
      </c>
      <c r="N351" s="51">
        <f t="shared" si="5"/>
        <v>1</v>
      </c>
      <c r="O351" s="51" t="str">
        <f t="shared" si="6"/>
        <v>Source</v>
      </c>
      <c r="P351" s="51">
        <f t="shared" si="7"/>
        <v>1</v>
      </c>
      <c r="Q351" s="51" t="str">
        <f t="shared" si="8"/>
        <v>Source</v>
      </c>
    </row>
    <row r="352">
      <c r="A352" s="48" t="s">
        <v>14</v>
      </c>
      <c r="B352" s="49" t="s">
        <v>2516</v>
      </c>
      <c r="C352" s="49" t="s">
        <v>2457</v>
      </c>
      <c r="D352" s="49" t="s">
        <v>2517</v>
      </c>
      <c r="E352" s="49" t="s">
        <v>2459</v>
      </c>
      <c r="F352" s="49" t="s">
        <v>3700</v>
      </c>
      <c r="G352" s="49" t="s">
        <v>143</v>
      </c>
      <c r="H352" s="54">
        <v>1.0</v>
      </c>
      <c r="I352" s="54">
        <v>1.0</v>
      </c>
      <c r="J352" s="49">
        <f t="shared" ref="J352:K352" si="705">LEN(SUBSTITUTE(SUBSTITUTE(SUBSTITUTE(B352 ,"ˈ",""),"d̠ʒ","ʒ"),"t̠ʃ","ʃ"))</f>
        <v>5</v>
      </c>
      <c r="K352" s="44">
        <f t="shared" si="705"/>
        <v>6</v>
      </c>
      <c r="L352" s="51">
        <f t="shared" ref="L352:M352" si="706">LEN(D352)-LEN(B352)+1</f>
        <v>2</v>
      </c>
      <c r="M352" s="51">
        <f t="shared" si="706"/>
        <v>3</v>
      </c>
      <c r="N352" s="51">
        <f t="shared" si="5"/>
        <v>-1</v>
      </c>
      <c r="O352" s="51" t="str">
        <f t="shared" si="6"/>
        <v>Target</v>
      </c>
      <c r="P352" s="51">
        <f t="shared" si="7"/>
        <v>-1</v>
      </c>
      <c r="Q352" s="51" t="str">
        <f t="shared" si="8"/>
        <v>Target</v>
      </c>
    </row>
    <row r="353">
      <c r="A353" s="48" t="s">
        <v>14</v>
      </c>
      <c r="B353" s="49" t="s">
        <v>2518</v>
      </c>
      <c r="C353" s="49" t="s">
        <v>2519</v>
      </c>
      <c r="D353" s="49" t="s">
        <v>2520</v>
      </c>
      <c r="E353" s="49" t="s">
        <v>2521</v>
      </c>
      <c r="F353" s="49" t="s">
        <v>2227</v>
      </c>
      <c r="G353" s="49" t="s">
        <v>101</v>
      </c>
      <c r="H353" s="54">
        <v>2.0</v>
      </c>
      <c r="I353" s="54">
        <v>2.0</v>
      </c>
      <c r="J353" s="49">
        <f t="shared" ref="J353:K353" si="707">LEN(SUBSTITUTE(SUBSTITUTE(SUBSTITUTE(B353 ,"ˈ",""),"d̠ʒ","ʒ"),"t̠ʃ","ʃ"))</f>
        <v>4</v>
      </c>
      <c r="K353" s="44">
        <f t="shared" si="707"/>
        <v>5</v>
      </c>
      <c r="L353" s="51">
        <f t="shared" ref="L353:M353" si="708">LEN(D353)-LEN(B353)+1</f>
        <v>2</v>
      </c>
      <c r="M353" s="51">
        <f t="shared" si="708"/>
        <v>2</v>
      </c>
      <c r="N353" s="51">
        <f t="shared" si="5"/>
        <v>-1</v>
      </c>
      <c r="O353" s="51" t="str">
        <f t="shared" si="6"/>
        <v>Target</v>
      </c>
      <c r="P353" s="51">
        <f t="shared" si="7"/>
        <v>0</v>
      </c>
      <c r="Q353" s="51" t="str">
        <f t="shared" si="8"/>
        <v>Equal</v>
      </c>
    </row>
    <row r="354">
      <c r="A354" s="48" t="s">
        <v>14</v>
      </c>
      <c r="B354" s="49" t="s">
        <v>2524</v>
      </c>
      <c r="C354" s="49" t="s">
        <v>2531</v>
      </c>
      <c r="D354" s="49" t="s">
        <v>2526</v>
      </c>
      <c r="E354" s="49" t="s">
        <v>2533</v>
      </c>
      <c r="F354" s="49" t="s">
        <v>108</v>
      </c>
      <c r="G354" s="49" t="s">
        <v>49</v>
      </c>
      <c r="H354" s="54">
        <v>1.0</v>
      </c>
      <c r="I354" s="54">
        <v>1.0</v>
      </c>
      <c r="J354" s="49">
        <f t="shared" ref="J354:K354" si="709">LEN(SUBSTITUTE(SUBSTITUTE(SUBSTITUTE(B354 ,"ˈ",""),"d̠ʒ","ʒ"),"t̠ʃ","ʃ"))</f>
        <v>4</v>
      </c>
      <c r="K354" s="44">
        <f t="shared" si="709"/>
        <v>8</v>
      </c>
      <c r="L354" s="51">
        <f t="shared" ref="L354:M354" si="710">LEN(D354)-LEN(B354)+1</f>
        <v>2</v>
      </c>
      <c r="M354" s="51">
        <f t="shared" si="710"/>
        <v>4</v>
      </c>
      <c r="N354" s="51">
        <f t="shared" si="5"/>
        <v>-4</v>
      </c>
      <c r="O354" s="51" t="str">
        <f t="shared" si="6"/>
        <v>Target</v>
      </c>
      <c r="P354" s="51">
        <f t="shared" si="7"/>
        <v>-2</v>
      </c>
      <c r="Q354" s="51" t="str">
        <f t="shared" si="8"/>
        <v>Target</v>
      </c>
    </row>
    <row r="355">
      <c r="A355" s="48" t="s">
        <v>14</v>
      </c>
      <c r="B355" s="49" t="s">
        <v>2530</v>
      </c>
      <c r="C355" s="49" t="s">
        <v>2531</v>
      </c>
      <c r="D355" s="49" t="s">
        <v>2532</v>
      </c>
      <c r="E355" s="49" t="s">
        <v>2533</v>
      </c>
      <c r="F355" s="49" t="s">
        <v>362</v>
      </c>
      <c r="G355" s="49" t="s">
        <v>784</v>
      </c>
      <c r="H355" s="54">
        <v>2.0</v>
      </c>
      <c r="I355" s="54">
        <v>4.0</v>
      </c>
      <c r="J355" s="49">
        <f t="shared" ref="J355:K355" si="711">LEN(SUBSTITUTE(SUBSTITUTE(SUBSTITUTE(B355 ,"ˈ",""),"d̠ʒ","ʒ"),"t̠ʃ","ʃ"))</f>
        <v>4</v>
      </c>
      <c r="K355" s="44">
        <f t="shared" si="711"/>
        <v>8</v>
      </c>
      <c r="L355" s="51">
        <f t="shared" ref="L355:M355" si="712">LEN(D355)-LEN(B355)+1</f>
        <v>2</v>
      </c>
      <c r="M355" s="51">
        <f t="shared" si="712"/>
        <v>4</v>
      </c>
      <c r="N355" s="51">
        <f t="shared" si="5"/>
        <v>-4</v>
      </c>
      <c r="O355" s="51" t="str">
        <f t="shared" si="6"/>
        <v>Target</v>
      </c>
      <c r="P355" s="51">
        <f t="shared" si="7"/>
        <v>-2</v>
      </c>
      <c r="Q355" s="51" t="str">
        <f t="shared" si="8"/>
        <v>Target</v>
      </c>
    </row>
    <row r="356">
      <c r="A356" s="48" t="s">
        <v>14</v>
      </c>
      <c r="B356" s="49" t="s">
        <v>2535</v>
      </c>
      <c r="C356" s="49" t="s">
        <v>2536</v>
      </c>
      <c r="D356" s="49" t="s">
        <v>2537</v>
      </c>
      <c r="E356" s="49" t="s">
        <v>2538</v>
      </c>
      <c r="F356" s="49" t="s">
        <v>425</v>
      </c>
      <c r="G356" s="49" t="s">
        <v>1393</v>
      </c>
      <c r="H356" s="54">
        <v>1.0</v>
      </c>
      <c r="I356" s="54">
        <v>1.0</v>
      </c>
      <c r="J356" s="49">
        <f t="shared" ref="J356:K356" si="713">LEN(SUBSTITUTE(SUBSTITUTE(SUBSTITUTE(B356 ,"ˈ",""),"d̠ʒ","ʒ"),"t̠ʃ","ʃ"))</f>
        <v>6</v>
      </c>
      <c r="K356" s="44">
        <f t="shared" si="713"/>
        <v>7</v>
      </c>
      <c r="L356" s="51">
        <f t="shared" ref="L356:M356" si="714">LEN(D356)-LEN(B356)+1</f>
        <v>3</v>
      </c>
      <c r="M356" s="51">
        <f t="shared" si="714"/>
        <v>3</v>
      </c>
      <c r="N356" s="51">
        <f t="shared" si="5"/>
        <v>-1</v>
      </c>
      <c r="O356" s="51" t="str">
        <f t="shared" si="6"/>
        <v>Target</v>
      </c>
      <c r="P356" s="51">
        <f t="shared" si="7"/>
        <v>0</v>
      </c>
      <c r="Q356" s="51" t="str">
        <f t="shared" si="8"/>
        <v>Equal</v>
      </c>
    </row>
    <row r="357">
      <c r="A357" s="48" t="s">
        <v>14</v>
      </c>
      <c r="B357" s="49" t="s">
        <v>2541</v>
      </c>
      <c r="C357" s="49" t="s">
        <v>2542</v>
      </c>
      <c r="D357" s="49" t="s">
        <v>2543</v>
      </c>
      <c r="E357" s="49" t="s">
        <v>2544</v>
      </c>
      <c r="F357" s="49" t="s">
        <v>784</v>
      </c>
      <c r="G357" s="49" t="s">
        <v>784</v>
      </c>
      <c r="H357" s="54">
        <v>2.0</v>
      </c>
      <c r="I357" s="54">
        <v>2.0</v>
      </c>
      <c r="J357" s="49">
        <f t="shared" ref="J357:K357" si="715">LEN(SUBSTITUTE(SUBSTITUTE(SUBSTITUTE(B357 ,"ˈ",""),"d̠ʒ","ʒ"),"t̠ʃ","ʃ"))</f>
        <v>4</v>
      </c>
      <c r="K357" s="44">
        <f t="shared" si="715"/>
        <v>5</v>
      </c>
      <c r="L357" s="51">
        <f t="shared" ref="L357:M357" si="716">LEN(D357)-LEN(B357)+1</f>
        <v>2</v>
      </c>
      <c r="M357" s="51">
        <f t="shared" si="716"/>
        <v>2</v>
      </c>
      <c r="N357" s="51">
        <f t="shared" si="5"/>
        <v>-1</v>
      </c>
      <c r="O357" s="51" t="str">
        <f t="shared" si="6"/>
        <v>Target</v>
      </c>
      <c r="P357" s="51">
        <f t="shared" si="7"/>
        <v>0</v>
      </c>
      <c r="Q357" s="51" t="str">
        <f t="shared" si="8"/>
        <v>Equal</v>
      </c>
    </row>
    <row r="358">
      <c r="A358" s="48" t="s">
        <v>14</v>
      </c>
      <c r="B358" s="49" t="s">
        <v>2548</v>
      </c>
      <c r="C358" s="49" t="s">
        <v>2549</v>
      </c>
      <c r="D358" s="49" t="s">
        <v>2550</v>
      </c>
      <c r="E358" s="49" t="s">
        <v>2549</v>
      </c>
      <c r="F358" s="49" t="s">
        <v>128</v>
      </c>
      <c r="G358" s="49" t="s">
        <v>2549</v>
      </c>
      <c r="H358" s="54">
        <v>1.0</v>
      </c>
      <c r="I358" s="54">
        <v>1.0</v>
      </c>
      <c r="J358" s="49">
        <f t="shared" ref="J358:K358" si="717">LEN(SUBSTITUTE(SUBSTITUTE(SUBSTITUTE(B358 ,"ˈ",""),"d̠ʒ","ʒ"),"t̠ʃ","ʃ"))</f>
        <v>5</v>
      </c>
      <c r="K358" s="44">
        <f t="shared" si="717"/>
        <v>3</v>
      </c>
      <c r="L358" s="51">
        <f t="shared" ref="L358:M358" si="718">LEN(D358)-LEN(B358)+1</f>
        <v>3</v>
      </c>
      <c r="M358" s="51">
        <f t="shared" si="718"/>
        <v>1</v>
      </c>
      <c r="N358" s="51">
        <f t="shared" si="5"/>
        <v>2</v>
      </c>
      <c r="O358" s="51" t="str">
        <f t="shared" si="6"/>
        <v>Source</v>
      </c>
      <c r="P358" s="51">
        <f t="shared" si="7"/>
        <v>2</v>
      </c>
      <c r="Q358" s="51" t="str">
        <f t="shared" si="8"/>
        <v>Source</v>
      </c>
    </row>
    <row r="359">
      <c r="A359" s="48" t="s">
        <v>14</v>
      </c>
      <c r="B359" s="49" t="s">
        <v>2554</v>
      </c>
      <c r="C359" s="49" t="s">
        <v>2555</v>
      </c>
      <c r="D359" s="49" t="s">
        <v>2556</v>
      </c>
      <c r="E359" s="49" t="s">
        <v>2557</v>
      </c>
      <c r="F359" s="49" t="s">
        <v>2553</v>
      </c>
      <c r="G359" s="49" t="s">
        <v>1983</v>
      </c>
      <c r="H359" s="54">
        <v>3.0</v>
      </c>
      <c r="I359" s="54">
        <v>3.0</v>
      </c>
      <c r="J359" s="49">
        <f t="shared" ref="J359:K359" si="719">LEN(SUBSTITUTE(SUBSTITUTE(SUBSTITUTE(B359 ,"ˈ",""),"d̠ʒ","ʒ"),"t̠ʃ","ʃ"))</f>
        <v>5</v>
      </c>
      <c r="K359" s="44">
        <f t="shared" si="719"/>
        <v>5</v>
      </c>
      <c r="L359" s="51">
        <f t="shared" ref="L359:M359" si="720">LEN(D359)-LEN(B359)+1</f>
        <v>3</v>
      </c>
      <c r="M359" s="51">
        <f t="shared" si="720"/>
        <v>3</v>
      </c>
      <c r="N359" s="51">
        <f t="shared" si="5"/>
        <v>0</v>
      </c>
      <c r="O359" s="51" t="str">
        <f t="shared" si="6"/>
        <v>Equal</v>
      </c>
      <c r="P359" s="51">
        <f t="shared" si="7"/>
        <v>0</v>
      </c>
      <c r="Q359" s="51" t="str">
        <f t="shared" si="8"/>
        <v>Equal</v>
      </c>
    </row>
    <row r="360">
      <c r="A360" s="48" t="s">
        <v>14</v>
      </c>
      <c r="B360" s="49" t="s">
        <v>2560</v>
      </c>
      <c r="C360" s="48" t="s">
        <v>2561</v>
      </c>
      <c r="D360" s="49" t="s">
        <v>2562</v>
      </c>
      <c r="E360" s="49" t="s">
        <v>2562</v>
      </c>
      <c r="F360" s="49" t="s">
        <v>443</v>
      </c>
      <c r="G360" s="49" t="s">
        <v>443</v>
      </c>
      <c r="H360" s="54">
        <v>1.0</v>
      </c>
      <c r="I360" s="54">
        <v>1.0</v>
      </c>
      <c r="J360" s="49">
        <f t="shared" ref="J360:K360" si="721">LEN(SUBSTITUTE(SUBSTITUTE(SUBSTITUTE(B360 ,"ˈ",""),"d̠ʒ","ʒ"),"t̠ʃ","ʃ"))</f>
        <v>5</v>
      </c>
      <c r="K360" s="44">
        <f t="shared" si="721"/>
        <v>4</v>
      </c>
      <c r="L360" s="51">
        <f t="shared" ref="L360:M360" si="722">LEN(D360)-LEN(B360)+1</f>
        <v>2</v>
      </c>
      <c r="M360" s="51">
        <f t="shared" si="722"/>
        <v>3</v>
      </c>
      <c r="N360" s="51">
        <f t="shared" si="5"/>
        <v>1</v>
      </c>
      <c r="O360" s="51" t="str">
        <f t="shared" si="6"/>
        <v>Source</v>
      </c>
      <c r="P360" s="51">
        <f t="shared" si="7"/>
        <v>-1</v>
      </c>
      <c r="Q360" s="51" t="str">
        <f t="shared" si="8"/>
        <v>Target</v>
      </c>
    </row>
    <row r="361">
      <c r="A361" s="48" t="s">
        <v>14</v>
      </c>
      <c r="B361" s="49" t="s">
        <v>2565</v>
      </c>
      <c r="C361" s="49" t="s">
        <v>2566</v>
      </c>
      <c r="D361" s="49" t="s">
        <v>2567</v>
      </c>
      <c r="E361" s="49" t="s">
        <v>2568</v>
      </c>
      <c r="F361" s="49" t="s">
        <v>2573</v>
      </c>
      <c r="G361" s="49" t="s">
        <v>784</v>
      </c>
      <c r="H361" s="54">
        <v>2.0</v>
      </c>
      <c r="I361" s="54">
        <v>2.0</v>
      </c>
      <c r="J361" s="49">
        <f t="shared" ref="J361:K361" si="723">LEN(SUBSTITUTE(SUBSTITUTE(SUBSTITUTE(B361 ,"ˈ",""),"d̠ʒ","ʒ"),"t̠ʃ","ʃ"))</f>
        <v>4</v>
      </c>
      <c r="K361" s="44">
        <f t="shared" si="723"/>
        <v>4</v>
      </c>
      <c r="L361" s="51">
        <f t="shared" ref="L361:M361" si="724">LEN(D361)-LEN(B361)+1</f>
        <v>2</v>
      </c>
      <c r="M361" s="51">
        <f t="shared" si="724"/>
        <v>2</v>
      </c>
      <c r="N361" s="51">
        <f t="shared" si="5"/>
        <v>0</v>
      </c>
      <c r="O361" s="51" t="str">
        <f t="shared" si="6"/>
        <v>Equal</v>
      </c>
      <c r="P361" s="51">
        <f t="shared" si="7"/>
        <v>0</v>
      </c>
      <c r="Q361" s="51" t="str">
        <f t="shared" si="8"/>
        <v>Equal</v>
      </c>
    </row>
    <row r="362">
      <c r="A362" s="48" t="s">
        <v>14</v>
      </c>
      <c r="B362" s="49" t="s">
        <v>2574</v>
      </c>
      <c r="C362" s="49" t="s">
        <v>2575</v>
      </c>
      <c r="D362" s="49" t="s">
        <v>2576</v>
      </c>
      <c r="E362" s="49" t="s">
        <v>2577</v>
      </c>
      <c r="F362" s="49" t="s">
        <v>451</v>
      </c>
      <c r="G362" s="49" t="s">
        <v>451</v>
      </c>
      <c r="H362" s="54">
        <v>1.0</v>
      </c>
      <c r="I362" s="54">
        <v>1.0</v>
      </c>
      <c r="J362" s="49">
        <f t="shared" ref="J362:K362" si="725">LEN(SUBSTITUTE(SUBSTITUTE(SUBSTITUTE(B362 ,"ˈ",""),"d̠ʒ","ʒ"),"t̠ʃ","ʃ"))</f>
        <v>4</v>
      </c>
      <c r="K362" s="44">
        <f t="shared" si="725"/>
        <v>5</v>
      </c>
      <c r="L362" s="51">
        <f t="shared" ref="L362:M362" si="726">LEN(D362)-LEN(B362)+1</f>
        <v>2</v>
      </c>
      <c r="M362" s="51">
        <f t="shared" si="726"/>
        <v>2</v>
      </c>
      <c r="N362" s="51">
        <f t="shared" si="5"/>
        <v>-1</v>
      </c>
      <c r="O362" s="51" t="str">
        <f t="shared" si="6"/>
        <v>Target</v>
      </c>
      <c r="P362" s="51">
        <f t="shared" si="7"/>
        <v>0</v>
      </c>
      <c r="Q362" s="51" t="str">
        <f t="shared" si="8"/>
        <v>Equal</v>
      </c>
    </row>
    <row r="363">
      <c r="A363" s="48" t="s">
        <v>14</v>
      </c>
      <c r="B363" s="49" t="s">
        <v>2581</v>
      </c>
      <c r="C363" s="49" t="s">
        <v>2582</v>
      </c>
      <c r="D363" s="49" t="s">
        <v>2583</v>
      </c>
      <c r="E363" s="49" t="s">
        <v>2584</v>
      </c>
      <c r="F363" s="49" t="s">
        <v>419</v>
      </c>
      <c r="G363" s="49" t="s">
        <v>425</v>
      </c>
      <c r="H363" s="54">
        <v>3.0</v>
      </c>
      <c r="I363" s="54">
        <v>3.0</v>
      </c>
      <c r="J363" s="49">
        <f t="shared" ref="J363:K363" si="727">LEN(SUBSTITUTE(SUBSTITUTE(SUBSTITUTE(B363 ,"ˈ",""),"d̠ʒ","ʒ"),"t̠ʃ","ʃ"))</f>
        <v>6</v>
      </c>
      <c r="K363" s="44">
        <f t="shared" si="727"/>
        <v>6</v>
      </c>
      <c r="L363" s="51">
        <f t="shared" ref="L363:M363" si="728">LEN(D363)-LEN(B363)+1</f>
        <v>3</v>
      </c>
      <c r="M363" s="51">
        <f t="shared" si="728"/>
        <v>3</v>
      </c>
      <c r="N363" s="51">
        <f t="shared" si="5"/>
        <v>0</v>
      </c>
      <c r="O363" s="51" t="str">
        <f t="shared" si="6"/>
        <v>Equal</v>
      </c>
      <c r="P363" s="51">
        <f t="shared" si="7"/>
        <v>0</v>
      </c>
      <c r="Q363" s="51" t="str">
        <f t="shared" si="8"/>
        <v>Equal</v>
      </c>
    </row>
    <row r="364">
      <c r="A364" s="48" t="s">
        <v>14</v>
      </c>
      <c r="B364" s="49" t="s">
        <v>2586</v>
      </c>
      <c r="C364" s="48" t="s">
        <v>2586</v>
      </c>
      <c r="D364" s="49" t="s">
        <v>2587</v>
      </c>
      <c r="E364" s="49" t="s">
        <v>2587</v>
      </c>
      <c r="F364" s="49" t="s">
        <v>162</v>
      </c>
      <c r="G364" s="49" t="s">
        <v>162</v>
      </c>
      <c r="H364" s="54">
        <v>1.0</v>
      </c>
      <c r="I364" s="54">
        <v>1.0</v>
      </c>
      <c r="J364" s="49">
        <f t="shared" ref="J364:K364" si="729">LEN(SUBSTITUTE(SUBSTITUTE(SUBSTITUTE(B364 ,"ˈ",""),"d̠ʒ","ʒ"),"t̠ʃ","ʃ"))</f>
        <v>5</v>
      </c>
      <c r="K364" s="44">
        <f t="shared" si="729"/>
        <v>5</v>
      </c>
      <c r="L364" s="51">
        <f t="shared" ref="L364:M364" si="730">LEN(D364)-LEN(B364)+1</f>
        <v>2</v>
      </c>
      <c r="M364" s="51">
        <f t="shared" si="730"/>
        <v>2</v>
      </c>
      <c r="N364" s="51">
        <f t="shared" si="5"/>
        <v>0</v>
      </c>
      <c r="O364" s="51" t="str">
        <f t="shared" si="6"/>
        <v>Equal</v>
      </c>
      <c r="P364" s="51">
        <f t="shared" si="7"/>
        <v>0</v>
      </c>
      <c r="Q364" s="51" t="str">
        <f t="shared" si="8"/>
        <v>Equal</v>
      </c>
    </row>
    <row r="365">
      <c r="A365" s="48" t="s">
        <v>14</v>
      </c>
      <c r="B365" s="49" t="s">
        <v>2590</v>
      </c>
      <c r="C365" s="49" t="s">
        <v>2591</v>
      </c>
      <c r="D365" s="49" t="s">
        <v>2590</v>
      </c>
      <c r="E365" s="49" t="s">
        <v>2592</v>
      </c>
      <c r="F365" s="49" t="s">
        <v>36</v>
      </c>
      <c r="G365" s="49" t="s">
        <v>2595</v>
      </c>
      <c r="H365" s="54" t="s">
        <v>36</v>
      </c>
      <c r="I365" s="54">
        <v>2.0</v>
      </c>
      <c r="J365" s="49">
        <f t="shared" ref="J365:K365" si="731">LEN(SUBSTITUTE(SUBSTITUTE(SUBSTITUTE(B365 ,"ˈ",""),"d̠ʒ","ʒ"),"t̠ʃ","ʃ"))</f>
        <v>3</v>
      </c>
      <c r="K365" s="44">
        <f t="shared" si="731"/>
        <v>5</v>
      </c>
      <c r="L365" s="51">
        <f t="shared" ref="L365:M365" si="732">LEN(D365)-LEN(B365)+1</f>
        <v>1</v>
      </c>
      <c r="M365" s="51">
        <f t="shared" si="732"/>
        <v>2</v>
      </c>
      <c r="N365" s="51">
        <f t="shared" si="5"/>
        <v>-2</v>
      </c>
      <c r="O365" s="51" t="str">
        <f t="shared" si="6"/>
        <v>Target</v>
      </c>
      <c r="P365" s="51">
        <f t="shared" si="7"/>
        <v>-1</v>
      </c>
      <c r="Q365" s="51" t="str">
        <f t="shared" si="8"/>
        <v>Target</v>
      </c>
    </row>
    <row r="366">
      <c r="A366" s="48" t="s">
        <v>14</v>
      </c>
      <c r="B366" s="49" t="s">
        <v>2596</v>
      </c>
      <c r="C366" s="49" t="s">
        <v>2597</v>
      </c>
      <c r="D366" s="49" t="s">
        <v>2598</v>
      </c>
      <c r="E366" s="49" t="s">
        <v>2599</v>
      </c>
      <c r="F366" s="49" t="s">
        <v>2600</v>
      </c>
      <c r="G366" s="49" t="s">
        <v>202</v>
      </c>
      <c r="H366" s="54">
        <v>1.0</v>
      </c>
      <c r="I366" s="54">
        <v>1.0</v>
      </c>
      <c r="J366" s="49">
        <f t="shared" ref="J366:K366" si="733">LEN(SUBSTITUTE(SUBSTITUTE(SUBSTITUTE(B366 ,"ˈ",""),"d̠ʒ","ʒ"),"t̠ʃ","ʃ"))</f>
        <v>4</v>
      </c>
      <c r="K366" s="44">
        <f t="shared" si="733"/>
        <v>4</v>
      </c>
      <c r="L366" s="51">
        <f t="shared" ref="L366:M366" si="734">LEN(D366)-LEN(B366)+1</f>
        <v>2</v>
      </c>
      <c r="M366" s="51">
        <f t="shared" si="734"/>
        <v>2</v>
      </c>
      <c r="N366" s="51">
        <f t="shared" si="5"/>
        <v>0</v>
      </c>
      <c r="O366" s="51" t="str">
        <f t="shared" si="6"/>
        <v>Equal</v>
      </c>
      <c r="P366" s="51">
        <f t="shared" si="7"/>
        <v>0</v>
      </c>
      <c r="Q366" s="51" t="str">
        <f t="shared" si="8"/>
        <v>Equal</v>
      </c>
    </row>
    <row r="367">
      <c r="A367" s="48" t="s">
        <v>14</v>
      </c>
      <c r="B367" s="49" t="s">
        <v>2603</v>
      </c>
      <c r="C367" s="49" t="s">
        <v>2604</v>
      </c>
      <c r="D367" s="49" t="s">
        <v>2605</v>
      </c>
      <c r="E367" s="49" t="s">
        <v>2606</v>
      </c>
      <c r="F367" s="49" t="s">
        <v>387</v>
      </c>
      <c r="G367" s="49" t="s">
        <v>387</v>
      </c>
      <c r="H367" s="54">
        <v>2.0</v>
      </c>
      <c r="I367" s="54">
        <v>3.0</v>
      </c>
      <c r="J367" s="49">
        <f t="shared" ref="J367:K367" si="735">LEN(SUBSTITUTE(SUBSTITUTE(SUBSTITUTE(B367 ,"ˈ",""),"d̠ʒ","ʒ"),"t̠ʃ","ʃ"))</f>
        <v>5</v>
      </c>
      <c r="K367" s="44">
        <f t="shared" si="735"/>
        <v>6</v>
      </c>
      <c r="L367" s="51">
        <f t="shared" ref="L367:M367" si="736">LEN(D367)-LEN(B367)+1</f>
        <v>2</v>
      </c>
      <c r="M367" s="51">
        <f t="shared" si="736"/>
        <v>3</v>
      </c>
      <c r="N367" s="51">
        <f t="shared" si="5"/>
        <v>-1</v>
      </c>
      <c r="O367" s="51" t="str">
        <f t="shared" si="6"/>
        <v>Target</v>
      </c>
      <c r="P367" s="51">
        <f t="shared" si="7"/>
        <v>-1</v>
      </c>
      <c r="Q367" s="51" t="str">
        <f t="shared" si="8"/>
        <v>Target</v>
      </c>
    </row>
    <row r="368">
      <c r="A368" s="48" t="s">
        <v>14</v>
      </c>
      <c r="B368" s="49" t="s">
        <v>2611</v>
      </c>
      <c r="C368" s="49" t="s">
        <v>2612</v>
      </c>
      <c r="D368" s="49" t="s">
        <v>2613</v>
      </c>
      <c r="E368" s="49" t="s">
        <v>2614</v>
      </c>
      <c r="F368" s="49" t="s">
        <v>202</v>
      </c>
      <c r="G368" s="49" t="s">
        <v>202</v>
      </c>
      <c r="H368" s="54">
        <v>1.0</v>
      </c>
      <c r="I368" s="54">
        <v>1.0</v>
      </c>
      <c r="J368" s="49">
        <f t="shared" ref="J368:K368" si="737">LEN(SUBSTITUTE(SUBSTITUTE(SUBSTITUTE(B368 ,"ˈ",""),"d̠ʒ","ʒ"),"t̠ʃ","ʃ"))</f>
        <v>4</v>
      </c>
      <c r="K368" s="44">
        <f t="shared" si="737"/>
        <v>4</v>
      </c>
      <c r="L368" s="51">
        <f t="shared" ref="L368:M368" si="738">LEN(D368)-LEN(B368)+1</f>
        <v>2</v>
      </c>
      <c r="M368" s="51">
        <f t="shared" si="738"/>
        <v>2</v>
      </c>
      <c r="N368" s="51">
        <f t="shared" si="5"/>
        <v>0</v>
      </c>
      <c r="O368" s="51" t="str">
        <f t="shared" si="6"/>
        <v>Equal</v>
      </c>
      <c r="P368" s="51">
        <f t="shared" si="7"/>
        <v>0</v>
      </c>
      <c r="Q368" s="51" t="str">
        <f t="shared" si="8"/>
        <v>Equal</v>
      </c>
    </row>
    <row r="369">
      <c r="A369" s="48" t="s">
        <v>14</v>
      </c>
      <c r="B369" s="49" t="s">
        <v>2617</v>
      </c>
      <c r="C369" s="49" t="s">
        <v>2617</v>
      </c>
      <c r="D369" s="49" t="s">
        <v>2618</v>
      </c>
      <c r="E369" s="49" t="s">
        <v>2618</v>
      </c>
      <c r="F369" s="49" t="s">
        <v>387</v>
      </c>
      <c r="G369" s="49" t="s">
        <v>387</v>
      </c>
      <c r="H369" s="54">
        <v>2.0</v>
      </c>
      <c r="I369" s="54">
        <v>2.0</v>
      </c>
      <c r="J369" s="49">
        <f t="shared" ref="J369:K369" si="739">LEN(SUBSTITUTE(SUBSTITUTE(SUBSTITUTE(B369 ,"ˈ",""),"d̠ʒ","ʒ"),"t̠ʃ","ʃ"))</f>
        <v>4</v>
      </c>
      <c r="K369" s="44">
        <f t="shared" si="739"/>
        <v>4</v>
      </c>
      <c r="L369" s="51">
        <f t="shared" ref="L369:M369" si="740">LEN(D369)-LEN(B369)+1</f>
        <v>2</v>
      </c>
      <c r="M369" s="51">
        <f t="shared" si="740"/>
        <v>2</v>
      </c>
      <c r="N369" s="51">
        <f t="shared" si="5"/>
        <v>0</v>
      </c>
      <c r="O369" s="51" t="str">
        <f t="shared" si="6"/>
        <v>Equal</v>
      </c>
      <c r="P369" s="51">
        <f t="shared" si="7"/>
        <v>0</v>
      </c>
      <c r="Q369" s="51" t="str">
        <f t="shared" si="8"/>
        <v>Equal</v>
      </c>
    </row>
    <row r="370">
      <c r="A370" s="48" t="s">
        <v>14</v>
      </c>
      <c r="B370" s="49" t="s">
        <v>2621</v>
      </c>
      <c r="C370" s="49" t="s">
        <v>2622</v>
      </c>
      <c r="D370" s="49" t="s">
        <v>2623</v>
      </c>
      <c r="E370" s="49" t="s">
        <v>2624</v>
      </c>
      <c r="F370" s="49" t="s">
        <v>133</v>
      </c>
      <c r="G370" s="49" t="s">
        <v>287</v>
      </c>
      <c r="H370" s="54">
        <v>1.0</v>
      </c>
      <c r="I370" s="54">
        <v>1.0</v>
      </c>
      <c r="J370" s="49">
        <f t="shared" ref="J370:K370" si="741">LEN(SUBSTITUTE(SUBSTITUTE(SUBSTITUTE(B370 ,"ˈ",""),"d̠ʒ","ʒ"),"t̠ʃ","ʃ"))</f>
        <v>6</v>
      </c>
      <c r="K370" s="44">
        <f t="shared" si="741"/>
        <v>7</v>
      </c>
      <c r="L370" s="51">
        <f t="shared" ref="L370:M370" si="742">LEN(D370)-LEN(B370)+1</f>
        <v>3</v>
      </c>
      <c r="M370" s="51">
        <f t="shared" si="742"/>
        <v>4</v>
      </c>
      <c r="N370" s="51">
        <f t="shared" si="5"/>
        <v>-1</v>
      </c>
      <c r="O370" s="51" t="str">
        <f t="shared" si="6"/>
        <v>Target</v>
      </c>
      <c r="P370" s="51">
        <f t="shared" si="7"/>
        <v>-1</v>
      </c>
      <c r="Q370" s="51" t="str">
        <f t="shared" si="8"/>
        <v>Target</v>
      </c>
    </row>
    <row r="371">
      <c r="A371" s="48" t="s">
        <v>14</v>
      </c>
      <c r="B371" s="49" t="s">
        <v>2627</v>
      </c>
      <c r="C371" s="49" t="s">
        <v>2628</v>
      </c>
      <c r="D371" s="49" t="s">
        <v>2629</v>
      </c>
      <c r="E371" s="49" t="s">
        <v>2630</v>
      </c>
      <c r="F371" s="49" t="s">
        <v>2175</v>
      </c>
      <c r="G371" s="49" t="s">
        <v>2634</v>
      </c>
      <c r="H371" s="54">
        <v>2.0</v>
      </c>
      <c r="I371" s="54">
        <v>2.0</v>
      </c>
      <c r="J371" s="49">
        <f t="shared" ref="J371:K371" si="743">LEN(SUBSTITUTE(SUBSTITUTE(SUBSTITUTE(B371 ,"ˈ",""),"d̠ʒ","ʒ"),"t̠ʃ","ʃ"))</f>
        <v>5</v>
      </c>
      <c r="K371" s="44">
        <f t="shared" si="743"/>
        <v>4</v>
      </c>
      <c r="L371" s="51">
        <f t="shared" ref="L371:M371" si="744">LEN(D371)-LEN(B371)+1</f>
        <v>2</v>
      </c>
      <c r="M371" s="51">
        <f t="shared" si="744"/>
        <v>2</v>
      </c>
      <c r="N371" s="51">
        <f t="shared" si="5"/>
        <v>1</v>
      </c>
      <c r="O371" s="51" t="str">
        <f t="shared" si="6"/>
        <v>Source</v>
      </c>
      <c r="P371" s="51">
        <f t="shared" si="7"/>
        <v>0</v>
      </c>
      <c r="Q371" s="51" t="str">
        <f t="shared" si="8"/>
        <v>Equal</v>
      </c>
    </row>
    <row r="372">
      <c r="A372" s="48" t="s">
        <v>14</v>
      </c>
      <c r="B372" s="49" t="s">
        <v>2635</v>
      </c>
      <c r="C372" s="49" t="s">
        <v>2636</v>
      </c>
      <c r="D372" s="49" t="s">
        <v>2637</v>
      </c>
      <c r="E372" s="49" t="s">
        <v>2638</v>
      </c>
      <c r="F372" s="49" t="s">
        <v>2149</v>
      </c>
      <c r="G372" s="49" t="s">
        <v>1919</v>
      </c>
      <c r="H372" s="54">
        <v>1.0</v>
      </c>
      <c r="I372" s="54">
        <v>1.0</v>
      </c>
      <c r="J372" s="49">
        <f t="shared" ref="J372:K372" si="745">LEN(SUBSTITUTE(SUBSTITUTE(SUBSTITUTE(B372 ,"ˈ",""),"d̠ʒ","ʒ"),"t̠ʃ","ʃ"))</f>
        <v>4</v>
      </c>
      <c r="K372" s="44">
        <f t="shared" si="745"/>
        <v>5</v>
      </c>
      <c r="L372" s="51">
        <f t="shared" ref="L372:M372" si="746">LEN(D372)-LEN(B372)+1</f>
        <v>2</v>
      </c>
      <c r="M372" s="51">
        <f t="shared" si="746"/>
        <v>2</v>
      </c>
      <c r="N372" s="51">
        <f t="shared" si="5"/>
        <v>-1</v>
      </c>
      <c r="O372" s="51" t="str">
        <f t="shared" si="6"/>
        <v>Target</v>
      </c>
      <c r="P372" s="51">
        <f t="shared" si="7"/>
        <v>0</v>
      </c>
      <c r="Q372" s="51" t="str">
        <f t="shared" si="8"/>
        <v>Equal</v>
      </c>
    </row>
    <row r="373">
      <c r="A373" s="48" t="s">
        <v>14</v>
      </c>
      <c r="B373" s="49" t="s">
        <v>2640</v>
      </c>
      <c r="C373" s="49" t="s">
        <v>2641</v>
      </c>
      <c r="D373" s="49" t="s">
        <v>2642</v>
      </c>
      <c r="E373" s="49" t="s">
        <v>2643</v>
      </c>
      <c r="F373" s="49" t="s">
        <v>2648</v>
      </c>
      <c r="G373" s="49" t="s">
        <v>1823</v>
      </c>
      <c r="H373" s="54">
        <v>4.0</v>
      </c>
      <c r="I373" s="54">
        <v>4.0</v>
      </c>
      <c r="J373" s="49">
        <f t="shared" ref="J373:K373" si="747">LEN(SUBSTITUTE(SUBSTITUTE(SUBSTITUTE(B373 ,"ˈ",""),"d̠ʒ","ʒ"),"t̠ʃ","ʃ"))</f>
        <v>8</v>
      </c>
      <c r="K373" s="44">
        <f t="shared" si="747"/>
        <v>8</v>
      </c>
      <c r="L373" s="51">
        <f t="shared" ref="L373:M373" si="748">LEN(D373)-LEN(B373)+1</f>
        <v>4</v>
      </c>
      <c r="M373" s="51">
        <f t="shared" si="748"/>
        <v>4</v>
      </c>
      <c r="N373" s="51">
        <f t="shared" si="5"/>
        <v>0</v>
      </c>
      <c r="O373" s="51" t="str">
        <f t="shared" si="6"/>
        <v>Equal</v>
      </c>
      <c r="P373" s="51">
        <f t="shared" si="7"/>
        <v>0</v>
      </c>
      <c r="Q373" s="51" t="str">
        <f t="shared" si="8"/>
        <v>Equal</v>
      </c>
    </row>
    <row r="374">
      <c r="A374" s="48" t="s">
        <v>14</v>
      </c>
      <c r="B374" s="49" t="s">
        <v>2649</v>
      </c>
      <c r="C374" s="49" t="s">
        <v>2650</v>
      </c>
      <c r="D374" s="49" t="s">
        <v>2651</v>
      </c>
      <c r="E374" s="49" t="s">
        <v>2652</v>
      </c>
      <c r="F374" s="49" t="s">
        <v>525</v>
      </c>
      <c r="G374" s="49" t="s">
        <v>344</v>
      </c>
      <c r="H374" s="54">
        <v>1.0</v>
      </c>
      <c r="I374" s="54">
        <v>1.0</v>
      </c>
      <c r="J374" s="49">
        <f t="shared" ref="J374:K374" si="749">LEN(SUBSTITUTE(SUBSTITUTE(SUBSTITUTE(B374 ,"ˈ",""),"d̠ʒ","ʒ"),"t̠ʃ","ʃ"))</f>
        <v>4</v>
      </c>
      <c r="K374" s="44">
        <f t="shared" si="749"/>
        <v>4</v>
      </c>
      <c r="L374" s="51">
        <f t="shared" ref="L374:M374" si="750">LEN(D374)-LEN(B374)+1</f>
        <v>2</v>
      </c>
      <c r="M374" s="51">
        <f t="shared" si="750"/>
        <v>2</v>
      </c>
      <c r="N374" s="51">
        <f t="shared" si="5"/>
        <v>0</v>
      </c>
      <c r="O374" s="51" t="str">
        <f t="shared" si="6"/>
        <v>Equal</v>
      </c>
      <c r="P374" s="51">
        <f t="shared" si="7"/>
        <v>0</v>
      </c>
      <c r="Q374" s="51" t="str">
        <f t="shared" si="8"/>
        <v>Equal</v>
      </c>
    </row>
    <row r="375">
      <c r="A375" s="48" t="s">
        <v>14</v>
      </c>
      <c r="B375" s="49" t="s">
        <v>2655</v>
      </c>
      <c r="C375" s="49" t="s">
        <v>2656</v>
      </c>
      <c r="D375" s="49" t="s">
        <v>2657</v>
      </c>
      <c r="E375" s="49" t="s">
        <v>2658</v>
      </c>
      <c r="F375" s="49" t="s">
        <v>1823</v>
      </c>
      <c r="G375" s="49" t="s">
        <v>495</v>
      </c>
      <c r="H375" s="54">
        <v>2.0</v>
      </c>
      <c r="I375" s="54">
        <v>2.0</v>
      </c>
      <c r="J375" s="49">
        <f t="shared" ref="J375:K375" si="751">LEN(SUBSTITUTE(SUBSTITUTE(SUBSTITUTE(B375 ,"ˈ",""),"d̠ʒ","ʒ"),"t̠ʃ","ʃ"))</f>
        <v>4</v>
      </c>
      <c r="K375" s="44">
        <f t="shared" si="751"/>
        <v>4</v>
      </c>
      <c r="L375" s="51">
        <f t="shared" ref="L375:M375" si="752">LEN(D375)-LEN(B375)+1</f>
        <v>2</v>
      </c>
      <c r="M375" s="51">
        <f t="shared" si="752"/>
        <v>2</v>
      </c>
      <c r="N375" s="51">
        <f t="shared" si="5"/>
        <v>0</v>
      </c>
      <c r="O375" s="51" t="str">
        <f t="shared" si="6"/>
        <v>Equal</v>
      </c>
      <c r="P375" s="51">
        <f t="shared" si="7"/>
        <v>0</v>
      </c>
      <c r="Q375" s="51" t="str">
        <f t="shared" si="8"/>
        <v>Equal</v>
      </c>
    </row>
    <row r="376">
      <c r="A376" s="48" t="s">
        <v>14</v>
      </c>
      <c r="B376" s="49" t="s">
        <v>2661</v>
      </c>
      <c r="C376" s="49" t="s">
        <v>2662</v>
      </c>
      <c r="D376" s="49" t="s">
        <v>2663</v>
      </c>
      <c r="E376" s="49" t="s">
        <v>2664</v>
      </c>
      <c r="F376" s="49" t="s">
        <v>1032</v>
      </c>
      <c r="G376" s="49" t="s">
        <v>49</v>
      </c>
      <c r="H376" s="54">
        <v>1.0</v>
      </c>
      <c r="I376" s="54">
        <v>1.0</v>
      </c>
      <c r="J376" s="49">
        <f t="shared" ref="J376:K376" si="753">LEN(SUBSTITUTE(SUBSTITUTE(SUBSTITUTE(B376 ,"ˈ",""),"d̠ʒ","ʒ"),"t̠ʃ","ʃ"))</f>
        <v>4</v>
      </c>
      <c r="K376" s="44">
        <f t="shared" si="753"/>
        <v>5</v>
      </c>
      <c r="L376" s="51">
        <f t="shared" ref="L376:M376" si="754">LEN(D376)-LEN(B376)+1</f>
        <v>2</v>
      </c>
      <c r="M376" s="51">
        <f t="shared" si="754"/>
        <v>3</v>
      </c>
      <c r="N376" s="51">
        <f t="shared" si="5"/>
        <v>-1</v>
      </c>
      <c r="O376" s="51" t="str">
        <f t="shared" si="6"/>
        <v>Target</v>
      </c>
      <c r="P376" s="51">
        <f t="shared" si="7"/>
        <v>-1</v>
      </c>
      <c r="Q376" s="51" t="str">
        <f t="shared" si="8"/>
        <v>Target</v>
      </c>
    </row>
    <row r="377">
      <c r="A377" s="48" t="s">
        <v>14</v>
      </c>
      <c r="B377" s="49" t="s">
        <v>2667</v>
      </c>
      <c r="C377" s="48" t="s">
        <v>2668</v>
      </c>
      <c r="D377" s="49" t="s">
        <v>2669</v>
      </c>
      <c r="E377" s="49" t="s">
        <v>2669</v>
      </c>
      <c r="F377" s="49" t="s">
        <v>98</v>
      </c>
      <c r="G377" s="49" t="s">
        <v>98</v>
      </c>
      <c r="H377" s="54">
        <v>2.0</v>
      </c>
      <c r="I377" s="54">
        <v>2.0</v>
      </c>
      <c r="J377" s="49">
        <f t="shared" ref="J377:K377" si="755">LEN(SUBSTITUTE(SUBSTITUTE(SUBSTITUTE(B377 ,"ˈ",""),"d̠ʒ","ʒ"),"t̠ʃ","ʃ"))</f>
        <v>4</v>
      </c>
      <c r="K377" s="44">
        <f t="shared" si="755"/>
        <v>4</v>
      </c>
      <c r="L377" s="51">
        <f t="shared" ref="L377:M377" si="756">LEN(D377)-LEN(B377)+1</f>
        <v>2</v>
      </c>
      <c r="M377" s="51">
        <f t="shared" si="756"/>
        <v>2</v>
      </c>
      <c r="N377" s="51">
        <f t="shared" si="5"/>
        <v>0</v>
      </c>
      <c r="O377" s="51" t="str">
        <f t="shared" si="6"/>
        <v>Equal</v>
      </c>
      <c r="P377" s="51">
        <f t="shared" si="7"/>
        <v>0</v>
      </c>
      <c r="Q377" s="51" t="str">
        <f t="shared" si="8"/>
        <v>Equal</v>
      </c>
    </row>
    <row r="378">
      <c r="A378" s="48" t="s">
        <v>14</v>
      </c>
      <c r="B378" s="49" t="s">
        <v>2672</v>
      </c>
      <c r="C378" s="49" t="s">
        <v>2673</v>
      </c>
      <c r="D378" s="49" t="s">
        <v>2674</v>
      </c>
      <c r="E378" s="49" t="s">
        <v>2675</v>
      </c>
      <c r="F378" s="49" t="s">
        <v>261</v>
      </c>
      <c r="G378" s="49" t="s">
        <v>2676</v>
      </c>
      <c r="H378" s="54">
        <v>1.0</v>
      </c>
      <c r="I378" s="54">
        <v>1.0</v>
      </c>
      <c r="J378" s="49">
        <f t="shared" ref="J378:K378" si="757">LEN(SUBSTITUTE(SUBSTITUTE(SUBSTITUTE(B378 ,"ˈ",""),"d̠ʒ","ʒ"),"t̠ʃ","ʃ"))</f>
        <v>4</v>
      </c>
      <c r="K378" s="44">
        <f t="shared" si="757"/>
        <v>5</v>
      </c>
      <c r="L378" s="51">
        <f t="shared" ref="L378:M378" si="758">LEN(D378)-LEN(B378)+1</f>
        <v>2</v>
      </c>
      <c r="M378" s="51">
        <f t="shared" si="758"/>
        <v>2</v>
      </c>
      <c r="N378" s="51">
        <f t="shared" si="5"/>
        <v>-1</v>
      </c>
      <c r="O378" s="51" t="str">
        <f t="shared" si="6"/>
        <v>Target</v>
      </c>
      <c r="P378" s="51">
        <f t="shared" si="7"/>
        <v>0</v>
      </c>
      <c r="Q378" s="51" t="str">
        <f t="shared" si="8"/>
        <v>Equal</v>
      </c>
    </row>
    <row r="379">
      <c r="A379" s="48" t="s">
        <v>14</v>
      </c>
      <c r="B379" s="49" t="s">
        <v>2679</v>
      </c>
      <c r="C379" s="49" t="s">
        <v>3701</v>
      </c>
      <c r="D379" s="49" t="s">
        <v>2681</v>
      </c>
      <c r="E379" s="49" t="s">
        <v>3702</v>
      </c>
      <c r="F379" s="49" t="s">
        <v>629</v>
      </c>
      <c r="G379" s="49" t="s">
        <v>2197</v>
      </c>
      <c r="H379" s="54">
        <v>2.0</v>
      </c>
      <c r="I379" s="54">
        <v>2.0</v>
      </c>
      <c r="J379" s="49">
        <f t="shared" ref="J379:K379" si="759">LEN(SUBSTITUTE(SUBSTITUTE(SUBSTITUTE(B379 ,"ˈ",""),"d̠ʒ","ʒ"),"t̠ʃ","ʃ"))</f>
        <v>6</v>
      </c>
      <c r="K379" s="44">
        <f t="shared" si="759"/>
        <v>6</v>
      </c>
      <c r="L379" s="51">
        <f t="shared" ref="L379:M379" si="760">LEN(D379)-LEN(B379)+1</f>
        <v>3</v>
      </c>
      <c r="M379" s="51">
        <f t="shared" si="760"/>
        <v>3</v>
      </c>
      <c r="N379" s="51">
        <f t="shared" si="5"/>
        <v>0</v>
      </c>
      <c r="O379" s="51" t="str">
        <f t="shared" si="6"/>
        <v>Equal</v>
      </c>
      <c r="P379" s="51">
        <f t="shared" si="7"/>
        <v>0</v>
      </c>
      <c r="Q379" s="51" t="str">
        <f t="shared" si="8"/>
        <v>Equal</v>
      </c>
    </row>
    <row r="380">
      <c r="A380" s="48" t="s">
        <v>14</v>
      </c>
      <c r="B380" s="49" t="s">
        <v>732</v>
      </c>
      <c r="C380" s="48" t="s">
        <v>3703</v>
      </c>
      <c r="D380" s="49" t="s">
        <v>734</v>
      </c>
      <c r="E380" s="49" t="s">
        <v>3704</v>
      </c>
      <c r="F380" s="49" t="s">
        <v>261</v>
      </c>
      <c r="G380" s="49" t="s">
        <v>736</v>
      </c>
      <c r="H380" s="54">
        <v>1.0</v>
      </c>
      <c r="I380" s="54">
        <v>1.0</v>
      </c>
      <c r="J380" s="49">
        <f t="shared" ref="J380:K380" si="761">LEN(SUBSTITUTE(SUBSTITUTE(SUBSTITUTE(B380 ,"ˈ",""),"d̠ʒ","ʒ"),"t̠ʃ","ʃ"))</f>
        <v>4</v>
      </c>
      <c r="K380" s="44">
        <f t="shared" si="761"/>
        <v>8</v>
      </c>
      <c r="L380" s="51">
        <f t="shared" ref="L380:M380" si="762">LEN(D380)-LEN(B380)+1</f>
        <v>2</v>
      </c>
      <c r="M380" s="51">
        <f t="shared" si="762"/>
        <v>4</v>
      </c>
      <c r="N380" s="51">
        <f t="shared" si="5"/>
        <v>-4</v>
      </c>
      <c r="O380" s="51" t="str">
        <f t="shared" si="6"/>
        <v>Target</v>
      </c>
      <c r="P380" s="51">
        <f t="shared" si="7"/>
        <v>-2</v>
      </c>
      <c r="Q380" s="51" t="str">
        <f t="shared" si="8"/>
        <v>Target</v>
      </c>
    </row>
    <row r="381">
      <c r="A381" s="48" t="s">
        <v>14</v>
      </c>
      <c r="B381" s="49" t="s">
        <v>2687</v>
      </c>
      <c r="C381" s="49" t="s">
        <v>2688</v>
      </c>
      <c r="D381" s="49" t="s">
        <v>2689</v>
      </c>
      <c r="E381" s="49" t="s">
        <v>2690</v>
      </c>
      <c r="F381" s="49" t="s">
        <v>784</v>
      </c>
      <c r="G381" s="49" t="s">
        <v>784</v>
      </c>
      <c r="H381" s="54">
        <v>3.0</v>
      </c>
      <c r="I381" s="54">
        <v>3.0</v>
      </c>
      <c r="J381" s="49">
        <f t="shared" ref="J381:K381" si="763">LEN(SUBSTITUTE(SUBSTITUTE(SUBSTITUTE(B381 ,"ˈ",""),"d̠ʒ","ʒ"),"t̠ʃ","ʃ"))</f>
        <v>6</v>
      </c>
      <c r="K381" s="44">
        <f t="shared" si="763"/>
        <v>6</v>
      </c>
      <c r="L381" s="51">
        <f t="shared" ref="L381:M381" si="764">LEN(D381)-LEN(B381)+1</f>
        <v>3</v>
      </c>
      <c r="M381" s="51">
        <f t="shared" si="764"/>
        <v>3</v>
      </c>
      <c r="N381" s="51">
        <f t="shared" si="5"/>
        <v>0</v>
      </c>
      <c r="O381" s="51" t="str">
        <f t="shared" si="6"/>
        <v>Equal</v>
      </c>
      <c r="P381" s="51">
        <f t="shared" si="7"/>
        <v>0</v>
      </c>
      <c r="Q381" s="51" t="str">
        <f t="shared" si="8"/>
        <v>Equal</v>
      </c>
    </row>
    <row r="382">
      <c r="A382" s="48" t="s">
        <v>14</v>
      </c>
      <c r="B382" s="49" t="s">
        <v>2694</v>
      </c>
      <c r="C382" s="49" t="s">
        <v>2695</v>
      </c>
      <c r="D382" s="49" t="s">
        <v>2696</v>
      </c>
      <c r="E382" s="49" t="s">
        <v>2697</v>
      </c>
      <c r="F382" s="49" t="s">
        <v>3705</v>
      </c>
      <c r="G382" s="49" t="s">
        <v>1234</v>
      </c>
      <c r="H382" s="54">
        <v>1.0</v>
      </c>
      <c r="I382" s="54">
        <v>1.0</v>
      </c>
      <c r="J382" s="49">
        <f t="shared" ref="J382:K382" si="765">LEN(SUBSTITUTE(SUBSTITUTE(SUBSTITUTE(B382 ,"ˈ",""),"d̠ʒ","ʒ"),"t̠ʃ","ʃ"))</f>
        <v>6</v>
      </c>
      <c r="K382" s="44">
        <f t="shared" si="765"/>
        <v>6</v>
      </c>
      <c r="L382" s="51">
        <f t="shared" ref="L382:M382" si="766">LEN(D382)-LEN(B382)+1</f>
        <v>3</v>
      </c>
      <c r="M382" s="51">
        <f t="shared" si="766"/>
        <v>3</v>
      </c>
      <c r="N382" s="51">
        <f t="shared" si="5"/>
        <v>0</v>
      </c>
      <c r="O382" s="51" t="str">
        <f t="shared" si="6"/>
        <v>Equal</v>
      </c>
      <c r="P382" s="51">
        <f t="shared" si="7"/>
        <v>0</v>
      </c>
      <c r="Q382" s="51" t="str">
        <f t="shared" si="8"/>
        <v>Equal</v>
      </c>
    </row>
    <row r="383">
      <c r="A383" s="48" t="s">
        <v>14</v>
      </c>
      <c r="B383" s="49" t="s">
        <v>2700</v>
      </c>
      <c r="C383" s="49" t="s">
        <v>2701</v>
      </c>
      <c r="D383" s="49" t="s">
        <v>2700</v>
      </c>
      <c r="E383" s="49" t="s">
        <v>2702</v>
      </c>
      <c r="F383" s="49" t="s">
        <v>36</v>
      </c>
      <c r="G383" s="49" t="s">
        <v>24</v>
      </c>
      <c r="H383" s="54" t="s">
        <v>36</v>
      </c>
      <c r="I383" s="54">
        <v>2.0</v>
      </c>
      <c r="J383" s="49">
        <f t="shared" ref="J383:K383" si="767">LEN(SUBSTITUTE(SUBSTITUTE(SUBSTITUTE(B383 ,"ˈ",""),"d̠ʒ","ʒ"),"t̠ʃ","ʃ"))</f>
        <v>2</v>
      </c>
      <c r="K383" s="44">
        <f t="shared" si="767"/>
        <v>4</v>
      </c>
      <c r="L383" s="51">
        <f t="shared" ref="L383:M383" si="768">LEN(D383)-LEN(B383)+1</f>
        <v>1</v>
      </c>
      <c r="M383" s="51">
        <f t="shared" si="768"/>
        <v>2</v>
      </c>
      <c r="N383" s="51">
        <f t="shared" si="5"/>
        <v>-2</v>
      </c>
      <c r="O383" s="51" t="str">
        <f t="shared" si="6"/>
        <v>Target</v>
      </c>
      <c r="P383" s="51">
        <f t="shared" si="7"/>
        <v>-1</v>
      </c>
      <c r="Q383" s="51" t="str">
        <f t="shared" si="8"/>
        <v>Target</v>
      </c>
    </row>
    <row r="384">
      <c r="A384" s="48" t="s">
        <v>14</v>
      </c>
      <c r="B384" s="49" t="s">
        <v>2705</v>
      </c>
      <c r="C384" s="49" t="s">
        <v>2706</v>
      </c>
      <c r="D384" s="49" t="s">
        <v>2707</v>
      </c>
      <c r="E384" s="49" t="s">
        <v>2708</v>
      </c>
      <c r="F384" s="49" t="s">
        <v>2711</v>
      </c>
      <c r="G384" s="49" t="s">
        <v>49</v>
      </c>
      <c r="H384" s="54">
        <v>1.0</v>
      </c>
      <c r="I384" s="54">
        <v>1.0</v>
      </c>
      <c r="J384" s="49">
        <f t="shared" ref="J384:K384" si="769">LEN(SUBSTITUTE(SUBSTITUTE(SUBSTITUTE(B384 ,"ˈ",""),"d̠ʒ","ʒ"),"t̠ʃ","ʃ"))</f>
        <v>4</v>
      </c>
      <c r="K384" s="44">
        <f t="shared" si="769"/>
        <v>5</v>
      </c>
      <c r="L384" s="51">
        <f t="shared" ref="L384:M384" si="770">LEN(D384)-LEN(B384)+1</f>
        <v>2</v>
      </c>
      <c r="M384" s="51">
        <f t="shared" si="770"/>
        <v>3</v>
      </c>
      <c r="N384" s="51">
        <f t="shared" si="5"/>
        <v>-1</v>
      </c>
      <c r="O384" s="51" t="str">
        <f t="shared" si="6"/>
        <v>Target</v>
      </c>
      <c r="P384" s="51">
        <f t="shared" si="7"/>
        <v>-1</v>
      </c>
      <c r="Q384" s="51" t="str">
        <f t="shared" si="8"/>
        <v>Target</v>
      </c>
    </row>
    <row r="385">
      <c r="A385" s="48" t="s">
        <v>14</v>
      </c>
      <c r="B385" s="49" t="s">
        <v>2712</v>
      </c>
      <c r="C385" s="49" t="s">
        <v>2713</v>
      </c>
      <c r="D385" s="49" t="s">
        <v>2714</v>
      </c>
      <c r="E385" s="49" t="s">
        <v>2715</v>
      </c>
      <c r="F385" s="49" t="s">
        <v>116</v>
      </c>
      <c r="G385" s="49" t="s">
        <v>49</v>
      </c>
      <c r="H385" s="54">
        <v>2.0</v>
      </c>
      <c r="I385" s="54">
        <v>3.0</v>
      </c>
      <c r="J385" s="49">
        <f t="shared" ref="J385:K385" si="771">LEN(SUBSTITUTE(SUBSTITUTE(SUBSTITUTE(B385 ,"ˈ",""),"d̠ʒ","ʒ"),"t̠ʃ","ʃ"))</f>
        <v>4</v>
      </c>
      <c r="K385" s="44">
        <f t="shared" si="771"/>
        <v>5</v>
      </c>
      <c r="L385" s="51">
        <f t="shared" ref="L385:M385" si="772">LEN(D385)-LEN(B385)+1</f>
        <v>2</v>
      </c>
      <c r="M385" s="51">
        <f t="shared" si="772"/>
        <v>3</v>
      </c>
      <c r="N385" s="51">
        <f t="shared" si="5"/>
        <v>-1</v>
      </c>
      <c r="O385" s="51" t="str">
        <f t="shared" si="6"/>
        <v>Target</v>
      </c>
      <c r="P385" s="51">
        <f t="shared" si="7"/>
        <v>-1</v>
      </c>
      <c r="Q385" s="51" t="str">
        <f t="shared" si="8"/>
        <v>Target</v>
      </c>
    </row>
    <row r="386">
      <c r="A386" s="48" t="s">
        <v>14</v>
      </c>
      <c r="B386" s="49" t="s">
        <v>2718</v>
      </c>
      <c r="C386" s="49" t="s">
        <v>2719</v>
      </c>
      <c r="D386" s="49" t="s">
        <v>2720</v>
      </c>
      <c r="E386" s="49" t="s">
        <v>2719</v>
      </c>
      <c r="F386" s="49" t="s">
        <v>1180</v>
      </c>
      <c r="G386" s="49" t="s">
        <v>2719</v>
      </c>
      <c r="H386" s="54">
        <v>1.0</v>
      </c>
      <c r="I386" s="54">
        <v>1.0</v>
      </c>
      <c r="J386" s="49">
        <f t="shared" ref="J386:K386" si="773">LEN(SUBSTITUTE(SUBSTITUTE(SUBSTITUTE(B386 ,"ˈ",""),"d̠ʒ","ʒ"),"t̠ʃ","ʃ"))</f>
        <v>4</v>
      </c>
      <c r="K386" s="44">
        <f t="shared" si="773"/>
        <v>3</v>
      </c>
      <c r="L386" s="51">
        <f t="shared" ref="L386:M386" si="774">LEN(D386)-LEN(B386)+1</f>
        <v>2</v>
      </c>
      <c r="M386" s="51">
        <f t="shared" si="774"/>
        <v>1</v>
      </c>
      <c r="N386" s="51">
        <f t="shared" si="5"/>
        <v>1</v>
      </c>
      <c r="O386" s="51" t="str">
        <f t="shared" si="6"/>
        <v>Source</v>
      </c>
      <c r="P386" s="51">
        <f t="shared" si="7"/>
        <v>1</v>
      </c>
      <c r="Q386" s="51" t="str">
        <f t="shared" si="8"/>
        <v>Source</v>
      </c>
    </row>
    <row r="387">
      <c r="A387" s="48" t="s">
        <v>14</v>
      </c>
      <c r="B387" s="49" t="s">
        <v>2723</v>
      </c>
      <c r="C387" s="49" t="s">
        <v>2724</v>
      </c>
      <c r="D387" s="49" t="s">
        <v>2725</v>
      </c>
      <c r="E387" s="49" t="s">
        <v>2724</v>
      </c>
      <c r="F387" s="49" t="s">
        <v>362</v>
      </c>
      <c r="G387" s="49" t="s">
        <v>36</v>
      </c>
      <c r="H387" s="54">
        <v>2.0</v>
      </c>
      <c r="I387" s="54" t="s">
        <v>36</v>
      </c>
      <c r="J387" s="49">
        <f t="shared" ref="J387:K387" si="775">LEN(SUBSTITUTE(SUBSTITUTE(SUBSTITUTE(B387 ,"ˈ",""),"d̠ʒ","ʒ"),"t̠ʃ","ʃ"))</f>
        <v>4</v>
      </c>
      <c r="K387" s="44">
        <f t="shared" si="775"/>
        <v>4</v>
      </c>
      <c r="L387" s="51">
        <f t="shared" ref="L387:M387" si="776">LEN(D387)-LEN(B387)+1</f>
        <v>2</v>
      </c>
      <c r="M387" s="51">
        <f t="shared" si="776"/>
        <v>1</v>
      </c>
      <c r="N387" s="51">
        <f t="shared" si="5"/>
        <v>0</v>
      </c>
      <c r="O387" s="51" t="str">
        <f t="shared" si="6"/>
        <v>Equal</v>
      </c>
      <c r="P387" s="51">
        <f t="shared" si="7"/>
        <v>1</v>
      </c>
      <c r="Q387" s="51" t="str">
        <f t="shared" si="8"/>
        <v>Source</v>
      </c>
    </row>
    <row r="388">
      <c r="A388" s="48" t="s">
        <v>14</v>
      </c>
      <c r="B388" s="49" t="s">
        <v>2728</v>
      </c>
      <c r="C388" s="49" t="s">
        <v>2729</v>
      </c>
      <c r="D388" s="49" t="s">
        <v>2730</v>
      </c>
      <c r="E388" s="49" t="s">
        <v>2731</v>
      </c>
      <c r="F388" s="49" t="s">
        <v>1968</v>
      </c>
      <c r="G388" s="49" t="s">
        <v>1968</v>
      </c>
      <c r="H388" s="54">
        <v>1.0</v>
      </c>
      <c r="I388" s="54">
        <v>1.0</v>
      </c>
      <c r="J388" s="49">
        <f t="shared" ref="J388:K388" si="777">LEN(SUBSTITUTE(SUBSTITUTE(SUBSTITUTE(B388 ,"ˈ",""),"d̠ʒ","ʒ"),"t̠ʃ","ʃ"))</f>
        <v>5</v>
      </c>
      <c r="K388" s="44">
        <f t="shared" si="777"/>
        <v>6</v>
      </c>
      <c r="L388" s="51">
        <f t="shared" ref="L388:M388" si="778">LEN(D388)-LEN(B388)+1</f>
        <v>2</v>
      </c>
      <c r="M388" s="51">
        <f t="shared" si="778"/>
        <v>2</v>
      </c>
      <c r="N388" s="51">
        <f t="shared" si="5"/>
        <v>-1</v>
      </c>
      <c r="O388" s="51" t="str">
        <f t="shared" si="6"/>
        <v>Target</v>
      </c>
      <c r="P388" s="51">
        <f t="shared" si="7"/>
        <v>0</v>
      </c>
      <c r="Q388" s="51" t="str">
        <f t="shared" si="8"/>
        <v>Equal</v>
      </c>
    </row>
    <row r="389">
      <c r="A389" s="48" t="s">
        <v>14</v>
      </c>
      <c r="B389" s="49" t="s">
        <v>2734</v>
      </c>
      <c r="C389" s="49" t="s">
        <v>2735</v>
      </c>
      <c r="D389" s="49" t="s">
        <v>2736</v>
      </c>
      <c r="E389" s="49" t="s">
        <v>2737</v>
      </c>
      <c r="F389" s="49" t="s">
        <v>784</v>
      </c>
      <c r="G389" s="49" t="s">
        <v>2207</v>
      </c>
      <c r="H389" s="54">
        <v>2.0</v>
      </c>
      <c r="I389" s="54">
        <v>2.0</v>
      </c>
      <c r="J389" s="49">
        <f t="shared" ref="J389:K389" si="779">LEN(SUBSTITUTE(SUBSTITUTE(SUBSTITUTE(B389 ,"ˈ",""),"d̠ʒ","ʒ"),"t̠ʃ","ʃ"))</f>
        <v>4</v>
      </c>
      <c r="K389" s="44">
        <f t="shared" si="779"/>
        <v>5</v>
      </c>
      <c r="L389" s="51">
        <f t="shared" ref="L389:M389" si="780">LEN(D389)-LEN(B389)+1</f>
        <v>2</v>
      </c>
      <c r="M389" s="51">
        <f t="shared" si="780"/>
        <v>2</v>
      </c>
      <c r="N389" s="51">
        <f t="shared" si="5"/>
        <v>-1</v>
      </c>
      <c r="O389" s="51" t="str">
        <f t="shared" si="6"/>
        <v>Target</v>
      </c>
      <c r="P389" s="51">
        <f t="shared" si="7"/>
        <v>0</v>
      </c>
      <c r="Q389" s="51" t="str">
        <f t="shared" si="8"/>
        <v>Equal</v>
      </c>
    </row>
    <row r="390">
      <c r="A390" s="48" t="s">
        <v>14</v>
      </c>
      <c r="B390" s="49" t="s">
        <v>2740</v>
      </c>
      <c r="C390" s="49" t="s">
        <v>2741</v>
      </c>
      <c r="D390" s="49" t="s">
        <v>2742</v>
      </c>
      <c r="E390" s="49" t="s">
        <v>2743</v>
      </c>
      <c r="F390" s="49" t="s">
        <v>2744</v>
      </c>
      <c r="G390" s="49" t="s">
        <v>739</v>
      </c>
      <c r="H390" s="54">
        <v>1.0</v>
      </c>
      <c r="I390" s="54">
        <v>1.0</v>
      </c>
      <c r="J390" s="49">
        <f t="shared" ref="J390:K390" si="781">LEN(SUBSTITUTE(SUBSTITUTE(SUBSTITUTE(B390 ,"ˈ",""),"d̠ʒ","ʒ"),"t̠ʃ","ʃ"))</f>
        <v>6</v>
      </c>
      <c r="K390" s="44">
        <f t="shared" si="781"/>
        <v>6</v>
      </c>
      <c r="L390" s="51">
        <f t="shared" ref="L390:M390" si="782">LEN(D390)-LEN(B390)+1</f>
        <v>3</v>
      </c>
      <c r="M390" s="51">
        <f t="shared" si="782"/>
        <v>3</v>
      </c>
      <c r="N390" s="51">
        <f t="shared" si="5"/>
        <v>0</v>
      </c>
      <c r="O390" s="51" t="str">
        <f t="shared" si="6"/>
        <v>Equal</v>
      </c>
      <c r="P390" s="51">
        <f t="shared" si="7"/>
        <v>0</v>
      </c>
      <c r="Q390" s="51" t="str">
        <f t="shared" si="8"/>
        <v>Equal</v>
      </c>
    </row>
    <row r="391">
      <c r="A391" s="48" t="s">
        <v>14</v>
      </c>
      <c r="B391" s="49" t="s">
        <v>2747</v>
      </c>
      <c r="C391" s="49" t="s">
        <v>2748</v>
      </c>
      <c r="D391" s="49" t="s">
        <v>2749</v>
      </c>
      <c r="E391" s="49" t="s">
        <v>2750</v>
      </c>
      <c r="F391" s="49" t="s">
        <v>2754</v>
      </c>
      <c r="G391" s="49" t="s">
        <v>2755</v>
      </c>
      <c r="H391" s="54">
        <v>2.0</v>
      </c>
      <c r="I391" s="54">
        <v>2.0</v>
      </c>
      <c r="J391" s="49">
        <f t="shared" ref="J391:K391" si="783">LEN(SUBSTITUTE(SUBSTITUTE(SUBSTITUTE(B391 ,"ˈ",""),"d̠ʒ","ʒ"),"t̠ʃ","ʃ"))</f>
        <v>4</v>
      </c>
      <c r="K391" s="44">
        <f t="shared" si="783"/>
        <v>4</v>
      </c>
      <c r="L391" s="51">
        <f t="shared" ref="L391:M391" si="784">LEN(D391)-LEN(B391)+1</f>
        <v>2</v>
      </c>
      <c r="M391" s="51">
        <f t="shared" si="784"/>
        <v>2</v>
      </c>
      <c r="N391" s="51">
        <f t="shared" si="5"/>
        <v>0</v>
      </c>
      <c r="O391" s="51" t="str">
        <f t="shared" si="6"/>
        <v>Equal</v>
      </c>
      <c r="P391" s="51">
        <f t="shared" si="7"/>
        <v>0</v>
      </c>
      <c r="Q391" s="51" t="str">
        <f t="shared" si="8"/>
        <v>Equal</v>
      </c>
    </row>
    <row r="392">
      <c r="A392" s="48" t="s">
        <v>14</v>
      </c>
      <c r="B392" s="49" t="s">
        <v>2756</v>
      </c>
      <c r="C392" s="49" t="s">
        <v>2757</v>
      </c>
      <c r="D392" s="49" t="s">
        <v>2758</v>
      </c>
      <c r="E392" s="49" t="s">
        <v>2759</v>
      </c>
      <c r="F392" s="49" t="s">
        <v>233</v>
      </c>
      <c r="G392" s="49" t="s">
        <v>2760</v>
      </c>
      <c r="H392" s="54">
        <v>1.0</v>
      </c>
      <c r="I392" s="54">
        <v>1.0</v>
      </c>
      <c r="J392" s="49">
        <f t="shared" ref="J392:K392" si="785">LEN(SUBSTITUTE(SUBSTITUTE(SUBSTITUTE(B392 ,"ˈ",""),"d̠ʒ","ʒ"),"t̠ʃ","ʃ"))</f>
        <v>5</v>
      </c>
      <c r="K392" s="44">
        <f t="shared" si="785"/>
        <v>8</v>
      </c>
      <c r="L392" s="51">
        <f t="shared" ref="L392:M392" si="786">LEN(D392)-LEN(B392)+1</f>
        <v>2</v>
      </c>
      <c r="M392" s="51">
        <f t="shared" si="786"/>
        <v>3</v>
      </c>
      <c r="N392" s="51">
        <f t="shared" si="5"/>
        <v>-3</v>
      </c>
      <c r="O392" s="51" t="str">
        <f t="shared" si="6"/>
        <v>Target</v>
      </c>
      <c r="P392" s="51">
        <f t="shared" si="7"/>
        <v>-1</v>
      </c>
      <c r="Q392" s="51" t="str">
        <f t="shared" si="8"/>
        <v>Target</v>
      </c>
    </row>
    <row r="393">
      <c r="A393" s="48" t="s">
        <v>14</v>
      </c>
      <c r="B393" s="49" t="s">
        <v>2764</v>
      </c>
      <c r="C393" s="49" t="s">
        <v>2765</v>
      </c>
      <c r="D393" s="49" t="s">
        <v>2764</v>
      </c>
      <c r="E393" s="49" t="s">
        <v>2765</v>
      </c>
      <c r="F393" s="49" t="s">
        <v>2764</v>
      </c>
      <c r="G393" s="49" t="s">
        <v>2765</v>
      </c>
      <c r="H393" s="54">
        <v>1.0</v>
      </c>
      <c r="I393" s="54">
        <v>1.0</v>
      </c>
      <c r="J393" s="49">
        <f t="shared" ref="J393:K393" si="787">LEN(SUBSTITUTE(SUBSTITUTE(SUBSTITUTE(B393 ,"ˈ",""),"d̠ʒ","ʒ"),"t̠ʃ","ʃ"))</f>
        <v>3</v>
      </c>
      <c r="K393" s="44">
        <f t="shared" si="787"/>
        <v>4</v>
      </c>
      <c r="L393" s="51">
        <f t="shared" ref="L393:M393" si="788">LEN(D393)-LEN(B393)+1</f>
        <v>1</v>
      </c>
      <c r="M393" s="51">
        <f t="shared" si="788"/>
        <v>1</v>
      </c>
      <c r="N393" s="51">
        <f t="shared" si="5"/>
        <v>-1</v>
      </c>
      <c r="O393" s="51" t="str">
        <f t="shared" si="6"/>
        <v>Target</v>
      </c>
      <c r="P393" s="51">
        <f t="shared" si="7"/>
        <v>0</v>
      </c>
      <c r="Q393" s="51" t="str">
        <f t="shared" si="8"/>
        <v>Equal</v>
      </c>
    </row>
    <row r="394">
      <c r="A394" s="48" t="s">
        <v>14</v>
      </c>
      <c r="B394" s="49" t="s">
        <v>2768</v>
      </c>
      <c r="C394" s="49" t="s">
        <v>2769</v>
      </c>
      <c r="D394" s="49" t="s">
        <v>2770</v>
      </c>
      <c r="E394" s="49" t="s">
        <v>2771</v>
      </c>
      <c r="F394" s="49" t="s">
        <v>614</v>
      </c>
      <c r="G394" s="49" t="s">
        <v>614</v>
      </c>
      <c r="H394" s="54">
        <v>1.0</v>
      </c>
      <c r="I394" s="54">
        <v>1.0</v>
      </c>
      <c r="J394" s="49">
        <f t="shared" ref="J394:K394" si="789">LEN(SUBSTITUTE(SUBSTITUTE(SUBSTITUTE(B394 ,"ˈ",""),"d̠ʒ","ʒ"),"t̠ʃ","ʃ"))</f>
        <v>4</v>
      </c>
      <c r="K394" s="44">
        <f t="shared" si="789"/>
        <v>4</v>
      </c>
      <c r="L394" s="51">
        <f t="shared" ref="L394:M394" si="790">LEN(D394)-LEN(B394)+1</f>
        <v>2</v>
      </c>
      <c r="M394" s="51">
        <f t="shared" si="790"/>
        <v>2</v>
      </c>
      <c r="N394" s="51">
        <f t="shared" si="5"/>
        <v>0</v>
      </c>
      <c r="O394" s="51" t="str">
        <f t="shared" si="6"/>
        <v>Equal</v>
      </c>
      <c r="P394" s="51">
        <f t="shared" si="7"/>
        <v>0</v>
      </c>
      <c r="Q394" s="51" t="str">
        <f t="shared" si="8"/>
        <v>Equal</v>
      </c>
    </row>
    <row r="395">
      <c r="A395" s="48" t="s">
        <v>14</v>
      </c>
      <c r="B395" s="49" t="s">
        <v>2774</v>
      </c>
      <c r="C395" s="49" t="s">
        <v>2775</v>
      </c>
      <c r="D395" s="49" t="s">
        <v>2776</v>
      </c>
      <c r="E395" s="49" t="s">
        <v>2777</v>
      </c>
      <c r="F395" s="49" t="s">
        <v>425</v>
      </c>
      <c r="G395" s="49" t="s">
        <v>425</v>
      </c>
      <c r="H395" s="54">
        <v>2.0</v>
      </c>
      <c r="I395" s="54">
        <v>2.0</v>
      </c>
      <c r="J395" s="49">
        <f t="shared" ref="J395:K395" si="791">LEN(SUBSTITUTE(SUBSTITUTE(SUBSTITUTE(B395 ,"ˈ",""),"d̠ʒ","ʒ"),"t̠ʃ","ʃ"))</f>
        <v>5</v>
      </c>
      <c r="K395" s="44">
        <f t="shared" si="791"/>
        <v>4</v>
      </c>
      <c r="L395" s="51">
        <f t="shared" ref="L395:M395" si="792">LEN(D395)-LEN(B395)+1</f>
        <v>2</v>
      </c>
      <c r="M395" s="51">
        <f t="shared" si="792"/>
        <v>2</v>
      </c>
      <c r="N395" s="51">
        <f t="shared" si="5"/>
        <v>1</v>
      </c>
      <c r="O395" s="51" t="str">
        <f t="shared" si="6"/>
        <v>Source</v>
      </c>
      <c r="P395" s="51">
        <f t="shared" si="7"/>
        <v>0</v>
      </c>
      <c r="Q395" s="51" t="str">
        <f t="shared" si="8"/>
        <v>Equal</v>
      </c>
    </row>
    <row r="396">
      <c r="A396" s="48" t="s">
        <v>14</v>
      </c>
      <c r="B396" s="49" t="s">
        <v>2782</v>
      </c>
      <c r="C396" s="49" t="s">
        <v>2783</v>
      </c>
      <c r="D396" s="49" t="s">
        <v>2784</v>
      </c>
      <c r="E396" s="49" t="s">
        <v>2785</v>
      </c>
      <c r="F396" s="49" t="s">
        <v>2786</v>
      </c>
      <c r="G396" s="49" t="s">
        <v>753</v>
      </c>
      <c r="H396" s="54">
        <v>1.0</v>
      </c>
      <c r="I396" s="54">
        <v>1.0</v>
      </c>
      <c r="J396" s="49">
        <f t="shared" ref="J396:K396" si="793">LEN(SUBSTITUTE(SUBSTITUTE(SUBSTITUTE(B396 ,"ˈ",""),"d̠ʒ","ʒ"),"t̠ʃ","ʃ"))</f>
        <v>5</v>
      </c>
      <c r="K396" s="44">
        <f t="shared" si="793"/>
        <v>7</v>
      </c>
      <c r="L396" s="51">
        <f t="shared" ref="L396:M396" si="794">LEN(D396)-LEN(B396)+1</f>
        <v>3</v>
      </c>
      <c r="M396" s="51">
        <f t="shared" si="794"/>
        <v>3</v>
      </c>
      <c r="N396" s="51">
        <f t="shared" si="5"/>
        <v>-2</v>
      </c>
      <c r="O396" s="51" t="str">
        <f t="shared" si="6"/>
        <v>Target</v>
      </c>
      <c r="P396" s="51">
        <f t="shared" si="7"/>
        <v>0</v>
      </c>
      <c r="Q396" s="51" t="str">
        <f t="shared" si="8"/>
        <v>Equal</v>
      </c>
    </row>
    <row r="397">
      <c r="A397" s="48" t="s">
        <v>14</v>
      </c>
      <c r="B397" s="49" t="s">
        <v>2790</v>
      </c>
      <c r="C397" s="49" t="s">
        <v>2791</v>
      </c>
      <c r="D397" s="49" t="s">
        <v>2792</v>
      </c>
      <c r="E397" s="49" t="s">
        <v>2791</v>
      </c>
      <c r="F397" s="49" t="s">
        <v>848</v>
      </c>
      <c r="G397" s="49" t="s">
        <v>36</v>
      </c>
      <c r="H397" s="54">
        <v>2.0</v>
      </c>
      <c r="I397" s="54" t="s">
        <v>36</v>
      </c>
      <c r="J397" s="49">
        <f t="shared" ref="J397:K397" si="795">LEN(SUBSTITUTE(SUBSTITUTE(SUBSTITUTE(B397 ,"ˈ",""),"d̠ʒ","ʒ"),"t̠ʃ","ʃ"))</f>
        <v>5</v>
      </c>
      <c r="K397" s="44">
        <f t="shared" si="795"/>
        <v>4</v>
      </c>
      <c r="L397" s="51">
        <f t="shared" ref="L397:M397" si="796">LEN(D397)-LEN(B397)+1</f>
        <v>2</v>
      </c>
      <c r="M397" s="51">
        <f t="shared" si="796"/>
        <v>1</v>
      </c>
      <c r="N397" s="51">
        <f t="shared" si="5"/>
        <v>1</v>
      </c>
      <c r="O397" s="51" t="str">
        <f t="shared" si="6"/>
        <v>Source</v>
      </c>
      <c r="P397" s="51">
        <f t="shared" si="7"/>
        <v>1</v>
      </c>
      <c r="Q397" s="51" t="str">
        <f t="shared" si="8"/>
        <v>Source</v>
      </c>
    </row>
    <row r="398">
      <c r="A398" s="48" t="s">
        <v>14</v>
      </c>
      <c r="B398" s="49" t="s">
        <v>2796</v>
      </c>
      <c r="C398" s="49" t="s">
        <v>2797</v>
      </c>
      <c r="D398" s="49" t="s">
        <v>2796</v>
      </c>
      <c r="E398" s="49" t="s">
        <v>2797</v>
      </c>
      <c r="F398" s="49" t="s">
        <v>2796</v>
      </c>
      <c r="G398" s="49" t="s">
        <v>2797</v>
      </c>
      <c r="H398" s="54">
        <v>1.0</v>
      </c>
      <c r="I398" s="54">
        <v>1.0</v>
      </c>
      <c r="J398" s="49">
        <f t="shared" ref="J398:K398" si="797">LEN(SUBSTITUTE(SUBSTITUTE(SUBSTITUTE(B398 ,"ˈ",""),"d̠ʒ","ʒ"),"t̠ʃ","ʃ"))</f>
        <v>3</v>
      </c>
      <c r="K398" s="44">
        <f t="shared" si="797"/>
        <v>2</v>
      </c>
      <c r="L398" s="51">
        <f t="shared" ref="L398:M398" si="798">LEN(D398)-LEN(B398)+1</f>
        <v>1</v>
      </c>
      <c r="M398" s="51">
        <f t="shared" si="798"/>
        <v>1</v>
      </c>
      <c r="N398" s="51">
        <f t="shared" si="5"/>
        <v>1</v>
      </c>
      <c r="O398" s="51" t="str">
        <f t="shared" si="6"/>
        <v>Source</v>
      </c>
      <c r="P398" s="51">
        <f t="shared" si="7"/>
        <v>0</v>
      </c>
      <c r="Q398" s="51" t="str">
        <f t="shared" si="8"/>
        <v>Equal</v>
      </c>
    </row>
    <row r="399">
      <c r="A399" s="48" t="s">
        <v>14</v>
      </c>
      <c r="B399" s="49" t="s">
        <v>2800</v>
      </c>
      <c r="C399" s="49" t="s">
        <v>2801</v>
      </c>
      <c r="D399" s="49" t="s">
        <v>2802</v>
      </c>
      <c r="E399" s="49" t="s">
        <v>2803</v>
      </c>
      <c r="F399" s="49" t="s">
        <v>335</v>
      </c>
      <c r="G399" s="49" t="s">
        <v>2804</v>
      </c>
      <c r="H399" s="54">
        <v>1.0</v>
      </c>
      <c r="I399" s="54">
        <v>1.0</v>
      </c>
      <c r="J399" s="49">
        <f t="shared" ref="J399:K399" si="799">LEN(SUBSTITUTE(SUBSTITUTE(SUBSTITUTE(B399 ,"ˈ",""),"d̠ʒ","ʒ"),"t̠ʃ","ʃ"))</f>
        <v>4</v>
      </c>
      <c r="K399" s="44">
        <f t="shared" si="799"/>
        <v>4</v>
      </c>
      <c r="L399" s="51">
        <f t="shared" ref="L399:M399" si="800">LEN(D399)-LEN(B399)+1</f>
        <v>2</v>
      </c>
      <c r="M399" s="51">
        <f t="shared" si="800"/>
        <v>2</v>
      </c>
      <c r="N399" s="51">
        <f t="shared" si="5"/>
        <v>0</v>
      </c>
      <c r="O399" s="51" t="str">
        <f t="shared" si="6"/>
        <v>Equal</v>
      </c>
      <c r="P399" s="51">
        <f t="shared" si="7"/>
        <v>0</v>
      </c>
      <c r="Q399" s="51" t="str">
        <f t="shared" si="8"/>
        <v>Equal</v>
      </c>
    </row>
    <row r="400">
      <c r="A400" s="48" t="s">
        <v>14</v>
      </c>
      <c r="B400" s="49" t="s">
        <v>2807</v>
      </c>
      <c r="C400" s="49" t="s">
        <v>2808</v>
      </c>
      <c r="D400" s="49" t="s">
        <v>2809</v>
      </c>
      <c r="E400" s="49" t="s">
        <v>2810</v>
      </c>
      <c r="F400" s="49" t="s">
        <v>197</v>
      </c>
      <c r="G400" s="49" t="s">
        <v>2814</v>
      </c>
      <c r="H400" s="54">
        <v>3.0</v>
      </c>
      <c r="I400" s="54">
        <v>2.0</v>
      </c>
      <c r="J400" s="49">
        <f t="shared" ref="J400:K400" si="801">LEN(SUBSTITUTE(SUBSTITUTE(SUBSTITUTE(B400 ,"ˈ",""),"d̠ʒ","ʒ"),"t̠ʃ","ʃ"))</f>
        <v>5</v>
      </c>
      <c r="K400" s="44">
        <f t="shared" si="801"/>
        <v>5</v>
      </c>
      <c r="L400" s="51">
        <f t="shared" ref="L400:M400" si="802">LEN(D400)-LEN(B400)+1</f>
        <v>3</v>
      </c>
      <c r="M400" s="51">
        <f t="shared" si="802"/>
        <v>2</v>
      </c>
      <c r="N400" s="51">
        <f t="shared" si="5"/>
        <v>0</v>
      </c>
      <c r="O400" s="51" t="str">
        <f t="shared" si="6"/>
        <v>Equal</v>
      </c>
      <c r="P400" s="51">
        <f t="shared" si="7"/>
        <v>1</v>
      </c>
      <c r="Q400" s="51" t="str">
        <f t="shared" si="8"/>
        <v>Source</v>
      </c>
    </row>
    <row r="401">
      <c r="A401" s="48" t="s">
        <v>14</v>
      </c>
      <c r="B401" s="49" t="s">
        <v>2816</v>
      </c>
      <c r="C401" s="49" t="s">
        <v>2817</v>
      </c>
      <c r="D401" s="49" t="s">
        <v>2818</v>
      </c>
      <c r="E401" s="49" t="s">
        <v>2819</v>
      </c>
      <c r="F401" s="49" t="s">
        <v>30</v>
      </c>
      <c r="G401" s="49" t="s">
        <v>49</v>
      </c>
      <c r="H401" s="54">
        <v>1.0</v>
      </c>
      <c r="I401" s="54">
        <v>1.0</v>
      </c>
      <c r="J401" s="49">
        <f t="shared" ref="J401:K401" si="803">LEN(SUBSTITUTE(SUBSTITUTE(SUBSTITUTE(B401 ,"ˈ",""),"d̠ʒ","ʒ"),"t̠ʃ","ʃ"))</f>
        <v>6</v>
      </c>
      <c r="K401" s="44">
        <f t="shared" si="803"/>
        <v>6</v>
      </c>
      <c r="L401" s="51">
        <f t="shared" ref="L401:M401" si="804">LEN(D401)-LEN(B401)+1</f>
        <v>3</v>
      </c>
      <c r="M401" s="51">
        <f t="shared" si="804"/>
        <v>3</v>
      </c>
      <c r="N401" s="51">
        <f t="shared" si="5"/>
        <v>0</v>
      </c>
      <c r="O401" s="51" t="str">
        <f t="shared" si="6"/>
        <v>Equal</v>
      </c>
      <c r="P401" s="51">
        <f t="shared" si="7"/>
        <v>0</v>
      </c>
      <c r="Q401" s="51" t="str">
        <f t="shared" si="8"/>
        <v>Equal</v>
      </c>
    </row>
    <row r="402">
      <c r="A402" s="48" t="s">
        <v>14</v>
      </c>
      <c r="B402" s="49" t="s">
        <v>2824</v>
      </c>
      <c r="C402" s="49" t="s">
        <v>2825</v>
      </c>
      <c r="D402" s="49" t="s">
        <v>2826</v>
      </c>
      <c r="E402" s="49" t="s">
        <v>2827</v>
      </c>
      <c r="F402" s="49" t="s">
        <v>162</v>
      </c>
      <c r="G402" s="49" t="s">
        <v>624</v>
      </c>
      <c r="H402" s="54">
        <v>2.0</v>
      </c>
      <c r="I402" s="54">
        <v>3.0</v>
      </c>
      <c r="J402" s="49">
        <f t="shared" ref="J402:K402" si="805">LEN(SUBSTITUTE(SUBSTITUTE(SUBSTITUTE(B402 ,"ˈ",""),"d̠ʒ","ʒ"),"t̠ʃ","ʃ"))</f>
        <v>4</v>
      </c>
      <c r="K402" s="44">
        <f t="shared" si="805"/>
        <v>6</v>
      </c>
      <c r="L402" s="51">
        <f t="shared" ref="L402:M402" si="806">LEN(D402)-LEN(B402)+1</f>
        <v>2</v>
      </c>
      <c r="M402" s="51">
        <f t="shared" si="806"/>
        <v>3</v>
      </c>
      <c r="N402" s="51">
        <f t="shared" si="5"/>
        <v>-2</v>
      </c>
      <c r="O402" s="51" t="str">
        <f t="shared" si="6"/>
        <v>Target</v>
      </c>
      <c r="P402" s="51">
        <f t="shared" si="7"/>
        <v>-1</v>
      </c>
      <c r="Q402" s="51" t="str">
        <f t="shared" si="8"/>
        <v>Target</v>
      </c>
    </row>
    <row r="403">
      <c r="A403" s="48" t="s">
        <v>14</v>
      </c>
      <c r="B403" s="49" t="s">
        <v>2830</v>
      </c>
      <c r="C403" s="49" t="s">
        <v>2831</v>
      </c>
      <c r="D403" s="49" t="s">
        <v>2832</v>
      </c>
      <c r="E403" s="49" t="s">
        <v>2833</v>
      </c>
      <c r="F403" s="49" t="s">
        <v>471</v>
      </c>
      <c r="G403" s="49" t="s">
        <v>2834</v>
      </c>
      <c r="H403" s="54">
        <v>1.0</v>
      </c>
      <c r="I403" s="54">
        <v>1.0</v>
      </c>
      <c r="J403" s="49">
        <f t="shared" ref="J403:K403" si="807">LEN(SUBSTITUTE(SUBSTITUTE(SUBSTITUTE(B403 ,"ˈ",""),"d̠ʒ","ʒ"),"t̠ʃ","ʃ"))</f>
        <v>6</v>
      </c>
      <c r="K403" s="44">
        <f t="shared" si="807"/>
        <v>11</v>
      </c>
      <c r="L403" s="51">
        <f t="shared" ref="L403:M403" si="808">LEN(D403)-LEN(B403)+1</f>
        <v>3</v>
      </c>
      <c r="M403" s="51">
        <f t="shared" si="808"/>
        <v>4</v>
      </c>
      <c r="N403" s="51">
        <f t="shared" si="5"/>
        <v>-5</v>
      </c>
      <c r="O403" s="51" t="str">
        <f t="shared" si="6"/>
        <v>Target</v>
      </c>
      <c r="P403" s="51">
        <f t="shared" si="7"/>
        <v>-1</v>
      </c>
      <c r="Q403" s="51" t="str">
        <f t="shared" si="8"/>
        <v>Target</v>
      </c>
    </row>
    <row r="404">
      <c r="A404" s="48" t="s">
        <v>14</v>
      </c>
      <c r="B404" s="49" t="s">
        <v>2840</v>
      </c>
      <c r="C404" s="49" t="s">
        <v>2841</v>
      </c>
      <c r="D404" s="49" t="s">
        <v>2842</v>
      </c>
      <c r="E404" s="49" t="s">
        <v>2843</v>
      </c>
      <c r="F404" s="49" t="s">
        <v>143</v>
      </c>
      <c r="G404" s="49" t="s">
        <v>1116</v>
      </c>
      <c r="H404" s="54">
        <v>3.0</v>
      </c>
      <c r="I404" s="54">
        <v>3.0</v>
      </c>
      <c r="J404" s="49">
        <f t="shared" ref="J404:K404" si="809">LEN(SUBSTITUTE(SUBSTITUTE(SUBSTITUTE(B404 ,"ˈ",""),"d̠ʒ","ʒ"),"t̠ʃ","ʃ"))</f>
        <v>7</v>
      </c>
      <c r="K404" s="44">
        <f t="shared" si="809"/>
        <v>8</v>
      </c>
      <c r="L404" s="51">
        <f t="shared" ref="L404:M404" si="810">LEN(D404)-LEN(B404)+1</f>
        <v>3</v>
      </c>
      <c r="M404" s="51">
        <f t="shared" si="810"/>
        <v>3</v>
      </c>
      <c r="N404" s="51">
        <f t="shared" si="5"/>
        <v>-1</v>
      </c>
      <c r="O404" s="51" t="str">
        <f t="shared" si="6"/>
        <v>Target</v>
      </c>
      <c r="P404" s="51">
        <f t="shared" si="7"/>
        <v>0</v>
      </c>
      <c r="Q404" s="51" t="str">
        <f t="shared" si="8"/>
        <v>Equal</v>
      </c>
    </row>
    <row r="405">
      <c r="A405" s="48" t="s">
        <v>14</v>
      </c>
      <c r="B405" s="49" t="s">
        <v>409</v>
      </c>
      <c r="C405" s="49" t="s">
        <v>2847</v>
      </c>
      <c r="D405" s="49" t="s">
        <v>409</v>
      </c>
      <c r="E405" s="49" t="s">
        <v>2848</v>
      </c>
      <c r="F405" s="49" t="s">
        <v>409</v>
      </c>
      <c r="G405" s="49" t="s">
        <v>172</v>
      </c>
      <c r="H405" s="54">
        <v>1.0</v>
      </c>
      <c r="I405" s="54">
        <v>1.0</v>
      </c>
      <c r="J405" s="49">
        <f t="shared" ref="J405:K405" si="811">LEN(SUBSTITUTE(SUBSTITUTE(SUBSTITUTE(B405 ,"ˈ",""),"d̠ʒ","ʒ"),"t̠ʃ","ʃ"))</f>
        <v>3</v>
      </c>
      <c r="K405" s="44">
        <f t="shared" si="811"/>
        <v>3</v>
      </c>
      <c r="L405" s="51">
        <f t="shared" ref="L405:M405" si="812">LEN(D405)-LEN(B405)+1</f>
        <v>1</v>
      </c>
      <c r="M405" s="51">
        <f t="shared" si="812"/>
        <v>2</v>
      </c>
      <c r="N405" s="51">
        <f t="shared" si="5"/>
        <v>0</v>
      </c>
      <c r="O405" s="51" t="str">
        <f t="shared" si="6"/>
        <v>Equal</v>
      </c>
      <c r="P405" s="51">
        <f t="shared" si="7"/>
        <v>-1</v>
      </c>
      <c r="Q405" s="51" t="str">
        <f t="shared" si="8"/>
        <v>Target</v>
      </c>
    </row>
    <row r="406">
      <c r="A406" s="48" t="s">
        <v>14</v>
      </c>
      <c r="B406" s="49" t="s">
        <v>2851</v>
      </c>
      <c r="C406" s="49" t="s">
        <v>2852</v>
      </c>
      <c r="D406" s="49" t="s">
        <v>2853</v>
      </c>
      <c r="E406" s="49" t="s">
        <v>2854</v>
      </c>
      <c r="F406" s="49" t="s">
        <v>98</v>
      </c>
      <c r="G406" s="49" t="s">
        <v>98</v>
      </c>
      <c r="H406" s="54">
        <v>3.0</v>
      </c>
      <c r="I406" s="54">
        <v>3.0</v>
      </c>
      <c r="J406" s="49">
        <f t="shared" ref="J406:K406" si="813">LEN(SUBSTITUTE(SUBSTITUTE(SUBSTITUTE(B406 ,"ˈ",""),"d̠ʒ","ʒ"),"t̠ʃ","ʃ"))</f>
        <v>8</v>
      </c>
      <c r="K406" s="44">
        <f t="shared" si="813"/>
        <v>7</v>
      </c>
      <c r="L406" s="51">
        <f t="shared" ref="L406:M406" si="814">LEN(D406)-LEN(B406)+1</f>
        <v>3</v>
      </c>
      <c r="M406" s="51">
        <f t="shared" si="814"/>
        <v>3</v>
      </c>
      <c r="N406" s="51">
        <f t="shared" si="5"/>
        <v>1</v>
      </c>
      <c r="O406" s="51" t="str">
        <f t="shared" si="6"/>
        <v>Source</v>
      </c>
      <c r="P406" s="51">
        <f t="shared" si="7"/>
        <v>0</v>
      </c>
      <c r="Q406" s="51" t="str">
        <f t="shared" si="8"/>
        <v>Equal</v>
      </c>
    </row>
    <row r="407">
      <c r="A407" s="48" t="s">
        <v>14</v>
      </c>
      <c r="B407" s="49" t="s">
        <v>2859</v>
      </c>
      <c r="C407" s="49" t="s">
        <v>2860</v>
      </c>
      <c r="D407" s="49" t="s">
        <v>2861</v>
      </c>
      <c r="E407" s="49" t="s">
        <v>2862</v>
      </c>
      <c r="F407" s="49" t="s">
        <v>2863</v>
      </c>
      <c r="G407" s="49" t="s">
        <v>908</v>
      </c>
      <c r="H407" s="54">
        <v>1.0</v>
      </c>
      <c r="I407" s="54">
        <v>1.0</v>
      </c>
      <c r="J407" s="49">
        <f t="shared" ref="J407:K407" si="815">LEN(SUBSTITUTE(SUBSTITUTE(SUBSTITUTE(B407 ,"ˈ",""),"d̠ʒ","ʒ"),"t̠ʃ","ʃ"))</f>
        <v>7</v>
      </c>
      <c r="K407" s="44">
        <f t="shared" si="815"/>
        <v>9</v>
      </c>
      <c r="L407" s="51">
        <f t="shared" ref="L407:M407" si="816">LEN(D407)-LEN(B407)+1</f>
        <v>3</v>
      </c>
      <c r="M407" s="51">
        <f t="shared" si="816"/>
        <v>4</v>
      </c>
      <c r="N407" s="51">
        <f t="shared" si="5"/>
        <v>-2</v>
      </c>
      <c r="O407" s="51" t="str">
        <f t="shared" si="6"/>
        <v>Target</v>
      </c>
      <c r="P407" s="51">
        <f t="shared" si="7"/>
        <v>-1</v>
      </c>
      <c r="Q407" s="51" t="str">
        <f t="shared" si="8"/>
        <v>Target</v>
      </c>
    </row>
    <row r="408">
      <c r="A408" s="48" t="s">
        <v>14</v>
      </c>
      <c r="B408" s="49" t="s">
        <v>2870</v>
      </c>
      <c r="C408" s="52" t="s">
        <v>2871</v>
      </c>
      <c r="D408" s="49" t="s">
        <v>2872</v>
      </c>
      <c r="E408" s="49" t="s">
        <v>2873</v>
      </c>
      <c r="F408" s="49" t="s">
        <v>238</v>
      </c>
      <c r="G408" s="49" t="s">
        <v>238</v>
      </c>
      <c r="H408" s="54">
        <v>2.0</v>
      </c>
      <c r="I408" s="54">
        <v>2.0</v>
      </c>
      <c r="J408" s="49">
        <f t="shared" ref="J408:K408" si="817">LEN(SUBSTITUTE(SUBSTITUTE(SUBSTITUTE(B408 ,"ˈ",""),"d̠ʒ","ʒ"),"t̠ʃ","ʃ"))</f>
        <v>8</v>
      </c>
      <c r="K408" s="44">
        <f t="shared" si="817"/>
        <v>11</v>
      </c>
      <c r="L408" s="51">
        <f t="shared" ref="L408:M408" si="818">LEN(D408)-LEN(B408)+1</f>
        <v>3</v>
      </c>
      <c r="M408" s="51">
        <f t="shared" si="818"/>
        <v>3</v>
      </c>
      <c r="N408" s="51">
        <f t="shared" si="5"/>
        <v>-3</v>
      </c>
      <c r="O408" s="51" t="str">
        <f t="shared" si="6"/>
        <v>Target</v>
      </c>
      <c r="P408" s="51">
        <f t="shared" si="7"/>
        <v>0</v>
      </c>
      <c r="Q408" s="51" t="str">
        <f t="shared" si="8"/>
        <v>Equal</v>
      </c>
    </row>
    <row r="409">
      <c r="A409" s="48" t="s">
        <v>14</v>
      </c>
      <c r="B409" s="49" t="s">
        <v>2878</v>
      </c>
      <c r="C409" s="52" t="s">
        <v>2879</v>
      </c>
      <c r="D409" s="49" t="s">
        <v>2880</v>
      </c>
      <c r="E409" s="49" t="s">
        <v>2881</v>
      </c>
      <c r="F409" s="49" t="s">
        <v>238</v>
      </c>
      <c r="G409" s="49" t="s">
        <v>238</v>
      </c>
      <c r="H409" s="54">
        <v>2.0</v>
      </c>
      <c r="I409" s="54">
        <v>2.0</v>
      </c>
      <c r="J409" s="49">
        <f t="shared" ref="J409:K409" si="819">LEN(SUBSTITUTE(SUBSTITUTE(SUBSTITUTE(B409 ,"ˈ",""),"d̠ʒ","ʒ"),"t̠ʃ","ʃ"))</f>
        <v>8</v>
      </c>
      <c r="K409" s="44">
        <f t="shared" si="819"/>
        <v>12</v>
      </c>
      <c r="L409" s="51">
        <f t="shared" ref="L409:M409" si="820">LEN(D409)-LEN(B409)+1</f>
        <v>3</v>
      </c>
      <c r="M409" s="51">
        <f t="shared" si="820"/>
        <v>3</v>
      </c>
      <c r="N409" s="51">
        <f t="shared" si="5"/>
        <v>-4</v>
      </c>
      <c r="O409" s="51" t="str">
        <f t="shared" si="6"/>
        <v>Target</v>
      </c>
      <c r="P409" s="51">
        <f t="shared" si="7"/>
        <v>0</v>
      </c>
      <c r="Q409" s="51" t="str">
        <f t="shared" si="8"/>
        <v>Equal</v>
      </c>
    </row>
    <row r="410">
      <c r="A410" s="48" t="s">
        <v>14</v>
      </c>
      <c r="B410" s="49" t="s">
        <v>2884</v>
      </c>
      <c r="C410" s="49" t="s">
        <v>2555</v>
      </c>
      <c r="D410" s="49" t="s">
        <v>2885</v>
      </c>
      <c r="E410" s="49" t="s">
        <v>2557</v>
      </c>
      <c r="F410" s="49" t="s">
        <v>1647</v>
      </c>
      <c r="G410" s="49" t="s">
        <v>1983</v>
      </c>
      <c r="H410" s="54">
        <v>2.0</v>
      </c>
      <c r="I410" s="54">
        <v>3.0</v>
      </c>
      <c r="J410" s="49">
        <f t="shared" ref="J410:K410" si="821">LEN(SUBSTITUTE(SUBSTITUTE(SUBSTITUTE(B410 ,"ˈ",""),"d̠ʒ","ʒ"),"t̠ʃ","ʃ"))</f>
        <v>4</v>
      </c>
      <c r="K410" s="44">
        <f t="shared" si="821"/>
        <v>5</v>
      </c>
      <c r="L410" s="51">
        <f t="shared" ref="L410:M410" si="822">LEN(D410)-LEN(B410)+1</f>
        <v>2</v>
      </c>
      <c r="M410" s="51">
        <f t="shared" si="822"/>
        <v>3</v>
      </c>
      <c r="N410" s="51">
        <f t="shared" si="5"/>
        <v>-1</v>
      </c>
      <c r="O410" s="51" t="str">
        <f t="shared" si="6"/>
        <v>Target</v>
      </c>
      <c r="P410" s="51">
        <f t="shared" si="7"/>
        <v>-1</v>
      </c>
      <c r="Q410" s="51" t="str">
        <f t="shared" si="8"/>
        <v>Target</v>
      </c>
    </row>
    <row r="411">
      <c r="A411" s="48" t="s">
        <v>14</v>
      </c>
      <c r="B411" s="49" t="s">
        <v>2887</v>
      </c>
      <c r="C411" s="49" t="s">
        <v>2888</v>
      </c>
      <c r="D411" s="49" t="s">
        <v>2889</v>
      </c>
      <c r="E411" s="49" t="s">
        <v>2890</v>
      </c>
      <c r="F411" s="49" t="s">
        <v>128</v>
      </c>
      <c r="G411" s="49" t="s">
        <v>2892</v>
      </c>
      <c r="H411" s="54">
        <v>1.0</v>
      </c>
      <c r="I411" s="54">
        <v>1.0</v>
      </c>
      <c r="J411" s="49">
        <f t="shared" ref="J411:K411" si="823">LEN(SUBSTITUTE(SUBSTITUTE(SUBSTITUTE(B411 ,"ˈ",""),"d̠ʒ","ʒ"),"t̠ʃ","ʃ"))</f>
        <v>5</v>
      </c>
      <c r="K411" s="44">
        <f t="shared" si="823"/>
        <v>4</v>
      </c>
      <c r="L411" s="51">
        <f t="shared" ref="L411:M411" si="824">LEN(D411)-LEN(B411)+1</f>
        <v>3</v>
      </c>
      <c r="M411" s="51">
        <f t="shared" si="824"/>
        <v>2</v>
      </c>
      <c r="N411" s="51">
        <f t="shared" si="5"/>
        <v>1</v>
      </c>
      <c r="O411" s="51" t="str">
        <f t="shared" si="6"/>
        <v>Source</v>
      </c>
      <c r="P411" s="51">
        <f t="shared" si="7"/>
        <v>1</v>
      </c>
      <c r="Q411" s="51" t="str">
        <f t="shared" si="8"/>
        <v>Source</v>
      </c>
    </row>
    <row r="412">
      <c r="A412" s="48" t="s">
        <v>14</v>
      </c>
      <c r="B412" s="49" t="s">
        <v>2893</v>
      </c>
      <c r="C412" s="49" t="s">
        <v>2894</v>
      </c>
      <c r="D412" s="49" t="s">
        <v>2895</v>
      </c>
      <c r="E412" s="49" t="s">
        <v>2896</v>
      </c>
      <c r="F412" s="49" t="s">
        <v>362</v>
      </c>
      <c r="G412" s="49" t="s">
        <v>362</v>
      </c>
      <c r="H412" s="54">
        <v>3.0</v>
      </c>
      <c r="I412" s="54">
        <v>2.0</v>
      </c>
      <c r="J412" s="49">
        <f t="shared" ref="J412:K412" si="825">LEN(SUBSTITUTE(SUBSTITUTE(SUBSTITUTE(B412 ,"ˈ",""),"d̠ʒ","ʒ"),"t̠ʃ","ʃ"))</f>
        <v>5</v>
      </c>
      <c r="K412" s="44">
        <f t="shared" si="825"/>
        <v>5</v>
      </c>
      <c r="L412" s="51">
        <f t="shared" ref="L412:M412" si="826">LEN(D412)-LEN(B412)+1</f>
        <v>3</v>
      </c>
      <c r="M412" s="51">
        <f t="shared" si="826"/>
        <v>2</v>
      </c>
      <c r="N412" s="51">
        <f t="shared" si="5"/>
        <v>0</v>
      </c>
      <c r="O412" s="51" t="str">
        <f t="shared" si="6"/>
        <v>Equal</v>
      </c>
      <c r="P412" s="51">
        <f t="shared" si="7"/>
        <v>1</v>
      </c>
      <c r="Q412" s="51" t="str">
        <f t="shared" si="8"/>
        <v>Source</v>
      </c>
    </row>
    <row r="413">
      <c r="A413" s="48" t="s">
        <v>14</v>
      </c>
      <c r="B413" s="49" t="s">
        <v>2899</v>
      </c>
      <c r="C413" s="49" t="s">
        <v>2900</v>
      </c>
      <c r="D413" s="49" t="s">
        <v>2901</v>
      </c>
      <c r="E413" s="49" t="s">
        <v>2902</v>
      </c>
      <c r="F413" s="49" t="s">
        <v>128</v>
      </c>
      <c r="G413" s="49" t="s">
        <v>2905</v>
      </c>
      <c r="H413" s="54">
        <v>1.0</v>
      </c>
      <c r="I413" s="54">
        <v>1.0</v>
      </c>
      <c r="J413" s="49">
        <f t="shared" ref="J413:K413" si="827">LEN(SUBSTITUTE(SUBSTITUTE(SUBSTITUTE(B413 ,"ˈ",""),"d̠ʒ","ʒ"),"t̠ʃ","ʃ"))</f>
        <v>5</v>
      </c>
      <c r="K413" s="44">
        <f t="shared" si="827"/>
        <v>5</v>
      </c>
      <c r="L413" s="51">
        <f t="shared" ref="L413:M413" si="828">LEN(D413)-LEN(B413)+1</f>
        <v>3</v>
      </c>
      <c r="M413" s="51">
        <f t="shared" si="828"/>
        <v>2</v>
      </c>
      <c r="N413" s="51">
        <f t="shared" si="5"/>
        <v>0</v>
      </c>
      <c r="O413" s="51" t="str">
        <f t="shared" si="6"/>
        <v>Equal</v>
      </c>
      <c r="P413" s="51">
        <f t="shared" si="7"/>
        <v>1</v>
      </c>
      <c r="Q413" s="51" t="str">
        <f t="shared" si="8"/>
        <v>Source</v>
      </c>
    </row>
    <row r="414">
      <c r="A414" s="48" t="s">
        <v>14</v>
      </c>
      <c r="B414" s="49" t="s">
        <v>2906</v>
      </c>
      <c r="C414" s="49" t="s">
        <v>2907</v>
      </c>
      <c r="D414" s="49" t="s">
        <v>2908</v>
      </c>
      <c r="E414" s="49" t="s">
        <v>2909</v>
      </c>
      <c r="F414" s="49" t="s">
        <v>143</v>
      </c>
      <c r="G414" s="49" t="s">
        <v>1116</v>
      </c>
      <c r="H414" s="54">
        <v>3.0</v>
      </c>
      <c r="I414" s="54">
        <v>3.0</v>
      </c>
      <c r="J414" s="49">
        <f t="shared" ref="J414:K414" si="829">LEN(SUBSTITUTE(SUBSTITUTE(SUBSTITUTE(B414 ,"ˈ",""),"d̠ʒ","ʒ"),"t̠ʃ","ʃ"))</f>
        <v>7</v>
      </c>
      <c r="K414" s="44">
        <f t="shared" si="829"/>
        <v>8</v>
      </c>
      <c r="L414" s="51">
        <f t="shared" ref="L414:M414" si="830">LEN(D414)-LEN(B414)+1</f>
        <v>3</v>
      </c>
      <c r="M414" s="51">
        <f t="shared" si="830"/>
        <v>3</v>
      </c>
      <c r="N414" s="51">
        <f t="shared" si="5"/>
        <v>-1</v>
      </c>
      <c r="O414" s="51" t="str">
        <f t="shared" si="6"/>
        <v>Target</v>
      </c>
      <c r="P414" s="51">
        <f t="shared" si="7"/>
        <v>0</v>
      </c>
      <c r="Q414" s="51" t="str">
        <f t="shared" si="8"/>
        <v>Equal</v>
      </c>
    </row>
    <row r="415">
      <c r="A415" s="48" t="s">
        <v>14</v>
      </c>
      <c r="B415" s="49" t="s">
        <v>2914</v>
      </c>
      <c r="C415" s="49" t="s">
        <v>2915</v>
      </c>
      <c r="D415" s="49" t="s">
        <v>2916</v>
      </c>
      <c r="E415" s="49" t="s">
        <v>2917</v>
      </c>
      <c r="F415" s="49" t="s">
        <v>29</v>
      </c>
      <c r="G415" s="49" t="s">
        <v>29</v>
      </c>
      <c r="H415" s="54">
        <v>1.0</v>
      </c>
      <c r="I415" s="54">
        <v>1.0</v>
      </c>
      <c r="J415" s="49">
        <f t="shared" ref="J415:K415" si="831">LEN(SUBSTITUTE(SUBSTITUTE(SUBSTITUTE(B415 ,"ˈ",""),"d̠ʒ","ʒ"),"t̠ʃ","ʃ"))</f>
        <v>5</v>
      </c>
      <c r="K415" s="44">
        <f t="shared" si="831"/>
        <v>6</v>
      </c>
      <c r="L415" s="51">
        <f t="shared" ref="L415:M415" si="832">LEN(D415)-LEN(B415)+1</f>
        <v>3</v>
      </c>
      <c r="M415" s="51">
        <f t="shared" si="832"/>
        <v>3</v>
      </c>
      <c r="N415" s="51">
        <f t="shared" si="5"/>
        <v>-1</v>
      </c>
      <c r="O415" s="51" t="str">
        <f t="shared" si="6"/>
        <v>Target</v>
      </c>
      <c r="P415" s="51">
        <f t="shared" si="7"/>
        <v>0</v>
      </c>
      <c r="Q415" s="51" t="str">
        <f t="shared" si="8"/>
        <v>Equal</v>
      </c>
    </row>
    <row r="416">
      <c r="A416" s="48" t="s">
        <v>14</v>
      </c>
      <c r="B416" s="49" t="s">
        <v>2920</v>
      </c>
      <c r="C416" s="49" t="s">
        <v>2921</v>
      </c>
      <c r="D416" s="49" t="s">
        <v>2922</v>
      </c>
      <c r="E416" s="49" t="s">
        <v>2923</v>
      </c>
      <c r="F416" s="49" t="s">
        <v>2926</v>
      </c>
      <c r="G416" s="49" t="s">
        <v>2927</v>
      </c>
      <c r="H416" s="54">
        <v>2.0</v>
      </c>
      <c r="I416" s="54">
        <v>2.0</v>
      </c>
      <c r="J416" s="49">
        <f t="shared" ref="J416:K416" si="833">LEN(SUBSTITUTE(SUBSTITUTE(SUBSTITUTE(B416 ,"ˈ",""),"d̠ʒ","ʒ"),"t̠ʃ","ʃ"))</f>
        <v>3</v>
      </c>
      <c r="K416" s="44">
        <f t="shared" si="833"/>
        <v>3</v>
      </c>
      <c r="L416" s="51">
        <f t="shared" ref="L416:M416" si="834">LEN(D416)-LEN(B416)+1</f>
        <v>2</v>
      </c>
      <c r="M416" s="51">
        <f t="shared" si="834"/>
        <v>2</v>
      </c>
      <c r="N416" s="51">
        <f t="shared" si="5"/>
        <v>0</v>
      </c>
      <c r="O416" s="51" t="str">
        <f t="shared" si="6"/>
        <v>Equal</v>
      </c>
      <c r="P416" s="51">
        <f t="shared" si="7"/>
        <v>0</v>
      </c>
      <c r="Q416" s="51" t="str">
        <f t="shared" si="8"/>
        <v>Equal</v>
      </c>
    </row>
    <row r="417">
      <c r="A417" s="48" t="s">
        <v>14</v>
      </c>
      <c r="B417" s="49" t="s">
        <v>2928</v>
      </c>
      <c r="C417" s="49" t="s">
        <v>2929</v>
      </c>
      <c r="D417" s="49" t="s">
        <v>2930</v>
      </c>
      <c r="E417" s="49" t="s">
        <v>2931</v>
      </c>
      <c r="F417" s="49" t="s">
        <v>1032</v>
      </c>
      <c r="G417" s="49" t="s">
        <v>1032</v>
      </c>
      <c r="H417" s="54">
        <v>1.0</v>
      </c>
      <c r="I417" s="54">
        <v>1.0</v>
      </c>
      <c r="J417" s="49">
        <f t="shared" ref="J417:K417" si="835">LEN(SUBSTITUTE(SUBSTITUTE(SUBSTITUTE(B417 ,"ˈ",""),"d̠ʒ","ʒ"),"t̠ʃ","ʃ"))</f>
        <v>6</v>
      </c>
      <c r="K417" s="44">
        <f t="shared" si="835"/>
        <v>6</v>
      </c>
      <c r="L417" s="51">
        <f t="shared" ref="L417:M417" si="836">LEN(D417)-LEN(B417)+1</f>
        <v>3</v>
      </c>
      <c r="M417" s="51">
        <f t="shared" si="836"/>
        <v>3</v>
      </c>
      <c r="N417" s="51">
        <f t="shared" si="5"/>
        <v>0</v>
      </c>
      <c r="O417" s="51" t="str">
        <f t="shared" si="6"/>
        <v>Equal</v>
      </c>
      <c r="P417" s="51">
        <f t="shared" si="7"/>
        <v>0</v>
      </c>
      <c r="Q417" s="51" t="str">
        <f t="shared" si="8"/>
        <v>Equal</v>
      </c>
    </row>
    <row r="418">
      <c r="A418" s="48" t="s">
        <v>14</v>
      </c>
      <c r="B418" s="49" t="s">
        <v>2934</v>
      </c>
      <c r="C418" s="49" t="s">
        <v>2935</v>
      </c>
      <c r="D418" s="49" t="s">
        <v>2936</v>
      </c>
      <c r="E418" s="49" t="s">
        <v>2937</v>
      </c>
      <c r="F418" s="49" t="s">
        <v>387</v>
      </c>
      <c r="G418" s="49" t="s">
        <v>387</v>
      </c>
      <c r="H418" s="54">
        <v>2.0</v>
      </c>
      <c r="I418" s="54">
        <v>2.0</v>
      </c>
      <c r="J418" s="49">
        <f t="shared" ref="J418:K418" si="837">LEN(SUBSTITUTE(SUBSTITUTE(SUBSTITUTE(B418 ,"ˈ",""),"d̠ʒ","ʒ"),"t̠ʃ","ʃ"))</f>
        <v>4</v>
      </c>
      <c r="K418" s="44">
        <f t="shared" si="837"/>
        <v>4</v>
      </c>
      <c r="L418" s="51">
        <f t="shared" ref="L418:M418" si="838">LEN(D418)-LEN(B418)+1</f>
        <v>2</v>
      </c>
      <c r="M418" s="51">
        <f t="shared" si="838"/>
        <v>2</v>
      </c>
      <c r="N418" s="51">
        <f t="shared" si="5"/>
        <v>0</v>
      </c>
      <c r="O418" s="51" t="str">
        <f t="shared" si="6"/>
        <v>Equal</v>
      </c>
      <c r="P418" s="51">
        <f t="shared" si="7"/>
        <v>0</v>
      </c>
      <c r="Q418" s="51" t="str">
        <f t="shared" si="8"/>
        <v>Equal</v>
      </c>
    </row>
    <row r="419">
      <c r="A419" s="48" t="s">
        <v>14</v>
      </c>
      <c r="B419" s="49" t="s">
        <v>2940</v>
      </c>
      <c r="C419" s="49" t="s">
        <v>2941</v>
      </c>
      <c r="D419" s="49" t="s">
        <v>2942</v>
      </c>
      <c r="E419" s="49" t="s">
        <v>2943</v>
      </c>
      <c r="F419" s="49" t="s">
        <v>2944</v>
      </c>
      <c r="G419" s="49" t="s">
        <v>987</v>
      </c>
      <c r="H419" s="54">
        <v>1.0</v>
      </c>
      <c r="I419" s="54">
        <v>1.0</v>
      </c>
      <c r="J419" s="49">
        <f t="shared" ref="J419:K419" si="839">LEN(SUBSTITUTE(SUBSTITUTE(SUBSTITUTE(B419 ,"ˈ",""),"d̠ʒ","ʒ"),"t̠ʃ","ʃ"))</f>
        <v>8</v>
      </c>
      <c r="K419" s="44">
        <f t="shared" si="839"/>
        <v>12</v>
      </c>
      <c r="L419" s="51">
        <f t="shared" ref="L419:M419" si="840">LEN(D419)-LEN(B419)+1</f>
        <v>3</v>
      </c>
      <c r="M419" s="51">
        <f t="shared" si="840"/>
        <v>5</v>
      </c>
      <c r="N419" s="51">
        <f t="shared" si="5"/>
        <v>-4</v>
      </c>
      <c r="O419" s="51" t="str">
        <f t="shared" si="6"/>
        <v>Target</v>
      </c>
      <c r="P419" s="51">
        <f t="shared" si="7"/>
        <v>-2</v>
      </c>
      <c r="Q419" s="51" t="str">
        <f t="shared" si="8"/>
        <v>Target</v>
      </c>
    </row>
    <row r="420">
      <c r="A420" s="48" t="s">
        <v>14</v>
      </c>
      <c r="B420" s="49" t="s">
        <v>2940</v>
      </c>
      <c r="C420" s="49" t="s">
        <v>2941</v>
      </c>
      <c r="D420" s="49" t="s">
        <v>2942</v>
      </c>
      <c r="E420" s="49" t="s">
        <v>2943</v>
      </c>
      <c r="F420" s="49" t="s">
        <v>2948</v>
      </c>
      <c r="G420" s="49" t="s">
        <v>103</v>
      </c>
      <c r="H420" s="54">
        <v>3.0</v>
      </c>
      <c r="I420" s="54">
        <v>5.0</v>
      </c>
      <c r="J420" s="49">
        <f t="shared" ref="J420:K420" si="841">LEN(SUBSTITUTE(SUBSTITUTE(SUBSTITUTE(B420 ,"ˈ",""),"d̠ʒ","ʒ"),"t̠ʃ","ʃ"))</f>
        <v>8</v>
      </c>
      <c r="K420" s="44">
        <f t="shared" si="841"/>
        <v>12</v>
      </c>
      <c r="L420" s="51">
        <f t="shared" ref="L420:M420" si="842">LEN(D420)-LEN(B420)+1</f>
        <v>3</v>
      </c>
      <c r="M420" s="51">
        <f t="shared" si="842"/>
        <v>5</v>
      </c>
      <c r="N420" s="51">
        <f t="shared" si="5"/>
        <v>-4</v>
      </c>
      <c r="O420" s="51" t="str">
        <f t="shared" si="6"/>
        <v>Target</v>
      </c>
      <c r="P420" s="51">
        <f t="shared" si="7"/>
        <v>-2</v>
      </c>
      <c r="Q420" s="51" t="str">
        <f t="shared" si="8"/>
        <v>Target</v>
      </c>
    </row>
    <row r="421">
      <c r="A421" s="48" t="s">
        <v>14</v>
      </c>
      <c r="B421" s="49" t="s">
        <v>2949</v>
      </c>
      <c r="C421" s="49" t="s">
        <v>2950</v>
      </c>
      <c r="D421" s="49" t="s">
        <v>2951</v>
      </c>
      <c r="E421" s="49" t="s">
        <v>2952</v>
      </c>
      <c r="F421" s="49" t="s">
        <v>2953</v>
      </c>
      <c r="G421" s="49" t="s">
        <v>2954</v>
      </c>
      <c r="H421" s="54">
        <v>1.0</v>
      </c>
      <c r="I421" s="54">
        <v>1.0</v>
      </c>
      <c r="J421" s="49">
        <f t="shared" ref="J421:K421" si="843">LEN(SUBSTITUTE(SUBSTITUTE(SUBSTITUTE(B421 ,"ˈ",""),"d̠ʒ","ʒ"),"t̠ʃ","ʃ"))</f>
        <v>8</v>
      </c>
      <c r="K421" s="44">
        <f t="shared" si="843"/>
        <v>10</v>
      </c>
      <c r="L421" s="51">
        <f t="shared" ref="L421:M421" si="844">LEN(D421)-LEN(B421)+1</f>
        <v>3</v>
      </c>
      <c r="M421" s="51">
        <f t="shared" si="844"/>
        <v>4</v>
      </c>
      <c r="N421" s="51">
        <f t="shared" si="5"/>
        <v>-2</v>
      </c>
      <c r="O421" s="51" t="str">
        <f t="shared" si="6"/>
        <v>Target</v>
      </c>
      <c r="P421" s="51">
        <f t="shared" si="7"/>
        <v>-1</v>
      </c>
      <c r="Q421" s="51" t="str">
        <f t="shared" si="8"/>
        <v>Target</v>
      </c>
    </row>
    <row r="422">
      <c r="A422" s="48" t="s">
        <v>14</v>
      </c>
      <c r="B422" s="49" t="s">
        <v>2957</v>
      </c>
      <c r="C422" s="49" t="s">
        <v>2958</v>
      </c>
      <c r="D422" s="49" t="s">
        <v>2959</v>
      </c>
      <c r="E422" s="49" t="s">
        <v>2960</v>
      </c>
      <c r="F422" s="49" t="s">
        <v>401</v>
      </c>
      <c r="G422" s="49" t="s">
        <v>987</v>
      </c>
      <c r="H422" s="54">
        <v>1.0</v>
      </c>
      <c r="I422" s="54">
        <v>1.0</v>
      </c>
      <c r="J422" s="49">
        <f t="shared" ref="J422:K422" si="845">LEN(SUBSTITUTE(SUBSTITUTE(SUBSTITUTE(B422 ,"ˈ",""),"d̠ʒ","ʒ"),"t̠ʃ","ʃ"))</f>
        <v>7</v>
      </c>
      <c r="K422" s="44">
        <f t="shared" si="845"/>
        <v>8</v>
      </c>
      <c r="L422" s="51">
        <f t="shared" ref="L422:M422" si="846">LEN(D422)-LEN(B422)+1</f>
        <v>3</v>
      </c>
      <c r="M422" s="51">
        <f t="shared" si="846"/>
        <v>3</v>
      </c>
      <c r="N422" s="51">
        <f t="shared" si="5"/>
        <v>-1</v>
      </c>
      <c r="O422" s="51" t="str">
        <f t="shared" si="6"/>
        <v>Target</v>
      </c>
      <c r="P422" s="51">
        <f t="shared" si="7"/>
        <v>0</v>
      </c>
      <c r="Q422" s="51" t="str">
        <f t="shared" si="8"/>
        <v>Equal</v>
      </c>
    </row>
    <row r="423">
      <c r="A423" s="48" t="s">
        <v>14</v>
      </c>
      <c r="B423" s="49" t="s">
        <v>2966</v>
      </c>
      <c r="C423" s="49" t="s">
        <v>2967</v>
      </c>
      <c r="D423" s="49" t="s">
        <v>2968</v>
      </c>
      <c r="E423" s="49" t="s">
        <v>2969</v>
      </c>
      <c r="F423" s="49" t="s">
        <v>1075</v>
      </c>
      <c r="G423" s="49" t="s">
        <v>1076</v>
      </c>
      <c r="H423" s="54">
        <v>1.0</v>
      </c>
      <c r="I423" s="54">
        <v>1.0</v>
      </c>
      <c r="J423" s="49">
        <f t="shared" ref="J423:K423" si="847">LEN(SUBSTITUTE(SUBSTITUTE(SUBSTITUTE(B423 ,"ˈ",""),"d̠ʒ","ʒ"),"t̠ʃ","ʃ"))</f>
        <v>4</v>
      </c>
      <c r="K423" s="44">
        <f t="shared" si="847"/>
        <v>5</v>
      </c>
      <c r="L423" s="51">
        <f t="shared" ref="L423:M423" si="848">LEN(D423)-LEN(B423)+1</f>
        <v>2</v>
      </c>
      <c r="M423" s="51">
        <f t="shared" si="848"/>
        <v>2</v>
      </c>
      <c r="N423" s="51">
        <f t="shared" si="5"/>
        <v>-1</v>
      </c>
      <c r="O423" s="51" t="str">
        <f t="shared" si="6"/>
        <v>Target</v>
      </c>
      <c r="P423" s="51">
        <f t="shared" si="7"/>
        <v>0</v>
      </c>
      <c r="Q423" s="51" t="str">
        <f t="shared" si="8"/>
        <v>Equal</v>
      </c>
    </row>
    <row r="424">
      <c r="A424" s="48" t="s">
        <v>14</v>
      </c>
      <c r="B424" s="49" t="s">
        <v>2972</v>
      </c>
      <c r="C424" s="49" t="s">
        <v>2973</v>
      </c>
      <c r="D424" s="49" t="s">
        <v>2974</v>
      </c>
      <c r="E424" s="49" t="s">
        <v>2975</v>
      </c>
      <c r="F424" s="49" t="s">
        <v>1920</v>
      </c>
      <c r="G424" s="49" t="s">
        <v>103</v>
      </c>
      <c r="H424" s="54">
        <v>3.0</v>
      </c>
      <c r="I424" s="54">
        <v>4.0</v>
      </c>
      <c r="J424" s="49">
        <f t="shared" ref="J424:K424" si="849">LEN(SUBSTITUTE(SUBSTITUTE(SUBSTITUTE(B424 ,"ˈ",""),"d̠ʒ","ʒ"),"t̠ʃ","ʃ"))</f>
        <v>7</v>
      </c>
      <c r="K424" s="44">
        <f t="shared" si="849"/>
        <v>11</v>
      </c>
      <c r="L424" s="51">
        <f t="shared" ref="L424:M424" si="850">LEN(D424)-LEN(B424)+1</f>
        <v>3</v>
      </c>
      <c r="M424" s="51">
        <f t="shared" si="850"/>
        <v>3</v>
      </c>
      <c r="N424" s="51">
        <f t="shared" si="5"/>
        <v>-4</v>
      </c>
      <c r="O424" s="51" t="str">
        <f t="shared" si="6"/>
        <v>Target</v>
      </c>
      <c r="P424" s="51">
        <f t="shared" si="7"/>
        <v>0</v>
      </c>
      <c r="Q424" s="51" t="str">
        <f t="shared" si="8"/>
        <v>Equal</v>
      </c>
    </row>
    <row r="425">
      <c r="A425" s="48" t="s">
        <v>14</v>
      </c>
      <c r="B425" s="49" t="s">
        <v>2978</v>
      </c>
      <c r="C425" s="49" t="s">
        <v>2979</v>
      </c>
      <c r="D425" s="49" t="s">
        <v>2980</v>
      </c>
      <c r="E425" s="49" t="s">
        <v>2981</v>
      </c>
      <c r="F425" s="49" t="s">
        <v>2982</v>
      </c>
      <c r="G425" s="49" t="s">
        <v>758</v>
      </c>
      <c r="H425" s="54">
        <v>1.0</v>
      </c>
      <c r="I425" s="54">
        <v>1.0</v>
      </c>
      <c r="J425" s="49">
        <f t="shared" ref="J425:K425" si="851">LEN(SUBSTITUTE(SUBSTITUTE(SUBSTITUTE(B425 ,"ˈ",""),"d̠ʒ","ʒ"),"t̠ʃ","ʃ"))</f>
        <v>5</v>
      </c>
      <c r="K425" s="44">
        <f t="shared" si="851"/>
        <v>7</v>
      </c>
      <c r="L425" s="51">
        <f t="shared" ref="L425:M425" si="852">LEN(D425)-LEN(B425)+1</f>
        <v>2</v>
      </c>
      <c r="M425" s="51">
        <f t="shared" si="852"/>
        <v>3</v>
      </c>
      <c r="N425" s="51">
        <f t="shared" si="5"/>
        <v>-2</v>
      </c>
      <c r="O425" s="51" t="str">
        <f t="shared" si="6"/>
        <v>Target</v>
      </c>
      <c r="P425" s="51">
        <f t="shared" si="7"/>
        <v>-1</v>
      </c>
      <c r="Q425" s="51" t="str">
        <f t="shared" si="8"/>
        <v>Target</v>
      </c>
    </row>
    <row r="426">
      <c r="A426" s="48" t="s">
        <v>14</v>
      </c>
      <c r="B426" s="49" t="s">
        <v>2987</v>
      </c>
      <c r="C426" s="49" t="s">
        <v>2988</v>
      </c>
      <c r="D426" s="49" t="s">
        <v>2989</v>
      </c>
      <c r="E426" s="49" t="s">
        <v>2990</v>
      </c>
      <c r="F426" s="49" t="s">
        <v>245</v>
      </c>
      <c r="G426" s="49" t="s">
        <v>24</v>
      </c>
      <c r="H426" s="54">
        <v>2.0</v>
      </c>
      <c r="I426" s="54">
        <v>2.0</v>
      </c>
      <c r="J426" s="49">
        <f t="shared" ref="J426:K426" si="853">LEN(SUBSTITUTE(SUBSTITUTE(SUBSTITUTE(B426 ,"ˈ",""),"d̠ʒ","ʒ"),"t̠ʃ","ʃ"))</f>
        <v>4</v>
      </c>
      <c r="K426" s="44">
        <f t="shared" si="853"/>
        <v>4</v>
      </c>
      <c r="L426" s="51">
        <f t="shared" ref="L426:M426" si="854">LEN(D426)-LEN(B426)+1</f>
        <v>2</v>
      </c>
      <c r="M426" s="51">
        <f t="shared" si="854"/>
        <v>2</v>
      </c>
      <c r="N426" s="51">
        <f t="shared" si="5"/>
        <v>0</v>
      </c>
      <c r="O426" s="51" t="str">
        <f t="shared" si="6"/>
        <v>Equal</v>
      </c>
      <c r="P426" s="51">
        <f t="shared" si="7"/>
        <v>0</v>
      </c>
      <c r="Q426" s="51" t="str">
        <f t="shared" si="8"/>
        <v>Equal</v>
      </c>
    </row>
    <row r="427">
      <c r="A427" s="48" t="s">
        <v>14</v>
      </c>
      <c r="B427" s="49" t="s">
        <v>2994</v>
      </c>
      <c r="C427" s="49" t="s">
        <v>2995</v>
      </c>
      <c r="D427" s="49" t="s">
        <v>2996</v>
      </c>
      <c r="E427" s="49" t="s">
        <v>2997</v>
      </c>
      <c r="F427" s="49" t="s">
        <v>2998</v>
      </c>
      <c r="G427" s="49" t="s">
        <v>2991</v>
      </c>
      <c r="H427" s="54">
        <v>1.0</v>
      </c>
      <c r="I427" s="54">
        <v>1.0</v>
      </c>
      <c r="J427" s="49">
        <f t="shared" ref="J427:K427" si="855">LEN(SUBSTITUTE(SUBSTITUTE(SUBSTITUTE(B427 ,"ˈ",""),"d̠ʒ","ʒ"),"t̠ʃ","ʃ"))</f>
        <v>5</v>
      </c>
      <c r="K427" s="44">
        <f t="shared" si="855"/>
        <v>4</v>
      </c>
      <c r="L427" s="51">
        <f t="shared" ref="L427:M427" si="856">LEN(D427)-LEN(B427)+1</f>
        <v>2</v>
      </c>
      <c r="M427" s="51">
        <f t="shared" si="856"/>
        <v>2</v>
      </c>
      <c r="N427" s="51">
        <f t="shared" si="5"/>
        <v>1</v>
      </c>
      <c r="O427" s="51" t="str">
        <f t="shared" si="6"/>
        <v>Source</v>
      </c>
      <c r="P427" s="51">
        <f t="shared" si="7"/>
        <v>0</v>
      </c>
      <c r="Q427" s="51" t="str">
        <f t="shared" si="8"/>
        <v>Equal</v>
      </c>
    </row>
    <row r="428">
      <c r="A428" s="48" t="s">
        <v>14</v>
      </c>
      <c r="B428" s="49" t="s">
        <v>3000</v>
      </c>
      <c r="C428" s="49" t="s">
        <v>3001</v>
      </c>
      <c r="D428" s="49" t="s">
        <v>3002</v>
      </c>
      <c r="E428" s="49" t="s">
        <v>3003</v>
      </c>
      <c r="F428" s="49" t="s">
        <v>158</v>
      </c>
      <c r="G428" s="49" t="s">
        <v>158</v>
      </c>
      <c r="H428" s="54">
        <v>3.0</v>
      </c>
      <c r="I428" s="54">
        <v>2.0</v>
      </c>
      <c r="J428" s="49">
        <f t="shared" ref="J428:K428" si="857">LEN(SUBSTITUTE(SUBSTITUTE(SUBSTITUTE(B428 ,"ˈ",""),"d̠ʒ","ʒ"),"t̠ʃ","ʃ"))</f>
        <v>5</v>
      </c>
      <c r="K428" s="44">
        <f t="shared" si="857"/>
        <v>4</v>
      </c>
      <c r="L428" s="51">
        <f t="shared" ref="L428:M428" si="858">LEN(D428)-LEN(B428)+1</f>
        <v>3</v>
      </c>
      <c r="M428" s="51">
        <f t="shared" si="858"/>
        <v>2</v>
      </c>
      <c r="N428" s="51">
        <f t="shared" si="5"/>
        <v>1</v>
      </c>
      <c r="O428" s="51" t="str">
        <f t="shared" si="6"/>
        <v>Source</v>
      </c>
      <c r="P428" s="51">
        <f t="shared" si="7"/>
        <v>1</v>
      </c>
      <c r="Q428" s="51" t="str">
        <f t="shared" si="8"/>
        <v>Source</v>
      </c>
    </row>
    <row r="429">
      <c r="A429" s="48" t="s">
        <v>14</v>
      </c>
      <c r="B429" s="49" t="s">
        <v>3006</v>
      </c>
      <c r="C429" s="49" t="s">
        <v>3007</v>
      </c>
      <c r="D429" s="49" t="s">
        <v>3008</v>
      </c>
      <c r="E429" s="49" t="s">
        <v>3007</v>
      </c>
      <c r="F429" s="49" t="s">
        <v>1331</v>
      </c>
      <c r="G429" s="49" t="s">
        <v>3007</v>
      </c>
      <c r="H429" s="54">
        <v>1.0</v>
      </c>
      <c r="I429" s="54">
        <v>1.0</v>
      </c>
      <c r="J429" s="49">
        <f t="shared" ref="J429:K429" si="859">LEN(SUBSTITUTE(SUBSTITUTE(SUBSTITUTE(B429 ,"ˈ",""),"d̠ʒ","ʒ"),"t̠ʃ","ʃ"))</f>
        <v>4</v>
      </c>
      <c r="K429" s="44">
        <f t="shared" si="859"/>
        <v>4</v>
      </c>
      <c r="L429" s="51">
        <f t="shared" ref="L429:M429" si="860">LEN(D429)-LEN(B429)+1</f>
        <v>2</v>
      </c>
      <c r="M429" s="51">
        <f t="shared" si="860"/>
        <v>1</v>
      </c>
      <c r="N429" s="51">
        <f t="shared" si="5"/>
        <v>0</v>
      </c>
      <c r="O429" s="51" t="str">
        <f t="shared" si="6"/>
        <v>Equal</v>
      </c>
      <c r="P429" s="51">
        <f t="shared" si="7"/>
        <v>1</v>
      </c>
      <c r="Q429" s="51" t="str">
        <f t="shared" si="8"/>
        <v>Source</v>
      </c>
    </row>
    <row r="430">
      <c r="A430" s="48" t="s">
        <v>14</v>
      </c>
      <c r="B430" s="49" t="s">
        <v>3011</v>
      </c>
      <c r="C430" s="49" t="s">
        <v>3012</v>
      </c>
      <c r="D430" s="49" t="s">
        <v>3013</v>
      </c>
      <c r="E430" s="49" t="s">
        <v>3014</v>
      </c>
      <c r="F430" s="49" t="s">
        <v>143</v>
      </c>
      <c r="G430" s="49" t="s">
        <v>143</v>
      </c>
      <c r="H430" s="54">
        <v>3.0</v>
      </c>
      <c r="I430" s="54">
        <v>3.0</v>
      </c>
      <c r="J430" s="49">
        <f t="shared" ref="J430:K430" si="861">LEN(SUBSTITUTE(SUBSTITUTE(SUBSTITUTE(B430 ,"ˈ",""),"d̠ʒ","ʒ"),"t̠ʃ","ʃ"))</f>
        <v>6</v>
      </c>
      <c r="K430" s="44">
        <f t="shared" si="861"/>
        <v>5</v>
      </c>
      <c r="L430" s="51">
        <f t="shared" ref="L430:M430" si="862">LEN(D430)-LEN(B430)+1</f>
        <v>3</v>
      </c>
      <c r="M430" s="51">
        <f t="shared" si="862"/>
        <v>3</v>
      </c>
      <c r="N430" s="51">
        <f t="shared" si="5"/>
        <v>1</v>
      </c>
      <c r="O430" s="51" t="str">
        <f t="shared" si="6"/>
        <v>Source</v>
      </c>
      <c r="P430" s="51">
        <f t="shared" si="7"/>
        <v>0</v>
      </c>
      <c r="Q430" s="51" t="str">
        <f t="shared" si="8"/>
        <v>Equal</v>
      </c>
    </row>
    <row r="431">
      <c r="A431" s="48" t="s">
        <v>14</v>
      </c>
      <c r="B431" s="49" t="s">
        <v>3017</v>
      </c>
      <c r="C431" s="49" t="s">
        <v>3018</v>
      </c>
      <c r="D431" s="49" t="s">
        <v>3019</v>
      </c>
      <c r="E431" s="49" t="s">
        <v>3020</v>
      </c>
      <c r="F431" s="49" t="s">
        <v>3021</v>
      </c>
      <c r="G431" s="49" t="s">
        <v>3022</v>
      </c>
      <c r="H431" s="54">
        <v>1.0</v>
      </c>
      <c r="I431" s="54">
        <v>1.0</v>
      </c>
      <c r="J431" s="49">
        <f t="shared" ref="J431:K431" si="863">LEN(SUBSTITUTE(SUBSTITUTE(SUBSTITUTE(B431 ,"ˈ",""),"d̠ʒ","ʒ"),"t̠ʃ","ʃ"))</f>
        <v>5</v>
      </c>
      <c r="K431" s="44">
        <f t="shared" si="863"/>
        <v>6</v>
      </c>
      <c r="L431" s="51">
        <f t="shared" ref="L431:M431" si="864">LEN(D431)-LEN(B431)+1</f>
        <v>2</v>
      </c>
      <c r="M431" s="51">
        <f t="shared" si="864"/>
        <v>3</v>
      </c>
      <c r="N431" s="51">
        <f t="shared" si="5"/>
        <v>-1</v>
      </c>
      <c r="O431" s="51" t="str">
        <f t="shared" si="6"/>
        <v>Target</v>
      </c>
      <c r="P431" s="51">
        <f t="shared" si="7"/>
        <v>-1</v>
      </c>
      <c r="Q431" s="51" t="str">
        <f t="shared" si="8"/>
        <v>Target</v>
      </c>
    </row>
    <row r="432">
      <c r="A432" s="48" t="s">
        <v>14</v>
      </c>
      <c r="B432" s="49" t="s">
        <v>3026</v>
      </c>
      <c r="C432" s="49" t="s">
        <v>3027</v>
      </c>
      <c r="D432" s="49" t="s">
        <v>3028</v>
      </c>
      <c r="E432" s="49" t="s">
        <v>3027</v>
      </c>
      <c r="F432" s="49" t="s">
        <v>1823</v>
      </c>
      <c r="G432" s="49" t="s">
        <v>36</v>
      </c>
      <c r="H432" s="54">
        <v>2.0</v>
      </c>
      <c r="I432" s="54" t="s">
        <v>36</v>
      </c>
      <c r="J432" s="49">
        <f t="shared" ref="J432:K432" si="865">LEN(SUBSTITUTE(SUBSTITUTE(SUBSTITUTE(B432 ,"ˈ",""),"d̠ʒ","ʒ"),"t̠ʃ","ʃ"))</f>
        <v>5</v>
      </c>
      <c r="K432" s="44">
        <f t="shared" si="865"/>
        <v>4</v>
      </c>
      <c r="L432" s="51">
        <f t="shared" ref="L432:M432" si="866">LEN(D432)-LEN(B432)+1</f>
        <v>2</v>
      </c>
      <c r="M432" s="51">
        <f t="shared" si="866"/>
        <v>1</v>
      </c>
      <c r="N432" s="51">
        <f t="shared" si="5"/>
        <v>1</v>
      </c>
      <c r="O432" s="51" t="str">
        <f t="shared" si="6"/>
        <v>Source</v>
      </c>
      <c r="P432" s="51">
        <f t="shared" si="7"/>
        <v>1</v>
      </c>
      <c r="Q432" s="51" t="str">
        <f t="shared" si="8"/>
        <v>Source</v>
      </c>
    </row>
    <row r="433">
      <c r="A433" s="48" t="s">
        <v>14</v>
      </c>
      <c r="B433" s="49" t="s">
        <v>3032</v>
      </c>
      <c r="C433" s="49" t="s">
        <v>3033</v>
      </c>
      <c r="D433" s="49" t="s">
        <v>3034</v>
      </c>
      <c r="E433" s="49" t="s">
        <v>3035</v>
      </c>
      <c r="F433" s="49" t="s">
        <v>575</v>
      </c>
      <c r="G433" s="49" t="s">
        <v>575</v>
      </c>
      <c r="H433" s="54">
        <v>1.0</v>
      </c>
      <c r="I433" s="54">
        <v>1.0</v>
      </c>
      <c r="J433" s="49">
        <f t="shared" ref="J433:K433" si="867">LEN(SUBSTITUTE(SUBSTITUTE(SUBSTITUTE(B433 ,"ˈ",""),"d̠ʒ","ʒ"),"t̠ʃ","ʃ"))</f>
        <v>6</v>
      </c>
      <c r="K433" s="44">
        <f t="shared" si="867"/>
        <v>7</v>
      </c>
      <c r="L433" s="51">
        <f t="shared" ref="L433:M433" si="868">LEN(D433)-LEN(B433)+1</f>
        <v>3</v>
      </c>
      <c r="M433" s="51">
        <f t="shared" si="868"/>
        <v>3</v>
      </c>
      <c r="N433" s="51">
        <f t="shared" si="5"/>
        <v>-1</v>
      </c>
      <c r="O433" s="51" t="str">
        <f t="shared" si="6"/>
        <v>Target</v>
      </c>
      <c r="P433" s="51">
        <f t="shared" si="7"/>
        <v>0</v>
      </c>
      <c r="Q433" s="51" t="str">
        <f t="shared" si="8"/>
        <v>Equal</v>
      </c>
    </row>
    <row r="434">
      <c r="A434" s="48" t="s">
        <v>14</v>
      </c>
      <c r="B434" s="49" t="s">
        <v>3038</v>
      </c>
      <c r="C434" s="49" t="s">
        <v>3039</v>
      </c>
      <c r="D434" s="49" t="s">
        <v>3040</v>
      </c>
      <c r="E434" s="49" t="s">
        <v>3041</v>
      </c>
      <c r="F434" s="49" t="s">
        <v>181</v>
      </c>
      <c r="G434" s="49" t="s">
        <v>428</v>
      </c>
      <c r="H434" s="54">
        <v>2.0</v>
      </c>
      <c r="I434" s="54">
        <v>3.0</v>
      </c>
      <c r="J434" s="49">
        <f t="shared" ref="J434:K434" si="869">LEN(SUBSTITUTE(SUBSTITUTE(SUBSTITUTE(B434 ,"ˈ",""),"d̠ʒ","ʒ"),"t̠ʃ","ʃ"))</f>
        <v>5</v>
      </c>
      <c r="K434" s="44">
        <f t="shared" si="869"/>
        <v>8</v>
      </c>
      <c r="L434" s="51">
        <f t="shared" ref="L434:M434" si="870">LEN(D434)-LEN(B434)+1</f>
        <v>2</v>
      </c>
      <c r="M434" s="51">
        <f t="shared" si="870"/>
        <v>3</v>
      </c>
      <c r="N434" s="51">
        <f t="shared" si="5"/>
        <v>-3</v>
      </c>
      <c r="O434" s="51" t="str">
        <f t="shared" si="6"/>
        <v>Target</v>
      </c>
      <c r="P434" s="51">
        <f t="shared" si="7"/>
        <v>-1</v>
      </c>
      <c r="Q434" s="51" t="str">
        <f t="shared" si="8"/>
        <v>Target</v>
      </c>
    </row>
    <row r="435">
      <c r="A435" s="48" t="s">
        <v>14</v>
      </c>
      <c r="B435" s="49" t="s">
        <v>3044</v>
      </c>
      <c r="C435" s="49" t="s">
        <v>3044</v>
      </c>
      <c r="D435" s="49" t="s">
        <v>3045</v>
      </c>
      <c r="E435" s="49" t="s">
        <v>3045</v>
      </c>
      <c r="F435" s="49" t="s">
        <v>181</v>
      </c>
      <c r="G435" s="49" t="s">
        <v>181</v>
      </c>
      <c r="H435" s="54">
        <v>1.0</v>
      </c>
      <c r="I435" s="54">
        <v>1.0</v>
      </c>
      <c r="J435" s="49">
        <f t="shared" ref="J435:K435" si="871">LEN(SUBSTITUTE(SUBSTITUTE(SUBSTITUTE(B435 ,"ˈ",""),"d̠ʒ","ʒ"),"t̠ʃ","ʃ"))</f>
        <v>5</v>
      </c>
      <c r="K435" s="44">
        <f t="shared" si="871"/>
        <v>5</v>
      </c>
      <c r="L435" s="51">
        <f t="shared" ref="L435:M435" si="872">LEN(D435)-LEN(B435)+1</f>
        <v>2</v>
      </c>
      <c r="M435" s="51">
        <f t="shared" si="872"/>
        <v>2</v>
      </c>
      <c r="N435" s="51">
        <f t="shared" si="5"/>
        <v>0</v>
      </c>
      <c r="O435" s="51" t="str">
        <f t="shared" si="6"/>
        <v>Equal</v>
      </c>
      <c r="P435" s="51">
        <f t="shared" si="7"/>
        <v>0</v>
      </c>
      <c r="Q435" s="51" t="str">
        <f t="shared" si="8"/>
        <v>Equal</v>
      </c>
    </row>
    <row r="436">
      <c r="A436" s="48" t="s">
        <v>14</v>
      </c>
      <c r="B436" s="49" t="s">
        <v>3048</v>
      </c>
      <c r="C436" s="49" t="s">
        <v>3049</v>
      </c>
      <c r="D436" s="49" t="s">
        <v>3050</v>
      </c>
      <c r="E436" s="49" t="s">
        <v>3051</v>
      </c>
      <c r="F436" s="49" t="s">
        <v>62</v>
      </c>
      <c r="G436" s="49" t="s">
        <v>724</v>
      </c>
      <c r="H436" s="54">
        <v>3.0</v>
      </c>
      <c r="I436" s="54">
        <v>2.0</v>
      </c>
      <c r="J436" s="49">
        <f t="shared" ref="J436:K436" si="873">LEN(SUBSTITUTE(SUBSTITUTE(SUBSTITUTE(B436 ,"ˈ",""),"d̠ʒ","ʒ"),"t̠ʃ","ʃ"))</f>
        <v>5</v>
      </c>
      <c r="K436" s="44">
        <f t="shared" si="873"/>
        <v>4</v>
      </c>
      <c r="L436" s="51">
        <f t="shared" ref="L436:M436" si="874">LEN(D436)-LEN(B436)+1</f>
        <v>3</v>
      </c>
      <c r="M436" s="51">
        <f t="shared" si="874"/>
        <v>2</v>
      </c>
      <c r="N436" s="51">
        <f t="shared" si="5"/>
        <v>1</v>
      </c>
      <c r="O436" s="51" t="str">
        <f t="shared" si="6"/>
        <v>Source</v>
      </c>
      <c r="P436" s="51">
        <f t="shared" si="7"/>
        <v>1</v>
      </c>
      <c r="Q436" s="51" t="str">
        <f t="shared" si="8"/>
        <v>Source</v>
      </c>
    </row>
    <row r="437">
      <c r="A437" s="48" t="s">
        <v>14</v>
      </c>
      <c r="B437" s="49" t="s">
        <v>3055</v>
      </c>
      <c r="C437" s="49" t="s">
        <v>3056</v>
      </c>
      <c r="D437" s="49" t="s">
        <v>3057</v>
      </c>
      <c r="E437" s="49" t="s">
        <v>3058</v>
      </c>
      <c r="F437" s="49" t="s">
        <v>706</v>
      </c>
      <c r="G437" s="49" t="s">
        <v>707</v>
      </c>
      <c r="H437" s="54">
        <v>4.0</v>
      </c>
      <c r="I437" s="54">
        <v>3.0</v>
      </c>
      <c r="J437" s="49">
        <f t="shared" ref="J437:K437" si="875">LEN(SUBSTITUTE(SUBSTITUTE(SUBSTITUTE(B437 ,"ˈ",""),"d̠ʒ","ʒ"),"t̠ʃ","ʃ"))</f>
        <v>8</v>
      </c>
      <c r="K437" s="44">
        <f t="shared" si="875"/>
        <v>9</v>
      </c>
      <c r="L437" s="51">
        <f t="shared" ref="L437:M437" si="876">LEN(D437)-LEN(B437)+1</f>
        <v>4</v>
      </c>
      <c r="M437" s="51">
        <f t="shared" si="876"/>
        <v>3</v>
      </c>
      <c r="N437" s="51">
        <f t="shared" si="5"/>
        <v>-1</v>
      </c>
      <c r="O437" s="51" t="str">
        <f t="shared" si="6"/>
        <v>Target</v>
      </c>
      <c r="P437" s="51">
        <f t="shared" si="7"/>
        <v>1</v>
      </c>
      <c r="Q437" s="51" t="str">
        <f t="shared" si="8"/>
        <v>Source</v>
      </c>
    </row>
    <row r="438">
      <c r="A438" s="48" t="s">
        <v>14</v>
      </c>
      <c r="B438" s="49" t="s">
        <v>1920</v>
      </c>
      <c r="C438" s="49" t="s">
        <v>3062</v>
      </c>
      <c r="D438" s="49" t="s">
        <v>1920</v>
      </c>
      <c r="E438" s="49" t="s">
        <v>3063</v>
      </c>
      <c r="F438" s="49" t="s">
        <v>1920</v>
      </c>
      <c r="G438" s="49" t="s">
        <v>3064</v>
      </c>
      <c r="H438" s="54">
        <v>1.0</v>
      </c>
      <c r="I438" s="54">
        <v>1.0</v>
      </c>
      <c r="J438" s="49">
        <f t="shared" ref="J438:K438" si="877">LEN(SUBSTITUTE(SUBSTITUTE(SUBSTITUTE(B438 ,"ˈ",""),"d̠ʒ","ʒ"),"t̠ʃ","ʃ"))</f>
        <v>3</v>
      </c>
      <c r="K438" s="44">
        <f t="shared" si="877"/>
        <v>4</v>
      </c>
      <c r="L438" s="51">
        <f t="shared" ref="L438:M438" si="878">LEN(D438)-LEN(B438)+1</f>
        <v>1</v>
      </c>
      <c r="M438" s="51">
        <f t="shared" si="878"/>
        <v>2</v>
      </c>
      <c r="N438" s="51">
        <f t="shared" si="5"/>
        <v>-1</v>
      </c>
      <c r="O438" s="51" t="str">
        <f t="shared" si="6"/>
        <v>Target</v>
      </c>
      <c r="P438" s="51">
        <f t="shared" si="7"/>
        <v>-1</v>
      </c>
      <c r="Q438" s="51" t="str">
        <f t="shared" si="8"/>
        <v>Target</v>
      </c>
    </row>
    <row r="439">
      <c r="A439" s="48" t="s">
        <v>14</v>
      </c>
      <c r="B439" s="49" t="s">
        <v>3067</v>
      </c>
      <c r="C439" s="49" t="s">
        <v>3068</v>
      </c>
      <c r="D439" s="49" t="s">
        <v>3069</v>
      </c>
      <c r="E439" s="49" t="s">
        <v>3068</v>
      </c>
      <c r="F439" s="49" t="s">
        <v>197</v>
      </c>
      <c r="G439" s="49" t="s">
        <v>36</v>
      </c>
      <c r="H439" s="54">
        <v>3.0</v>
      </c>
      <c r="I439" s="54" t="s">
        <v>36</v>
      </c>
      <c r="J439" s="49">
        <f t="shared" ref="J439:K439" si="879">LEN(SUBSTITUTE(SUBSTITUTE(SUBSTITUTE(B439 ,"ˈ",""),"d̠ʒ","ʒ"),"t̠ʃ","ʃ"))</f>
        <v>5</v>
      </c>
      <c r="K439" s="44">
        <f t="shared" si="879"/>
        <v>4</v>
      </c>
      <c r="L439" s="51">
        <f t="shared" ref="L439:M439" si="880">LEN(D439)-LEN(B439)+1</f>
        <v>3</v>
      </c>
      <c r="M439" s="51">
        <f t="shared" si="880"/>
        <v>1</v>
      </c>
      <c r="N439" s="51">
        <f t="shared" si="5"/>
        <v>1</v>
      </c>
      <c r="O439" s="51" t="str">
        <f t="shared" si="6"/>
        <v>Source</v>
      </c>
      <c r="P439" s="51">
        <f t="shared" si="7"/>
        <v>2</v>
      </c>
      <c r="Q439" s="51" t="str">
        <f t="shared" si="8"/>
        <v>Source</v>
      </c>
    </row>
    <row r="440">
      <c r="A440" s="48" t="s">
        <v>14</v>
      </c>
      <c r="B440" s="49" t="s">
        <v>3072</v>
      </c>
      <c r="C440" s="49" t="s">
        <v>3073</v>
      </c>
      <c r="D440" s="49" t="s">
        <v>3072</v>
      </c>
      <c r="E440" s="49" t="s">
        <v>3074</v>
      </c>
      <c r="F440" s="49" t="s">
        <v>3072</v>
      </c>
      <c r="G440" s="49" t="s">
        <v>175</v>
      </c>
      <c r="H440" s="54">
        <v>1.0</v>
      </c>
      <c r="I440" s="54">
        <v>1.0</v>
      </c>
      <c r="J440" s="49">
        <f t="shared" ref="J440:K440" si="881">LEN(SUBSTITUTE(SUBSTITUTE(SUBSTITUTE(B440 ,"ˈ",""),"d̠ʒ","ʒ"),"t̠ʃ","ʃ"))</f>
        <v>3</v>
      </c>
      <c r="K440" s="44">
        <f t="shared" si="881"/>
        <v>6</v>
      </c>
      <c r="L440" s="51">
        <f t="shared" ref="L440:M440" si="882">LEN(D440)-LEN(B440)+1</f>
        <v>1</v>
      </c>
      <c r="M440" s="51">
        <f t="shared" si="882"/>
        <v>3</v>
      </c>
      <c r="N440" s="51">
        <f t="shared" si="5"/>
        <v>-3</v>
      </c>
      <c r="O440" s="51" t="str">
        <f t="shared" si="6"/>
        <v>Target</v>
      </c>
      <c r="P440" s="51">
        <f t="shared" si="7"/>
        <v>-2</v>
      </c>
      <c r="Q440" s="51" t="str">
        <f t="shared" si="8"/>
        <v>Target</v>
      </c>
    </row>
    <row r="441">
      <c r="A441" s="48" t="s">
        <v>14</v>
      </c>
      <c r="B441" s="49" t="s">
        <v>3077</v>
      </c>
      <c r="C441" s="49" t="s">
        <v>3078</v>
      </c>
      <c r="D441" s="49" t="s">
        <v>3079</v>
      </c>
      <c r="E441" s="49" t="s">
        <v>3080</v>
      </c>
      <c r="F441" s="49" t="s">
        <v>840</v>
      </c>
      <c r="G441" s="49" t="s">
        <v>482</v>
      </c>
      <c r="H441" s="54">
        <v>2.0</v>
      </c>
      <c r="I441" s="54">
        <v>2.0</v>
      </c>
      <c r="J441" s="49">
        <f t="shared" ref="J441:K441" si="883">LEN(SUBSTITUTE(SUBSTITUTE(SUBSTITUTE(B441 ,"ˈ",""),"d̠ʒ","ʒ"),"t̠ʃ","ʃ"))</f>
        <v>4</v>
      </c>
      <c r="K441" s="44">
        <f t="shared" si="883"/>
        <v>4</v>
      </c>
      <c r="L441" s="51">
        <f t="shared" ref="L441:M441" si="884">LEN(D441)-LEN(B441)+1</f>
        <v>2</v>
      </c>
      <c r="M441" s="51">
        <f t="shared" si="884"/>
        <v>2</v>
      </c>
      <c r="N441" s="51">
        <f t="shared" si="5"/>
        <v>0</v>
      </c>
      <c r="O441" s="51" t="str">
        <f t="shared" si="6"/>
        <v>Equal</v>
      </c>
      <c r="P441" s="51">
        <f t="shared" si="7"/>
        <v>0</v>
      </c>
      <c r="Q441" s="51" t="str">
        <f t="shared" si="8"/>
        <v>Equal</v>
      </c>
    </row>
    <row r="442">
      <c r="A442" s="48" t="s">
        <v>14</v>
      </c>
      <c r="B442" s="49" t="s">
        <v>3083</v>
      </c>
      <c r="C442" s="49" t="s">
        <v>3084</v>
      </c>
      <c r="D442" s="49" t="s">
        <v>3085</v>
      </c>
      <c r="E442" s="49" t="s">
        <v>3086</v>
      </c>
      <c r="F442" s="49" t="s">
        <v>3087</v>
      </c>
      <c r="G442" s="49" t="s">
        <v>3088</v>
      </c>
      <c r="H442" s="54">
        <v>1.0</v>
      </c>
      <c r="I442" s="54">
        <v>1.0</v>
      </c>
      <c r="J442" s="49">
        <f t="shared" ref="J442:K442" si="885">LEN(SUBSTITUTE(SUBSTITUTE(SUBSTITUTE(B442 ,"ˈ",""),"d̠ʒ","ʒ"),"t̠ʃ","ʃ"))</f>
        <v>5</v>
      </c>
      <c r="K442" s="44">
        <f t="shared" si="885"/>
        <v>8</v>
      </c>
      <c r="L442" s="51">
        <f t="shared" ref="L442:M442" si="886">LEN(D442)-LEN(B442)+1</f>
        <v>2</v>
      </c>
      <c r="M442" s="51">
        <f t="shared" si="886"/>
        <v>3</v>
      </c>
      <c r="N442" s="51">
        <f t="shared" si="5"/>
        <v>-3</v>
      </c>
      <c r="O442" s="51" t="str">
        <f t="shared" si="6"/>
        <v>Target</v>
      </c>
      <c r="P442" s="51">
        <f t="shared" si="7"/>
        <v>-1</v>
      </c>
      <c r="Q442" s="51" t="str">
        <f t="shared" si="8"/>
        <v>Target</v>
      </c>
    </row>
    <row r="443">
      <c r="A443" s="48" t="s">
        <v>14</v>
      </c>
      <c r="B443" s="49" t="s">
        <v>3091</v>
      </c>
      <c r="C443" s="49" t="s">
        <v>3092</v>
      </c>
      <c r="D443" s="49" t="s">
        <v>3093</v>
      </c>
      <c r="E443" s="49" t="s">
        <v>3094</v>
      </c>
      <c r="F443" s="49" t="s">
        <v>1541</v>
      </c>
      <c r="G443" s="49" t="s">
        <v>3088</v>
      </c>
      <c r="H443" s="54">
        <v>1.0</v>
      </c>
      <c r="I443" s="54">
        <v>1.0</v>
      </c>
      <c r="J443" s="49">
        <f t="shared" ref="J443:K443" si="887">LEN(SUBSTITUTE(SUBSTITUTE(SUBSTITUTE(B443 ,"ˈ",""),"d̠ʒ","ʒ"),"t̠ʃ","ʃ"))</f>
        <v>6</v>
      </c>
      <c r="K443" s="44">
        <f t="shared" si="887"/>
        <v>7</v>
      </c>
      <c r="L443" s="51">
        <f t="shared" ref="L443:M443" si="888">LEN(D443)-LEN(B443)+1</f>
        <v>3</v>
      </c>
      <c r="M443" s="51">
        <f t="shared" si="888"/>
        <v>3</v>
      </c>
      <c r="N443" s="51">
        <f t="shared" si="5"/>
        <v>-1</v>
      </c>
      <c r="O443" s="51" t="str">
        <f t="shared" si="6"/>
        <v>Target</v>
      </c>
      <c r="P443" s="51">
        <f t="shared" si="7"/>
        <v>0</v>
      </c>
      <c r="Q443" s="51" t="str">
        <f t="shared" si="8"/>
        <v>Equal</v>
      </c>
    </row>
    <row r="444">
      <c r="A444" s="48" t="s">
        <v>14</v>
      </c>
      <c r="B444" s="49" t="s">
        <v>3097</v>
      </c>
      <c r="C444" s="49" t="s">
        <v>3098</v>
      </c>
      <c r="D444" s="49" t="s">
        <v>3099</v>
      </c>
      <c r="E444" s="49" t="s">
        <v>3100</v>
      </c>
      <c r="F444" s="49" t="s">
        <v>3103</v>
      </c>
      <c r="G444" s="49" t="s">
        <v>238</v>
      </c>
      <c r="H444" s="54">
        <v>2.0</v>
      </c>
      <c r="I444" s="54">
        <v>2.0</v>
      </c>
      <c r="J444" s="49">
        <f t="shared" ref="J444:K444" si="889">LEN(SUBSTITUTE(SUBSTITUTE(SUBSTITUTE(B444 ,"ˈ",""),"d̠ʒ","ʒ"),"t̠ʃ","ʃ"))</f>
        <v>5</v>
      </c>
      <c r="K444" s="44">
        <f t="shared" si="889"/>
        <v>6</v>
      </c>
      <c r="L444" s="51">
        <f t="shared" ref="L444:M444" si="890">LEN(D444)-LEN(B444)+1</f>
        <v>2</v>
      </c>
      <c r="M444" s="51">
        <f t="shared" si="890"/>
        <v>2</v>
      </c>
      <c r="N444" s="51">
        <f t="shared" si="5"/>
        <v>-1</v>
      </c>
      <c r="O444" s="51" t="str">
        <f t="shared" si="6"/>
        <v>Target</v>
      </c>
      <c r="P444" s="51">
        <f t="shared" si="7"/>
        <v>0</v>
      </c>
      <c r="Q444" s="51" t="str">
        <f t="shared" si="8"/>
        <v>Equal</v>
      </c>
    </row>
    <row r="445">
      <c r="A445" s="48" t="s">
        <v>14</v>
      </c>
      <c r="B445" s="49" t="s">
        <v>3104</v>
      </c>
      <c r="C445" s="49" t="s">
        <v>3105</v>
      </c>
      <c r="D445" s="49" t="s">
        <v>3106</v>
      </c>
      <c r="E445" s="49" t="s">
        <v>3107</v>
      </c>
      <c r="F445" s="49" t="s">
        <v>848</v>
      </c>
      <c r="G445" s="49" t="s">
        <v>987</v>
      </c>
      <c r="H445" s="54">
        <v>1.0</v>
      </c>
      <c r="I445" s="54">
        <v>1.0</v>
      </c>
      <c r="J445" s="49">
        <f t="shared" ref="J445:K445" si="891">LEN(SUBSTITUTE(SUBSTITUTE(SUBSTITUTE(B445 ,"ˈ",""),"d̠ʒ","ʒ"),"t̠ʃ","ʃ"))</f>
        <v>7</v>
      </c>
      <c r="K445" s="44">
        <f t="shared" si="891"/>
        <v>6</v>
      </c>
      <c r="L445" s="51">
        <f t="shared" ref="L445:M445" si="892">LEN(D445)-LEN(B445)+1</f>
        <v>3</v>
      </c>
      <c r="M445" s="51">
        <f t="shared" si="892"/>
        <v>3</v>
      </c>
      <c r="N445" s="51">
        <f t="shared" si="5"/>
        <v>1</v>
      </c>
      <c r="O445" s="51" t="str">
        <f t="shared" si="6"/>
        <v>Source</v>
      </c>
      <c r="P445" s="51">
        <f t="shared" si="7"/>
        <v>0</v>
      </c>
      <c r="Q445" s="51" t="str">
        <f t="shared" si="8"/>
        <v>Equal</v>
      </c>
    </row>
    <row r="446">
      <c r="A446" s="48" t="s">
        <v>14</v>
      </c>
      <c r="B446" s="49" t="s">
        <v>3112</v>
      </c>
      <c r="C446" s="49" t="s">
        <v>3113</v>
      </c>
      <c r="D446" s="49" t="s">
        <v>3114</v>
      </c>
      <c r="E446" s="49" t="s">
        <v>3115</v>
      </c>
      <c r="F446" s="49" t="s">
        <v>190</v>
      </c>
      <c r="G446" s="49" t="s">
        <v>190</v>
      </c>
      <c r="H446" s="54">
        <v>3.0</v>
      </c>
      <c r="I446" s="54">
        <v>3.0</v>
      </c>
      <c r="J446" s="49">
        <f t="shared" ref="J446:K446" si="893">LEN(SUBSTITUTE(SUBSTITUTE(SUBSTITUTE(B446 ,"ˈ",""),"d̠ʒ","ʒ"),"t̠ʃ","ʃ"))</f>
        <v>6</v>
      </c>
      <c r="K446" s="44">
        <f t="shared" si="893"/>
        <v>5</v>
      </c>
      <c r="L446" s="51">
        <f t="shared" ref="L446:M446" si="894">LEN(D446)-LEN(B446)+1</f>
        <v>3</v>
      </c>
      <c r="M446" s="51">
        <f t="shared" si="894"/>
        <v>3</v>
      </c>
      <c r="N446" s="51">
        <f t="shared" si="5"/>
        <v>1</v>
      </c>
      <c r="O446" s="51" t="str">
        <f t="shared" si="6"/>
        <v>Source</v>
      </c>
      <c r="P446" s="51">
        <f t="shared" si="7"/>
        <v>0</v>
      </c>
      <c r="Q446" s="51" t="str">
        <f t="shared" si="8"/>
        <v>Equal</v>
      </c>
    </row>
    <row r="447">
      <c r="A447" s="48" t="s">
        <v>14</v>
      </c>
      <c r="B447" s="49" t="s">
        <v>3117</v>
      </c>
      <c r="C447" s="49" t="s">
        <v>3118</v>
      </c>
      <c r="D447" s="49" t="s">
        <v>3119</v>
      </c>
      <c r="E447" s="49" t="s">
        <v>3120</v>
      </c>
      <c r="F447" s="49" t="s">
        <v>128</v>
      </c>
      <c r="G447" s="49" t="s">
        <v>1113</v>
      </c>
      <c r="H447" s="54">
        <v>1.0</v>
      </c>
      <c r="I447" s="54">
        <v>1.0</v>
      </c>
      <c r="J447" s="49">
        <f t="shared" ref="J447:K447" si="895">LEN(SUBSTITUTE(SUBSTITUTE(SUBSTITUTE(B447 ,"ˈ",""),"d̠ʒ","ʒ"),"t̠ʃ","ʃ"))</f>
        <v>5</v>
      </c>
      <c r="K447" s="44">
        <f t="shared" si="895"/>
        <v>8</v>
      </c>
      <c r="L447" s="51">
        <f t="shared" ref="L447:M447" si="896">LEN(D447)-LEN(B447)+1</f>
        <v>3</v>
      </c>
      <c r="M447" s="51">
        <f t="shared" si="896"/>
        <v>3</v>
      </c>
      <c r="N447" s="51">
        <f t="shared" si="5"/>
        <v>-3</v>
      </c>
      <c r="O447" s="51" t="str">
        <f t="shared" si="6"/>
        <v>Target</v>
      </c>
      <c r="P447" s="51">
        <f t="shared" si="7"/>
        <v>0</v>
      </c>
      <c r="Q447" s="51" t="str">
        <f t="shared" si="8"/>
        <v>Equal</v>
      </c>
    </row>
    <row r="448">
      <c r="A448" s="48" t="s">
        <v>14</v>
      </c>
      <c r="B448" s="49" t="s">
        <v>3124</v>
      </c>
      <c r="C448" s="49" t="s">
        <v>3125</v>
      </c>
      <c r="D448" s="49" t="s">
        <v>3126</v>
      </c>
      <c r="E448" s="49" t="s">
        <v>3127</v>
      </c>
      <c r="F448" s="49" t="s">
        <v>54</v>
      </c>
      <c r="G448" s="49" t="s">
        <v>36</v>
      </c>
      <c r="H448" s="54">
        <v>2.0</v>
      </c>
      <c r="I448" s="54" t="s">
        <v>36</v>
      </c>
      <c r="J448" s="49">
        <f t="shared" ref="J448:K448" si="897">LEN(SUBSTITUTE(SUBSTITUTE(SUBSTITUTE(B448 ,"ˈ",""),"d̠ʒ","ʒ"),"t̠ʃ","ʃ"))</f>
        <v>6</v>
      </c>
      <c r="K448" s="44">
        <f t="shared" si="897"/>
        <v>6</v>
      </c>
      <c r="L448" s="51">
        <f t="shared" ref="L448:M448" si="898">LEN(D448)-LEN(B448)+1</f>
        <v>3</v>
      </c>
      <c r="M448" s="51">
        <f t="shared" si="898"/>
        <v>2</v>
      </c>
      <c r="N448" s="51">
        <f t="shared" si="5"/>
        <v>0</v>
      </c>
      <c r="O448" s="51" t="str">
        <f t="shared" si="6"/>
        <v>Equal</v>
      </c>
      <c r="P448" s="51">
        <f t="shared" si="7"/>
        <v>1</v>
      </c>
      <c r="Q448" s="51" t="str">
        <f t="shared" si="8"/>
        <v>Source</v>
      </c>
    </row>
    <row r="449">
      <c r="A449" s="48" t="s">
        <v>14</v>
      </c>
      <c r="B449" s="49" t="s">
        <v>2500</v>
      </c>
      <c r="C449" s="49" t="s">
        <v>3130</v>
      </c>
      <c r="D449" s="49" t="s">
        <v>2500</v>
      </c>
      <c r="E449" s="49" t="s">
        <v>3131</v>
      </c>
      <c r="F449" s="49" t="s">
        <v>36</v>
      </c>
      <c r="G449" s="49" t="s">
        <v>103</v>
      </c>
      <c r="H449" s="54" t="s">
        <v>36</v>
      </c>
      <c r="I449" s="54">
        <v>2.0</v>
      </c>
      <c r="J449" s="49">
        <f t="shared" ref="J449:K449" si="899">LEN(SUBSTITUTE(SUBSTITUTE(SUBSTITUTE(B449 ,"ˈ",""),"d̠ʒ","ʒ"),"t̠ʃ","ʃ"))</f>
        <v>2</v>
      </c>
      <c r="K449" s="44">
        <f t="shared" si="899"/>
        <v>4</v>
      </c>
      <c r="L449" s="51">
        <f t="shared" ref="L449:M449" si="900">LEN(D449)-LEN(B449)+1</f>
        <v>1</v>
      </c>
      <c r="M449" s="51">
        <f t="shared" si="900"/>
        <v>2</v>
      </c>
      <c r="N449" s="51">
        <f t="shared" si="5"/>
        <v>-2</v>
      </c>
      <c r="O449" s="51" t="str">
        <f t="shared" si="6"/>
        <v>Target</v>
      </c>
      <c r="P449" s="51">
        <f t="shared" si="7"/>
        <v>-1</v>
      </c>
      <c r="Q449" s="51" t="str">
        <f t="shared" si="8"/>
        <v>Target</v>
      </c>
    </row>
    <row r="450">
      <c r="A450" s="48" t="s">
        <v>14</v>
      </c>
      <c r="B450" s="49" t="s">
        <v>1608</v>
      </c>
      <c r="C450" s="48" t="s">
        <v>1608</v>
      </c>
      <c r="D450" s="49" t="s">
        <v>1608</v>
      </c>
      <c r="E450" s="49" t="s">
        <v>1608</v>
      </c>
      <c r="F450" s="56" t="s">
        <v>1425</v>
      </c>
      <c r="G450" s="56" t="s">
        <v>1425</v>
      </c>
      <c r="H450" s="54">
        <v>1.0</v>
      </c>
      <c r="I450" s="54">
        <v>1.0</v>
      </c>
      <c r="J450" s="49">
        <f t="shared" ref="J450:K450" si="901">LEN(SUBSTITUTE(SUBSTITUTE(SUBSTITUTE(B450 ,"ˈ",""),"d̠ʒ","ʒ"),"t̠ʃ","ʃ"))</f>
        <v>2</v>
      </c>
      <c r="K450" s="44">
        <f t="shared" si="901"/>
        <v>2</v>
      </c>
      <c r="L450" s="51">
        <f t="shared" ref="L450:M450" si="902">LEN(D450)-LEN(B450)+1</f>
        <v>1</v>
      </c>
      <c r="M450" s="51">
        <f t="shared" si="902"/>
        <v>1</v>
      </c>
      <c r="N450" s="51">
        <f t="shared" si="5"/>
        <v>0</v>
      </c>
      <c r="O450" s="51" t="str">
        <f t="shared" si="6"/>
        <v>Equal</v>
      </c>
      <c r="P450" s="51">
        <f t="shared" si="7"/>
        <v>0</v>
      </c>
      <c r="Q450" s="51" t="str">
        <f t="shared" si="8"/>
        <v>Equal</v>
      </c>
    </row>
    <row r="451">
      <c r="A451" s="48" t="s">
        <v>14</v>
      </c>
      <c r="B451" s="49" t="s">
        <v>3136</v>
      </c>
      <c r="C451" s="48" t="s">
        <v>3137</v>
      </c>
      <c r="D451" s="49" t="s">
        <v>3138</v>
      </c>
      <c r="E451" s="49" t="s">
        <v>3138</v>
      </c>
      <c r="F451" s="49" t="s">
        <v>2569</v>
      </c>
      <c r="G451" s="49" t="s">
        <v>2569</v>
      </c>
      <c r="H451" s="54">
        <v>1.0</v>
      </c>
      <c r="I451" s="54">
        <v>1.0</v>
      </c>
      <c r="J451" s="49">
        <f t="shared" ref="J451:K451" si="903">LEN(SUBSTITUTE(SUBSTITUTE(SUBSTITUTE(B451 ,"ˈ",""),"d̠ʒ","ʒ"),"t̠ʃ","ʃ"))</f>
        <v>4</v>
      </c>
      <c r="K451" s="44">
        <f t="shared" si="903"/>
        <v>5</v>
      </c>
      <c r="L451" s="51">
        <f t="shared" ref="L451:M451" si="904">LEN(D451)-LEN(B451)+1</f>
        <v>2</v>
      </c>
      <c r="M451" s="51">
        <f t="shared" si="904"/>
        <v>1</v>
      </c>
      <c r="N451" s="51">
        <f t="shared" si="5"/>
        <v>-1</v>
      </c>
      <c r="O451" s="51" t="str">
        <f t="shared" si="6"/>
        <v>Target</v>
      </c>
      <c r="P451" s="51">
        <f t="shared" si="7"/>
        <v>1</v>
      </c>
      <c r="Q451" s="51" t="str">
        <f t="shared" si="8"/>
        <v>Source</v>
      </c>
    </row>
    <row r="452">
      <c r="A452" s="48" t="s">
        <v>14</v>
      </c>
      <c r="B452" s="49" t="s">
        <v>3141</v>
      </c>
      <c r="C452" s="49" t="s">
        <v>3142</v>
      </c>
      <c r="D452" s="49" t="s">
        <v>3143</v>
      </c>
      <c r="E452" s="49" t="s">
        <v>3144</v>
      </c>
      <c r="F452" s="49" t="s">
        <v>784</v>
      </c>
      <c r="G452" s="49" t="s">
        <v>784</v>
      </c>
      <c r="H452" s="54">
        <v>2.0</v>
      </c>
      <c r="I452" s="54">
        <v>2.0</v>
      </c>
      <c r="J452" s="49">
        <f t="shared" ref="J452:K452" si="905">LEN(SUBSTITUTE(SUBSTITUTE(SUBSTITUTE(B452 ,"ˈ",""),"d̠ʒ","ʒ"),"t̠ʃ","ʃ"))</f>
        <v>4</v>
      </c>
      <c r="K452" s="44">
        <f t="shared" si="905"/>
        <v>5</v>
      </c>
      <c r="L452" s="51">
        <f t="shared" ref="L452:M452" si="906">LEN(D452)-LEN(B452)+1</f>
        <v>2</v>
      </c>
      <c r="M452" s="51">
        <f t="shared" si="906"/>
        <v>2</v>
      </c>
      <c r="N452" s="51">
        <f t="shared" si="5"/>
        <v>-1</v>
      </c>
      <c r="O452" s="51" t="str">
        <f t="shared" si="6"/>
        <v>Target</v>
      </c>
      <c r="P452" s="51">
        <f t="shared" si="7"/>
        <v>0</v>
      </c>
      <c r="Q452" s="51" t="str">
        <f t="shared" si="8"/>
        <v>Equal</v>
      </c>
    </row>
    <row r="453">
      <c r="A453" s="48" t="s">
        <v>14</v>
      </c>
      <c r="B453" s="49" t="s">
        <v>3147</v>
      </c>
      <c r="C453" s="49" t="s">
        <v>3148</v>
      </c>
      <c r="D453" s="49" t="s">
        <v>3149</v>
      </c>
      <c r="E453" s="49" t="s">
        <v>3150</v>
      </c>
      <c r="F453" s="49" t="s">
        <v>848</v>
      </c>
      <c r="G453" s="49" t="s">
        <v>301</v>
      </c>
      <c r="H453" s="54">
        <v>1.0</v>
      </c>
      <c r="I453" s="54">
        <v>1.0</v>
      </c>
      <c r="J453" s="49">
        <f t="shared" ref="J453:K453" si="907">LEN(SUBSTITUTE(SUBSTITUTE(SUBSTITUTE(B453 ,"ˈ",""),"d̠ʒ","ʒ"),"t̠ʃ","ʃ"))</f>
        <v>6</v>
      </c>
      <c r="K453" s="44">
        <f t="shared" si="907"/>
        <v>6</v>
      </c>
      <c r="L453" s="51">
        <f t="shared" ref="L453:M453" si="908">LEN(D453)-LEN(B453)+1</f>
        <v>3</v>
      </c>
      <c r="M453" s="51">
        <f t="shared" si="908"/>
        <v>3</v>
      </c>
      <c r="N453" s="51">
        <f t="shared" si="5"/>
        <v>0</v>
      </c>
      <c r="O453" s="51" t="str">
        <f t="shared" si="6"/>
        <v>Equal</v>
      </c>
      <c r="P453" s="51">
        <f t="shared" si="7"/>
        <v>0</v>
      </c>
      <c r="Q453" s="51" t="str">
        <f t="shared" si="8"/>
        <v>Equal</v>
      </c>
    </row>
    <row r="454">
      <c r="A454" s="48" t="s">
        <v>14</v>
      </c>
      <c r="B454" s="49" t="s">
        <v>3155</v>
      </c>
      <c r="C454" s="49" t="s">
        <v>3156</v>
      </c>
      <c r="D454" s="49" t="s">
        <v>3157</v>
      </c>
      <c r="E454" s="49" t="s">
        <v>3158</v>
      </c>
      <c r="F454" s="49" t="s">
        <v>409</v>
      </c>
      <c r="G454" s="49" t="s">
        <v>103</v>
      </c>
      <c r="H454" s="54">
        <v>2.0</v>
      </c>
      <c r="I454" s="54">
        <v>3.0</v>
      </c>
      <c r="J454" s="49">
        <f t="shared" ref="J454:K454" si="909">LEN(SUBSTITUTE(SUBSTITUTE(SUBSTITUTE(B454 ,"ˈ",""),"d̠ʒ","ʒ"),"t̠ʃ","ʃ"))</f>
        <v>6</v>
      </c>
      <c r="K454" s="44">
        <f t="shared" si="909"/>
        <v>10</v>
      </c>
      <c r="L454" s="51">
        <f t="shared" ref="L454:M454" si="910">LEN(D454)-LEN(B454)+1</f>
        <v>2</v>
      </c>
      <c r="M454" s="51">
        <f t="shared" si="910"/>
        <v>3</v>
      </c>
      <c r="N454" s="51">
        <f t="shared" si="5"/>
        <v>-4</v>
      </c>
      <c r="O454" s="51" t="str">
        <f t="shared" si="6"/>
        <v>Target</v>
      </c>
      <c r="P454" s="51">
        <f t="shared" si="7"/>
        <v>-1</v>
      </c>
      <c r="Q454" s="51" t="str">
        <f t="shared" si="8"/>
        <v>Target</v>
      </c>
    </row>
    <row r="455">
      <c r="A455" s="48" t="s">
        <v>14</v>
      </c>
      <c r="B455" s="49" t="s">
        <v>3162</v>
      </c>
      <c r="C455" s="49" t="s">
        <v>3163</v>
      </c>
      <c r="D455" s="49" t="s">
        <v>3164</v>
      </c>
      <c r="E455" s="49" t="s">
        <v>3165</v>
      </c>
      <c r="F455" s="49" t="s">
        <v>128</v>
      </c>
      <c r="G455" s="49" t="s">
        <v>70</v>
      </c>
      <c r="H455" s="54">
        <v>1.0</v>
      </c>
      <c r="I455" s="54">
        <v>1.0</v>
      </c>
      <c r="J455" s="49">
        <f t="shared" ref="J455:K455" si="911">LEN(SUBSTITUTE(SUBSTITUTE(SUBSTITUTE(B455 ,"ˈ",""),"d̠ʒ","ʒ"),"t̠ʃ","ʃ"))</f>
        <v>6</v>
      </c>
      <c r="K455" s="44">
        <f t="shared" si="911"/>
        <v>5</v>
      </c>
      <c r="L455" s="51">
        <f t="shared" ref="L455:M455" si="912">LEN(D455)-LEN(B455)+1</f>
        <v>3</v>
      </c>
      <c r="M455" s="51">
        <f t="shared" si="912"/>
        <v>2</v>
      </c>
      <c r="N455" s="51">
        <f t="shared" si="5"/>
        <v>1</v>
      </c>
      <c r="O455" s="51" t="str">
        <f t="shared" si="6"/>
        <v>Source</v>
      </c>
      <c r="P455" s="51">
        <f t="shared" si="7"/>
        <v>1</v>
      </c>
      <c r="Q455" s="51" t="str">
        <f t="shared" si="8"/>
        <v>Source</v>
      </c>
    </row>
    <row r="456">
      <c r="A456" s="48" t="s">
        <v>14</v>
      </c>
      <c r="B456" s="49" t="s">
        <v>3168</v>
      </c>
      <c r="C456" s="49" t="s">
        <v>3168</v>
      </c>
      <c r="D456" s="49" t="s">
        <v>3169</v>
      </c>
      <c r="E456" s="49" t="s">
        <v>3169</v>
      </c>
      <c r="F456" s="49" t="s">
        <v>668</v>
      </c>
      <c r="G456" s="49" t="s">
        <v>668</v>
      </c>
      <c r="H456" s="54">
        <v>2.0</v>
      </c>
      <c r="I456" s="54">
        <v>2.0</v>
      </c>
      <c r="J456" s="49">
        <f t="shared" ref="J456:K456" si="913">LEN(SUBSTITUTE(SUBSTITUTE(SUBSTITUTE(B456 ,"ˈ",""),"d̠ʒ","ʒ"),"t̠ʃ","ʃ"))</f>
        <v>4</v>
      </c>
      <c r="K456" s="44">
        <f t="shared" si="913"/>
        <v>4</v>
      </c>
      <c r="L456" s="51">
        <f t="shared" ref="L456:M456" si="914">LEN(D456)-LEN(B456)+1</f>
        <v>2</v>
      </c>
      <c r="M456" s="51">
        <f t="shared" si="914"/>
        <v>2</v>
      </c>
      <c r="N456" s="51">
        <f t="shared" si="5"/>
        <v>0</v>
      </c>
      <c r="O456" s="51" t="str">
        <f t="shared" si="6"/>
        <v>Equal</v>
      </c>
      <c r="P456" s="51">
        <f t="shared" si="7"/>
        <v>0</v>
      </c>
      <c r="Q456" s="51" t="str">
        <f t="shared" si="8"/>
        <v>Equal</v>
      </c>
    </row>
    <row r="457">
      <c r="A457" s="48" t="s">
        <v>14</v>
      </c>
      <c r="B457" s="49" t="s">
        <v>3172</v>
      </c>
      <c r="C457" s="49" t="s">
        <v>3173</v>
      </c>
      <c r="D457" s="49" t="s">
        <v>3174</v>
      </c>
      <c r="E457" s="49" t="s">
        <v>3175</v>
      </c>
      <c r="F457" s="49" t="s">
        <v>599</v>
      </c>
      <c r="G457" s="49" t="s">
        <v>724</v>
      </c>
      <c r="H457" s="54">
        <v>1.0</v>
      </c>
      <c r="I457" s="54">
        <v>1.0</v>
      </c>
      <c r="J457" s="49">
        <f t="shared" ref="J457:K457" si="915">LEN(SUBSTITUTE(SUBSTITUTE(SUBSTITUTE(B457 ,"ˈ",""),"d̠ʒ","ʒ"),"t̠ʃ","ʃ"))</f>
        <v>5</v>
      </c>
      <c r="K457" s="44">
        <f t="shared" si="915"/>
        <v>6</v>
      </c>
      <c r="L457" s="51">
        <f t="shared" ref="L457:M457" si="916">LEN(D457)-LEN(B457)+1</f>
        <v>2</v>
      </c>
      <c r="M457" s="51">
        <f t="shared" si="916"/>
        <v>3</v>
      </c>
      <c r="N457" s="51">
        <f t="shared" si="5"/>
        <v>-1</v>
      </c>
      <c r="O457" s="51" t="str">
        <f t="shared" si="6"/>
        <v>Target</v>
      </c>
      <c r="P457" s="51">
        <f t="shared" si="7"/>
        <v>-1</v>
      </c>
      <c r="Q457" s="51" t="str">
        <f t="shared" si="8"/>
        <v>Target</v>
      </c>
    </row>
    <row r="458">
      <c r="A458" s="48" t="s">
        <v>14</v>
      </c>
      <c r="B458" s="49" t="s">
        <v>3178</v>
      </c>
      <c r="C458" s="49" t="s">
        <v>3179</v>
      </c>
      <c r="D458" s="49" t="s">
        <v>3180</v>
      </c>
      <c r="E458" s="49" t="s">
        <v>3181</v>
      </c>
      <c r="F458" s="49" t="s">
        <v>2003</v>
      </c>
      <c r="G458" s="49" t="s">
        <v>2004</v>
      </c>
      <c r="H458" s="54">
        <v>2.0</v>
      </c>
      <c r="I458" s="54">
        <v>2.0</v>
      </c>
      <c r="J458" s="49">
        <f t="shared" ref="J458:K458" si="917">LEN(SUBSTITUTE(SUBSTITUTE(SUBSTITUTE(B458 ,"ˈ",""),"d̠ʒ","ʒ"),"t̠ʃ","ʃ"))</f>
        <v>5</v>
      </c>
      <c r="K458" s="44">
        <f t="shared" si="917"/>
        <v>7</v>
      </c>
      <c r="L458" s="51">
        <f t="shared" ref="L458:M458" si="918">LEN(D458)-LEN(B458)+1</f>
        <v>2</v>
      </c>
      <c r="M458" s="51">
        <f t="shared" si="918"/>
        <v>2</v>
      </c>
      <c r="N458" s="51">
        <f t="shared" si="5"/>
        <v>-2</v>
      </c>
      <c r="O458" s="51" t="str">
        <f t="shared" si="6"/>
        <v>Target</v>
      </c>
      <c r="P458" s="51">
        <f t="shared" si="7"/>
        <v>0</v>
      </c>
      <c r="Q458" s="51" t="str">
        <f t="shared" si="8"/>
        <v>Equal</v>
      </c>
    </row>
    <row r="459">
      <c r="A459" s="48" t="s">
        <v>14</v>
      </c>
      <c r="B459" s="49" t="s">
        <v>3184</v>
      </c>
      <c r="C459" s="49" t="s">
        <v>3185</v>
      </c>
      <c r="D459" s="49" t="s">
        <v>3186</v>
      </c>
      <c r="E459" s="49" t="s">
        <v>3187</v>
      </c>
      <c r="F459" s="49" t="s">
        <v>128</v>
      </c>
      <c r="G459" s="49" t="s">
        <v>3190</v>
      </c>
      <c r="H459" s="54">
        <v>1.0</v>
      </c>
      <c r="I459" s="54">
        <v>1.0</v>
      </c>
      <c r="J459" s="49">
        <f t="shared" ref="J459:K459" si="919">LEN(SUBSTITUTE(SUBSTITUTE(SUBSTITUTE(B459 ,"ˈ",""),"d̠ʒ","ʒ"),"t̠ʃ","ʃ"))</f>
        <v>5</v>
      </c>
      <c r="K459" s="44">
        <f t="shared" si="919"/>
        <v>4</v>
      </c>
      <c r="L459" s="51">
        <f t="shared" ref="L459:M459" si="920">LEN(D459)-LEN(B459)+1</f>
        <v>3</v>
      </c>
      <c r="M459" s="51">
        <f t="shared" si="920"/>
        <v>2</v>
      </c>
      <c r="N459" s="51">
        <f t="shared" si="5"/>
        <v>1</v>
      </c>
      <c r="O459" s="51" t="str">
        <f t="shared" si="6"/>
        <v>Source</v>
      </c>
      <c r="P459" s="51">
        <f t="shared" si="7"/>
        <v>1</v>
      </c>
      <c r="Q459" s="51" t="str">
        <f t="shared" si="8"/>
        <v>Source</v>
      </c>
    </row>
    <row r="460">
      <c r="A460" s="48" t="s">
        <v>14</v>
      </c>
      <c r="B460" s="49" t="s">
        <v>3191</v>
      </c>
      <c r="C460" s="49" t="s">
        <v>3192</v>
      </c>
      <c r="D460" s="49" t="s">
        <v>3193</v>
      </c>
      <c r="E460" s="49" t="s">
        <v>3194</v>
      </c>
      <c r="F460" s="49" t="s">
        <v>3193</v>
      </c>
      <c r="G460" s="49" t="s">
        <v>56</v>
      </c>
      <c r="H460" s="54">
        <v>3.0</v>
      </c>
      <c r="I460" s="54">
        <v>4.0</v>
      </c>
      <c r="J460" s="49">
        <f t="shared" ref="J460:K460" si="921">LEN(SUBSTITUTE(SUBSTITUTE(SUBSTITUTE(B460 ,"ˈ",""),"d̠ʒ","ʒ"),"t̠ʃ","ʃ"))</f>
        <v>6</v>
      </c>
      <c r="K460" s="44">
        <f t="shared" si="921"/>
        <v>8</v>
      </c>
      <c r="L460" s="51">
        <f t="shared" ref="L460:M460" si="922">LEN(D460)-LEN(B460)+1</f>
        <v>3</v>
      </c>
      <c r="M460" s="51">
        <f t="shared" si="922"/>
        <v>4</v>
      </c>
      <c r="N460" s="51">
        <f t="shared" si="5"/>
        <v>-2</v>
      </c>
      <c r="O460" s="51" t="str">
        <f t="shared" si="6"/>
        <v>Target</v>
      </c>
      <c r="P460" s="51">
        <f t="shared" si="7"/>
        <v>-1</v>
      </c>
      <c r="Q460" s="51" t="str">
        <f t="shared" si="8"/>
        <v>Target</v>
      </c>
    </row>
    <row r="461">
      <c r="A461" s="48" t="s">
        <v>14</v>
      </c>
      <c r="B461" s="49" t="s">
        <v>3197</v>
      </c>
      <c r="C461" s="49" t="s">
        <v>3198</v>
      </c>
      <c r="D461" s="49" t="s">
        <v>3199</v>
      </c>
      <c r="E461" s="49" t="s">
        <v>3200</v>
      </c>
      <c r="F461" s="49" t="s">
        <v>386</v>
      </c>
      <c r="G461" s="49" t="s">
        <v>190</v>
      </c>
      <c r="H461" s="54">
        <v>1.0</v>
      </c>
      <c r="I461" s="54">
        <v>1.0</v>
      </c>
      <c r="J461" s="49">
        <f t="shared" ref="J461:K461" si="923">LEN(SUBSTITUTE(SUBSTITUTE(SUBSTITUTE(B461 ,"ˈ",""),"d̠ʒ","ʒ"),"t̠ʃ","ʃ"))</f>
        <v>6</v>
      </c>
      <c r="K461" s="44">
        <f t="shared" si="923"/>
        <v>6</v>
      </c>
      <c r="L461" s="51">
        <f t="shared" ref="L461:M461" si="924">LEN(D461)-LEN(B461)+1</f>
        <v>3</v>
      </c>
      <c r="M461" s="51">
        <f t="shared" si="924"/>
        <v>3</v>
      </c>
      <c r="N461" s="51">
        <f t="shared" si="5"/>
        <v>0</v>
      </c>
      <c r="O461" s="51" t="str">
        <f t="shared" si="6"/>
        <v>Equal</v>
      </c>
      <c r="P461" s="51">
        <f t="shared" si="7"/>
        <v>0</v>
      </c>
      <c r="Q461" s="51" t="str">
        <f t="shared" si="8"/>
        <v>Equal</v>
      </c>
    </row>
    <row r="462">
      <c r="A462" s="48" t="s">
        <v>14</v>
      </c>
      <c r="B462" s="49" t="s">
        <v>3203</v>
      </c>
      <c r="C462" s="49" t="s">
        <v>3204</v>
      </c>
      <c r="D462" s="49" t="s">
        <v>3205</v>
      </c>
      <c r="E462" s="49" t="s">
        <v>3206</v>
      </c>
      <c r="F462" s="49" t="s">
        <v>1210</v>
      </c>
      <c r="G462" s="49" t="s">
        <v>1210</v>
      </c>
      <c r="H462" s="54">
        <v>3.0</v>
      </c>
      <c r="I462" s="54">
        <v>2.0</v>
      </c>
      <c r="J462" s="49">
        <f t="shared" ref="J462:K462" si="925">LEN(SUBSTITUTE(SUBSTITUTE(SUBSTITUTE(B462 ,"ˈ",""),"d̠ʒ","ʒ"),"t̠ʃ","ʃ"))</f>
        <v>5</v>
      </c>
      <c r="K462" s="44">
        <f t="shared" si="925"/>
        <v>5</v>
      </c>
      <c r="L462" s="51">
        <f t="shared" ref="L462:M462" si="926">LEN(D462)-LEN(B462)+1</f>
        <v>3</v>
      </c>
      <c r="M462" s="51">
        <f t="shared" si="926"/>
        <v>2</v>
      </c>
      <c r="N462" s="51">
        <f t="shared" si="5"/>
        <v>0</v>
      </c>
      <c r="O462" s="51" t="str">
        <f t="shared" si="6"/>
        <v>Equal</v>
      </c>
      <c r="P462" s="51">
        <f t="shared" si="7"/>
        <v>1</v>
      </c>
      <c r="Q462" s="51" t="str">
        <f t="shared" si="8"/>
        <v>Source</v>
      </c>
    </row>
    <row r="463">
      <c r="A463" s="48" t="s">
        <v>14</v>
      </c>
      <c r="B463" s="49" t="s">
        <v>3209</v>
      </c>
      <c r="C463" s="49" t="s">
        <v>3210</v>
      </c>
      <c r="D463" s="52" t="s">
        <v>3211</v>
      </c>
      <c r="E463" s="49" t="s">
        <v>3212</v>
      </c>
      <c r="F463" s="52" t="s">
        <v>3213</v>
      </c>
      <c r="G463" s="49" t="s">
        <v>301</v>
      </c>
      <c r="H463" s="54">
        <v>1.0</v>
      </c>
      <c r="I463" s="54">
        <v>1.0</v>
      </c>
      <c r="J463" s="49">
        <f t="shared" ref="J463:K463" si="927">LEN(SUBSTITUTE(SUBSTITUTE(SUBSTITUTE(B463 ,"ˈ",""),"d̠ʒ","ʒ"),"t̠ʃ","ʃ"))</f>
        <v>5</v>
      </c>
      <c r="K463" s="44">
        <f t="shared" si="927"/>
        <v>5</v>
      </c>
      <c r="L463" s="51">
        <f t="shared" ref="L463:M463" si="928">LEN(D463)-LEN(B463)+1</f>
        <v>2</v>
      </c>
      <c r="M463" s="51">
        <f t="shared" si="928"/>
        <v>3</v>
      </c>
      <c r="N463" s="51">
        <f t="shared" si="5"/>
        <v>0</v>
      </c>
      <c r="O463" s="51" t="str">
        <f t="shared" si="6"/>
        <v>Equal</v>
      </c>
      <c r="P463" s="51">
        <f t="shared" si="7"/>
        <v>-1</v>
      </c>
      <c r="Q463" s="51" t="str">
        <f t="shared" si="8"/>
        <v>Target</v>
      </c>
    </row>
    <row r="464">
      <c r="A464" s="48" t="s">
        <v>14</v>
      </c>
      <c r="B464" s="49" t="s">
        <v>3216</v>
      </c>
      <c r="C464" s="48" t="s">
        <v>3216</v>
      </c>
      <c r="D464" s="49" t="s">
        <v>3217</v>
      </c>
      <c r="E464" s="49" t="s">
        <v>3217</v>
      </c>
      <c r="F464" s="49" t="s">
        <v>437</v>
      </c>
      <c r="G464" s="49" t="s">
        <v>437</v>
      </c>
      <c r="H464" s="54">
        <v>2.0</v>
      </c>
      <c r="I464" s="54">
        <v>2.0</v>
      </c>
      <c r="J464" s="49">
        <f t="shared" ref="J464:K464" si="929">LEN(SUBSTITUTE(SUBSTITUTE(SUBSTITUTE(B464 ,"ˈ",""),"d̠ʒ","ʒ"),"t̠ʃ","ʃ"))</f>
        <v>4</v>
      </c>
      <c r="K464" s="44">
        <f t="shared" si="929"/>
        <v>4</v>
      </c>
      <c r="L464" s="51">
        <f t="shared" ref="L464:M464" si="930">LEN(D464)-LEN(B464)+1</f>
        <v>2</v>
      </c>
      <c r="M464" s="51">
        <f t="shared" si="930"/>
        <v>2</v>
      </c>
      <c r="N464" s="51">
        <f t="shared" si="5"/>
        <v>0</v>
      </c>
      <c r="O464" s="51" t="str">
        <f t="shared" si="6"/>
        <v>Equal</v>
      </c>
      <c r="P464" s="51">
        <f t="shared" si="7"/>
        <v>0</v>
      </c>
      <c r="Q464" s="51" t="str">
        <f t="shared" si="8"/>
        <v>Equal</v>
      </c>
    </row>
    <row r="465">
      <c r="A465" s="48" t="s">
        <v>14</v>
      </c>
      <c r="B465" s="49" t="s">
        <v>3220</v>
      </c>
      <c r="C465" s="49" t="s">
        <v>3221</v>
      </c>
      <c r="D465" s="49" t="s">
        <v>3220</v>
      </c>
      <c r="E465" s="49" t="s">
        <v>3222</v>
      </c>
      <c r="F465" s="49" t="s">
        <v>3220</v>
      </c>
      <c r="G465" s="49" t="s">
        <v>3223</v>
      </c>
      <c r="H465" s="54">
        <v>1.0</v>
      </c>
      <c r="I465" s="54">
        <v>1.0</v>
      </c>
      <c r="J465" s="49">
        <f t="shared" ref="J465:K465" si="931">LEN(SUBSTITUTE(SUBSTITUTE(SUBSTITUTE(B465 ,"ˈ",""),"d̠ʒ","ʒ"),"t̠ʃ","ʃ"))</f>
        <v>4</v>
      </c>
      <c r="K465" s="44">
        <f t="shared" si="931"/>
        <v>5</v>
      </c>
      <c r="L465" s="51">
        <f t="shared" ref="L465:M465" si="932">LEN(D465)-LEN(B465)+1</f>
        <v>1</v>
      </c>
      <c r="M465" s="51">
        <f t="shared" si="932"/>
        <v>2</v>
      </c>
      <c r="N465" s="51">
        <f t="shared" si="5"/>
        <v>-1</v>
      </c>
      <c r="O465" s="51" t="str">
        <f t="shared" si="6"/>
        <v>Target</v>
      </c>
      <c r="P465" s="51">
        <f t="shared" si="7"/>
        <v>-1</v>
      </c>
      <c r="Q465" s="51" t="str">
        <f t="shared" si="8"/>
        <v>Target</v>
      </c>
    </row>
    <row r="466">
      <c r="A466" s="48" t="s">
        <v>14</v>
      </c>
      <c r="B466" s="49" t="s">
        <v>3226</v>
      </c>
      <c r="C466" s="49" t="s">
        <v>3227</v>
      </c>
      <c r="D466" s="49" t="s">
        <v>3228</v>
      </c>
      <c r="E466" s="49" t="s">
        <v>3229</v>
      </c>
      <c r="F466" s="49" t="s">
        <v>878</v>
      </c>
      <c r="G466" s="49" t="s">
        <v>879</v>
      </c>
      <c r="H466" s="54">
        <v>2.0</v>
      </c>
      <c r="I466" s="54">
        <v>3.0</v>
      </c>
      <c r="J466" s="49">
        <f t="shared" ref="J466:K466" si="933">LEN(SUBSTITUTE(SUBSTITUTE(SUBSTITUTE(B466 ,"ˈ",""),"d̠ʒ","ʒ"),"t̠ʃ","ʃ"))</f>
        <v>5</v>
      </c>
      <c r="K466" s="44">
        <f t="shared" si="933"/>
        <v>6</v>
      </c>
      <c r="L466" s="51">
        <f t="shared" ref="L466:M466" si="934">LEN(D466)-LEN(B466)+1</f>
        <v>2</v>
      </c>
      <c r="M466" s="51">
        <f t="shared" si="934"/>
        <v>3</v>
      </c>
      <c r="N466" s="51">
        <f t="shared" si="5"/>
        <v>-1</v>
      </c>
      <c r="O466" s="51" t="str">
        <f t="shared" si="6"/>
        <v>Target</v>
      </c>
      <c r="P466" s="51">
        <f t="shared" si="7"/>
        <v>-1</v>
      </c>
      <c r="Q466" s="51" t="str">
        <f t="shared" si="8"/>
        <v>Target</v>
      </c>
    </row>
    <row r="467">
      <c r="A467" s="48" t="s">
        <v>14</v>
      </c>
      <c r="B467" s="49" t="s">
        <v>3233</v>
      </c>
      <c r="C467" s="49" t="s">
        <v>3234</v>
      </c>
      <c r="D467" s="49" t="s">
        <v>3235</v>
      </c>
      <c r="E467" s="49" t="s">
        <v>3236</v>
      </c>
      <c r="F467" s="49" t="s">
        <v>1435</v>
      </c>
      <c r="G467" s="49" t="s">
        <v>1435</v>
      </c>
      <c r="H467" s="54">
        <v>1.0</v>
      </c>
      <c r="I467" s="54">
        <v>1.0</v>
      </c>
      <c r="J467" s="49">
        <f t="shared" ref="J467:K467" si="935">LEN(SUBSTITUTE(SUBSTITUTE(SUBSTITUTE(B467 ,"ˈ",""),"d̠ʒ","ʒ"),"t̠ʃ","ʃ"))</f>
        <v>7</v>
      </c>
      <c r="K467" s="44">
        <f t="shared" si="935"/>
        <v>9</v>
      </c>
      <c r="L467" s="51">
        <f t="shared" ref="L467:M467" si="936">LEN(D467)-LEN(B467)+1</f>
        <v>2</v>
      </c>
      <c r="M467" s="51">
        <f t="shared" si="936"/>
        <v>3</v>
      </c>
      <c r="N467" s="51">
        <f t="shared" si="5"/>
        <v>-2</v>
      </c>
      <c r="O467" s="51" t="str">
        <f t="shared" si="6"/>
        <v>Target</v>
      </c>
      <c r="P467" s="51">
        <f t="shared" si="7"/>
        <v>-1</v>
      </c>
      <c r="Q467" s="51" t="str">
        <f t="shared" si="8"/>
        <v>Target</v>
      </c>
    </row>
    <row r="468">
      <c r="A468" s="48" t="s">
        <v>14</v>
      </c>
      <c r="B468" s="49" t="s">
        <v>3241</v>
      </c>
      <c r="C468" s="49" t="s">
        <v>1439</v>
      </c>
      <c r="D468" s="49" t="s">
        <v>3242</v>
      </c>
      <c r="E468" s="49" t="s">
        <v>1441</v>
      </c>
      <c r="F468" s="49" t="s">
        <v>402</v>
      </c>
      <c r="G468" s="49" t="s">
        <v>1129</v>
      </c>
      <c r="H468" s="54">
        <v>2.0</v>
      </c>
      <c r="I468" s="54">
        <v>2.0</v>
      </c>
      <c r="J468" s="49">
        <f t="shared" ref="J468:K468" si="937">LEN(SUBSTITUTE(SUBSTITUTE(SUBSTITUTE(B468 ,"ˈ",""),"d̠ʒ","ʒ"),"t̠ʃ","ʃ"))</f>
        <v>5</v>
      </c>
      <c r="K468" s="44">
        <f t="shared" si="937"/>
        <v>6</v>
      </c>
      <c r="L468" s="51">
        <f t="shared" ref="L468:M468" si="938">LEN(D468)-LEN(B468)+1</f>
        <v>2</v>
      </c>
      <c r="M468" s="51">
        <f t="shared" si="938"/>
        <v>2</v>
      </c>
      <c r="N468" s="51">
        <f t="shared" si="5"/>
        <v>-1</v>
      </c>
      <c r="O468" s="51" t="str">
        <f t="shared" si="6"/>
        <v>Target</v>
      </c>
      <c r="P468" s="51">
        <f t="shared" si="7"/>
        <v>0</v>
      </c>
      <c r="Q468" s="51" t="str">
        <f t="shared" si="8"/>
        <v>Equal</v>
      </c>
    </row>
    <row r="469">
      <c r="A469" s="48" t="s">
        <v>14</v>
      </c>
      <c r="B469" s="49" t="s">
        <v>3246</v>
      </c>
      <c r="C469" s="49" t="s">
        <v>3247</v>
      </c>
      <c r="D469" s="49" t="s">
        <v>3248</v>
      </c>
      <c r="E469" s="49" t="s">
        <v>3249</v>
      </c>
      <c r="F469" s="49" t="s">
        <v>157</v>
      </c>
      <c r="G469" s="49" t="s">
        <v>3250</v>
      </c>
      <c r="H469" s="54">
        <v>1.0</v>
      </c>
      <c r="I469" s="54">
        <v>1.0</v>
      </c>
      <c r="J469" s="49">
        <f t="shared" ref="J469:K469" si="939">LEN(SUBSTITUTE(SUBSTITUTE(SUBSTITUTE(B469 ,"ˈ",""),"d̠ʒ","ʒ"),"t̠ʃ","ʃ"))</f>
        <v>6</v>
      </c>
      <c r="K469" s="44">
        <f t="shared" si="939"/>
        <v>7</v>
      </c>
      <c r="L469" s="51">
        <f t="shared" ref="L469:M469" si="940">LEN(D469)-LEN(B469)+1</f>
        <v>3</v>
      </c>
      <c r="M469" s="51">
        <f t="shared" si="940"/>
        <v>3</v>
      </c>
      <c r="N469" s="51">
        <f t="shared" si="5"/>
        <v>-1</v>
      </c>
      <c r="O469" s="51" t="str">
        <f t="shared" si="6"/>
        <v>Target</v>
      </c>
      <c r="P469" s="51">
        <f t="shared" si="7"/>
        <v>0</v>
      </c>
      <c r="Q469" s="51" t="str">
        <f t="shared" si="8"/>
        <v>Equal</v>
      </c>
    </row>
    <row r="470">
      <c r="A470" s="48" t="s">
        <v>14</v>
      </c>
      <c r="B470" s="49" t="s">
        <v>3253</v>
      </c>
      <c r="C470" s="49" t="s">
        <v>3254</v>
      </c>
      <c r="D470" s="49" t="s">
        <v>3255</v>
      </c>
      <c r="E470" s="49" t="s">
        <v>3256</v>
      </c>
      <c r="F470" s="49" t="s">
        <v>387</v>
      </c>
      <c r="G470" s="49" t="s">
        <v>387</v>
      </c>
      <c r="H470" s="54">
        <v>3.0</v>
      </c>
      <c r="I470" s="54">
        <v>3.0</v>
      </c>
      <c r="J470" s="49">
        <f t="shared" ref="J470:K470" si="941">LEN(SUBSTITUTE(SUBSTITUTE(SUBSTITUTE(B470 ,"ˈ",""),"d̠ʒ","ʒ"),"t̠ʃ","ʃ"))</f>
        <v>6</v>
      </c>
      <c r="K470" s="44">
        <f t="shared" si="941"/>
        <v>6</v>
      </c>
      <c r="L470" s="51">
        <f t="shared" ref="L470:M470" si="942">LEN(D470)-LEN(B470)+1</f>
        <v>3</v>
      </c>
      <c r="M470" s="51">
        <f t="shared" si="942"/>
        <v>3</v>
      </c>
      <c r="N470" s="51">
        <f t="shared" si="5"/>
        <v>0</v>
      </c>
      <c r="O470" s="51" t="str">
        <f t="shared" si="6"/>
        <v>Equal</v>
      </c>
      <c r="P470" s="51">
        <f t="shared" si="7"/>
        <v>0</v>
      </c>
      <c r="Q470" s="51" t="str">
        <f t="shared" si="8"/>
        <v>Equal</v>
      </c>
    </row>
    <row r="471">
      <c r="A471" s="48" t="s">
        <v>14</v>
      </c>
      <c r="B471" s="49" t="s">
        <v>3260</v>
      </c>
      <c r="C471" s="49" t="s">
        <v>3261</v>
      </c>
      <c r="D471" s="49" t="s">
        <v>3262</v>
      </c>
      <c r="E471" s="49" t="s">
        <v>3263</v>
      </c>
      <c r="F471" s="49" t="s">
        <v>3264</v>
      </c>
      <c r="G471" s="49" t="s">
        <v>610</v>
      </c>
      <c r="H471" s="54">
        <v>1.0</v>
      </c>
      <c r="I471" s="54">
        <v>1.0</v>
      </c>
      <c r="J471" s="49">
        <f t="shared" ref="J471:K471" si="943">LEN(SUBSTITUTE(SUBSTITUTE(SUBSTITUTE(B471 ,"ˈ",""),"d̠ʒ","ʒ"),"t̠ʃ","ʃ"))</f>
        <v>5</v>
      </c>
      <c r="K471" s="44">
        <f t="shared" si="943"/>
        <v>5</v>
      </c>
      <c r="L471" s="51">
        <f t="shared" ref="L471:M471" si="944">LEN(D471)-LEN(B471)+1</f>
        <v>2</v>
      </c>
      <c r="M471" s="51">
        <f t="shared" si="944"/>
        <v>3</v>
      </c>
      <c r="N471" s="51">
        <f t="shared" si="5"/>
        <v>0</v>
      </c>
      <c r="O471" s="51" t="str">
        <f t="shared" si="6"/>
        <v>Equal</v>
      </c>
      <c r="P471" s="51">
        <f t="shared" si="7"/>
        <v>-1</v>
      </c>
      <c r="Q471" s="51" t="str">
        <f t="shared" si="8"/>
        <v>Target</v>
      </c>
    </row>
    <row r="472">
      <c r="A472" s="48" t="s">
        <v>14</v>
      </c>
      <c r="B472" s="49" t="s">
        <v>3267</v>
      </c>
      <c r="C472" s="49" t="s">
        <v>3268</v>
      </c>
      <c r="D472" s="49" t="s">
        <v>3269</v>
      </c>
      <c r="E472" s="49" t="s">
        <v>3270</v>
      </c>
      <c r="F472" s="49" t="s">
        <v>1426</v>
      </c>
      <c r="G472" s="49" t="s">
        <v>1426</v>
      </c>
      <c r="H472" s="54">
        <v>3.0</v>
      </c>
      <c r="I472" s="54">
        <v>3.0</v>
      </c>
      <c r="J472" s="49">
        <f t="shared" ref="J472:K472" si="945">LEN(SUBSTITUTE(SUBSTITUTE(SUBSTITUTE(B472 ,"ˈ",""),"d̠ʒ","ʒ"),"t̠ʃ","ʃ"))</f>
        <v>6</v>
      </c>
      <c r="K472" s="44">
        <f t="shared" si="945"/>
        <v>6</v>
      </c>
      <c r="L472" s="51">
        <f t="shared" ref="L472:M472" si="946">LEN(D472)-LEN(B472)+1</f>
        <v>3</v>
      </c>
      <c r="M472" s="51">
        <f t="shared" si="946"/>
        <v>3</v>
      </c>
      <c r="N472" s="51">
        <f t="shared" si="5"/>
        <v>0</v>
      </c>
      <c r="O472" s="51" t="str">
        <f t="shared" si="6"/>
        <v>Equal</v>
      </c>
      <c r="P472" s="51">
        <f t="shared" si="7"/>
        <v>0</v>
      </c>
      <c r="Q472" s="51" t="str">
        <f t="shared" si="8"/>
        <v>Equal</v>
      </c>
    </row>
    <row r="473">
      <c r="A473" s="48" t="s">
        <v>14</v>
      </c>
      <c r="B473" s="49" t="s">
        <v>3274</v>
      </c>
      <c r="C473" s="49" t="s">
        <v>3275</v>
      </c>
      <c r="D473" s="49" t="s">
        <v>3276</v>
      </c>
      <c r="E473" s="49" t="s">
        <v>3277</v>
      </c>
      <c r="F473" s="49" t="s">
        <v>3278</v>
      </c>
      <c r="G473" s="49" t="s">
        <v>3278</v>
      </c>
      <c r="H473" s="54">
        <v>1.0</v>
      </c>
      <c r="I473" s="54">
        <v>1.0</v>
      </c>
      <c r="J473" s="49">
        <f t="shared" ref="J473:K473" si="947">LEN(SUBSTITUTE(SUBSTITUTE(SUBSTITUTE(B473 ,"ˈ",""),"d̠ʒ","ʒ"),"t̠ʃ","ʃ"))</f>
        <v>5</v>
      </c>
      <c r="K473" s="44">
        <f t="shared" si="947"/>
        <v>5</v>
      </c>
      <c r="L473" s="51">
        <f t="shared" ref="L473:M473" si="948">LEN(D473)-LEN(B473)+1</f>
        <v>2</v>
      </c>
      <c r="M473" s="51">
        <f t="shared" si="948"/>
        <v>2</v>
      </c>
      <c r="N473" s="51">
        <f t="shared" si="5"/>
        <v>0</v>
      </c>
      <c r="O473" s="51" t="str">
        <f t="shared" si="6"/>
        <v>Equal</v>
      </c>
      <c r="P473" s="51">
        <f t="shared" si="7"/>
        <v>0</v>
      </c>
      <c r="Q473" s="51" t="str">
        <f t="shared" si="8"/>
        <v>Equal</v>
      </c>
    </row>
    <row r="474">
      <c r="A474" s="48" t="s">
        <v>14</v>
      </c>
      <c r="B474" s="49" t="s">
        <v>3281</v>
      </c>
      <c r="C474" s="49" t="s">
        <v>3282</v>
      </c>
      <c r="D474" s="49" t="s">
        <v>3283</v>
      </c>
      <c r="E474" s="49" t="s">
        <v>3284</v>
      </c>
      <c r="F474" s="49" t="s">
        <v>668</v>
      </c>
      <c r="G474" s="49" t="s">
        <v>103</v>
      </c>
      <c r="H474" s="54">
        <v>3.0</v>
      </c>
      <c r="I474" s="54">
        <v>3.0</v>
      </c>
      <c r="J474" s="49">
        <f t="shared" ref="J474:K474" si="949">LEN(SUBSTITUTE(SUBSTITUTE(SUBSTITUTE(B474 ,"ˈ",""),"d̠ʒ","ʒ"),"t̠ʃ","ʃ"))</f>
        <v>6</v>
      </c>
      <c r="K474" s="44">
        <f t="shared" si="949"/>
        <v>7</v>
      </c>
      <c r="L474" s="51">
        <f t="shared" ref="L474:M474" si="950">LEN(D474)-LEN(B474)+1</f>
        <v>3</v>
      </c>
      <c r="M474" s="51">
        <f t="shared" si="950"/>
        <v>3</v>
      </c>
      <c r="N474" s="51">
        <f t="shared" si="5"/>
        <v>-1</v>
      </c>
      <c r="O474" s="51" t="str">
        <f t="shared" si="6"/>
        <v>Target</v>
      </c>
      <c r="P474" s="51">
        <f t="shared" si="7"/>
        <v>0</v>
      </c>
      <c r="Q474" s="51" t="str">
        <f t="shared" si="8"/>
        <v>Equal</v>
      </c>
    </row>
    <row r="475">
      <c r="A475" s="48" t="s">
        <v>14</v>
      </c>
      <c r="B475" s="49" t="s">
        <v>3288</v>
      </c>
      <c r="C475" s="49" t="s">
        <v>3289</v>
      </c>
      <c r="D475" s="49" t="s">
        <v>3290</v>
      </c>
      <c r="E475" s="49" t="s">
        <v>3291</v>
      </c>
      <c r="F475" s="49" t="s">
        <v>976</v>
      </c>
      <c r="G475" s="49" t="s">
        <v>977</v>
      </c>
      <c r="H475" s="54">
        <v>1.0</v>
      </c>
      <c r="I475" s="54">
        <v>1.0</v>
      </c>
      <c r="J475" s="49">
        <f t="shared" ref="J475:K475" si="951">LEN(SUBSTITUTE(SUBSTITUTE(SUBSTITUTE(B475 ,"ˈ",""),"d̠ʒ","ʒ"),"t̠ʃ","ʃ"))</f>
        <v>5</v>
      </c>
      <c r="K475" s="44">
        <f t="shared" si="951"/>
        <v>5</v>
      </c>
      <c r="L475" s="51">
        <f t="shared" ref="L475:M475" si="952">LEN(D475)-LEN(B475)+1</f>
        <v>2</v>
      </c>
      <c r="M475" s="51">
        <f t="shared" si="952"/>
        <v>2</v>
      </c>
      <c r="N475" s="51">
        <f t="shared" si="5"/>
        <v>0</v>
      </c>
      <c r="O475" s="51" t="str">
        <f t="shared" si="6"/>
        <v>Equal</v>
      </c>
      <c r="P475" s="51">
        <f t="shared" si="7"/>
        <v>0</v>
      </c>
      <c r="Q475" s="51" t="str">
        <f t="shared" si="8"/>
        <v>Equal</v>
      </c>
    </row>
    <row r="476">
      <c r="A476" s="48" t="s">
        <v>14</v>
      </c>
      <c r="B476" s="49" t="s">
        <v>3294</v>
      </c>
      <c r="C476" s="49" t="s">
        <v>3295</v>
      </c>
      <c r="D476" s="49" t="s">
        <v>3296</v>
      </c>
      <c r="E476" s="49" t="s">
        <v>3297</v>
      </c>
      <c r="F476" s="49" t="s">
        <v>98</v>
      </c>
      <c r="G476" s="49" t="s">
        <v>98</v>
      </c>
      <c r="H476" s="54">
        <v>2.0</v>
      </c>
      <c r="I476" s="54">
        <v>2.0</v>
      </c>
      <c r="J476" s="49">
        <f t="shared" ref="J476:K476" si="953">LEN(SUBSTITUTE(SUBSTITUTE(SUBSTITUTE(B476 ,"ˈ",""),"d̠ʒ","ʒ"),"t̠ʃ","ʃ"))</f>
        <v>5</v>
      </c>
      <c r="K476" s="44">
        <f t="shared" si="953"/>
        <v>5</v>
      </c>
      <c r="L476" s="51">
        <f t="shared" ref="L476:M476" si="954">LEN(D476)-LEN(B476)+1</f>
        <v>2</v>
      </c>
      <c r="M476" s="51">
        <f t="shared" si="954"/>
        <v>2</v>
      </c>
      <c r="N476" s="51">
        <f t="shared" si="5"/>
        <v>0</v>
      </c>
      <c r="O476" s="51" t="str">
        <f t="shared" si="6"/>
        <v>Equal</v>
      </c>
      <c r="P476" s="51">
        <f t="shared" si="7"/>
        <v>0</v>
      </c>
      <c r="Q476" s="51" t="str">
        <f t="shared" si="8"/>
        <v>Equal</v>
      </c>
    </row>
    <row r="477">
      <c r="A477" s="48" t="s">
        <v>14</v>
      </c>
      <c r="B477" s="49" t="s">
        <v>3299</v>
      </c>
      <c r="C477" s="49" t="s">
        <v>3300</v>
      </c>
      <c r="D477" s="49" t="s">
        <v>3301</v>
      </c>
      <c r="E477" s="49" t="s">
        <v>3302</v>
      </c>
      <c r="F477" s="49" t="s">
        <v>789</v>
      </c>
      <c r="G477" s="49" t="s">
        <v>790</v>
      </c>
      <c r="H477" s="54">
        <v>1.0</v>
      </c>
      <c r="I477" s="54">
        <v>1.0</v>
      </c>
      <c r="J477" s="49">
        <f t="shared" ref="J477:K477" si="955">LEN(SUBSTITUTE(SUBSTITUTE(SUBSTITUTE(B477 ,"ˈ",""),"d̠ʒ","ʒ"),"t̠ʃ","ʃ"))</f>
        <v>4</v>
      </c>
      <c r="K477" s="44">
        <f t="shared" si="955"/>
        <v>4</v>
      </c>
      <c r="L477" s="51">
        <f t="shared" ref="L477:M477" si="956">LEN(D477)-LEN(B477)+1</f>
        <v>2</v>
      </c>
      <c r="M477" s="51">
        <f t="shared" si="956"/>
        <v>2</v>
      </c>
      <c r="N477" s="51">
        <f t="shared" si="5"/>
        <v>0</v>
      </c>
      <c r="O477" s="51" t="str">
        <f t="shared" si="6"/>
        <v>Equal</v>
      </c>
      <c r="P477" s="51">
        <f t="shared" si="7"/>
        <v>0</v>
      </c>
      <c r="Q477" s="51" t="str">
        <f t="shared" si="8"/>
        <v>Equal</v>
      </c>
    </row>
    <row r="478">
      <c r="A478" s="48" t="s">
        <v>14</v>
      </c>
      <c r="B478" s="49" t="s">
        <v>3305</v>
      </c>
      <c r="C478" s="49" t="s">
        <v>3306</v>
      </c>
      <c r="D478" s="49" t="s">
        <v>3307</v>
      </c>
      <c r="E478" s="49" t="s">
        <v>3308</v>
      </c>
      <c r="F478" s="49" t="s">
        <v>158</v>
      </c>
      <c r="G478" s="49" t="s">
        <v>158</v>
      </c>
      <c r="H478" s="54">
        <v>3.0</v>
      </c>
      <c r="I478" s="54">
        <v>3.0</v>
      </c>
      <c r="J478" s="49">
        <f t="shared" ref="J478:K478" si="957">LEN(SUBSTITUTE(SUBSTITUTE(SUBSTITUTE(B478 ,"ˈ",""),"d̠ʒ","ʒ"),"t̠ʃ","ʃ"))</f>
        <v>6</v>
      </c>
      <c r="K478" s="44">
        <f t="shared" si="957"/>
        <v>6</v>
      </c>
      <c r="L478" s="51">
        <f t="shared" ref="L478:M478" si="958">LEN(D478)-LEN(B478)+1</f>
        <v>3</v>
      </c>
      <c r="M478" s="51">
        <f t="shared" si="958"/>
        <v>3</v>
      </c>
      <c r="N478" s="51">
        <f t="shared" si="5"/>
        <v>0</v>
      </c>
      <c r="O478" s="51" t="str">
        <f t="shared" si="6"/>
        <v>Equal</v>
      </c>
      <c r="P478" s="51">
        <f t="shared" si="7"/>
        <v>0</v>
      </c>
      <c r="Q478" s="51" t="str">
        <f t="shared" si="8"/>
        <v>Equal</v>
      </c>
    </row>
    <row r="479">
      <c r="A479" s="48" t="s">
        <v>14</v>
      </c>
      <c r="B479" s="49" t="s">
        <v>3311</v>
      </c>
      <c r="C479" s="49" t="s">
        <v>3312</v>
      </c>
      <c r="D479" s="49" t="s">
        <v>3313</v>
      </c>
      <c r="E479" s="49" t="s">
        <v>3314</v>
      </c>
      <c r="F479" s="49" t="s">
        <v>1032</v>
      </c>
      <c r="G479" s="49" t="s">
        <v>1113</v>
      </c>
      <c r="H479" s="54">
        <v>1.0</v>
      </c>
      <c r="I479" s="54">
        <v>1.0</v>
      </c>
      <c r="J479" s="49">
        <f t="shared" ref="J479:K479" si="959">LEN(SUBSTITUTE(SUBSTITUTE(SUBSTITUTE(B479 ,"ˈ",""),"d̠ʒ","ʒ"),"t̠ʃ","ʃ"))</f>
        <v>4</v>
      </c>
      <c r="K479" s="44">
        <f t="shared" si="959"/>
        <v>6</v>
      </c>
      <c r="L479" s="51">
        <f t="shared" ref="L479:M479" si="960">LEN(D479)-LEN(B479)+1</f>
        <v>2</v>
      </c>
      <c r="M479" s="51">
        <f t="shared" si="960"/>
        <v>3</v>
      </c>
      <c r="N479" s="51">
        <f t="shared" si="5"/>
        <v>-2</v>
      </c>
      <c r="O479" s="51" t="str">
        <f t="shared" si="6"/>
        <v>Target</v>
      </c>
      <c r="P479" s="51">
        <f t="shared" si="7"/>
        <v>-1</v>
      </c>
      <c r="Q479" s="51" t="str">
        <f t="shared" si="8"/>
        <v>Target</v>
      </c>
    </row>
    <row r="480">
      <c r="A480" s="48" t="s">
        <v>14</v>
      </c>
      <c r="B480" s="49" t="s">
        <v>3317</v>
      </c>
      <c r="C480" s="49" t="s">
        <v>3318</v>
      </c>
      <c r="D480" s="49" t="s">
        <v>3319</v>
      </c>
      <c r="E480" s="49" t="s">
        <v>3320</v>
      </c>
      <c r="F480" s="49" t="s">
        <v>312</v>
      </c>
      <c r="G480" s="49" t="s">
        <v>312</v>
      </c>
      <c r="H480" s="54">
        <v>2.0</v>
      </c>
      <c r="I480" s="54">
        <v>2.0</v>
      </c>
      <c r="J480" s="49">
        <f t="shared" ref="J480:K480" si="961">LEN(SUBSTITUTE(SUBSTITUTE(SUBSTITUTE(B480 ,"ˈ",""),"d̠ʒ","ʒ"),"t̠ʃ","ʃ"))</f>
        <v>4</v>
      </c>
      <c r="K480" s="44">
        <f t="shared" si="961"/>
        <v>4</v>
      </c>
      <c r="L480" s="51">
        <f t="shared" ref="L480:M480" si="962">LEN(D480)-LEN(B480)+1</f>
        <v>2</v>
      </c>
      <c r="M480" s="51">
        <f t="shared" si="962"/>
        <v>2</v>
      </c>
      <c r="N480" s="51">
        <f t="shared" si="5"/>
        <v>0</v>
      </c>
      <c r="O480" s="51" t="str">
        <f t="shared" si="6"/>
        <v>Equal</v>
      </c>
      <c r="P480" s="51">
        <f t="shared" si="7"/>
        <v>0</v>
      </c>
      <c r="Q480" s="51" t="str">
        <f t="shared" si="8"/>
        <v>Equal</v>
      </c>
    </row>
    <row r="481">
      <c r="A481" s="48" t="s">
        <v>14</v>
      </c>
      <c r="B481" s="49" t="s">
        <v>3324</v>
      </c>
      <c r="C481" s="49" t="s">
        <v>3325</v>
      </c>
      <c r="D481" s="49" t="s">
        <v>3326</v>
      </c>
      <c r="E481" s="49" t="s">
        <v>3327</v>
      </c>
      <c r="F481" s="49" t="s">
        <v>251</v>
      </c>
      <c r="G481" s="49" t="s">
        <v>49</v>
      </c>
      <c r="H481" s="54">
        <v>1.0</v>
      </c>
      <c r="I481" s="54">
        <v>1.0</v>
      </c>
      <c r="J481" s="49">
        <f t="shared" ref="J481:K481" si="963">LEN(SUBSTITUTE(SUBSTITUTE(SUBSTITUTE(B481 ,"ˈ",""),"d̠ʒ","ʒ"),"t̠ʃ","ʃ"))</f>
        <v>4</v>
      </c>
      <c r="K481" s="44">
        <f t="shared" si="963"/>
        <v>6</v>
      </c>
      <c r="L481" s="51">
        <f t="shared" ref="L481:M481" si="964">LEN(D481)-LEN(B481)+1</f>
        <v>2</v>
      </c>
      <c r="M481" s="51">
        <f t="shared" si="964"/>
        <v>3</v>
      </c>
      <c r="N481" s="51">
        <f t="shared" si="5"/>
        <v>-2</v>
      </c>
      <c r="O481" s="51" t="str">
        <f t="shared" si="6"/>
        <v>Target</v>
      </c>
      <c r="P481" s="51">
        <f t="shared" si="7"/>
        <v>-1</v>
      </c>
      <c r="Q481" s="51" t="str">
        <f t="shared" si="8"/>
        <v>Target</v>
      </c>
    </row>
    <row r="482">
      <c r="A482" s="48" t="s">
        <v>14</v>
      </c>
      <c r="B482" s="49" t="s">
        <v>3331</v>
      </c>
      <c r="C482" s="49" t="s">
        <v>3332</v>
      </c>
      <c r="D482" s="49" t="s">
        <v>3333</v>
      </c>
      <c r="E482" s="49" t="s">
        <v>3334</v>
      </c>
      <c r="F482" s="49" t="s">
        <v>317</v>
      </c>
      <c r="G482" s="49" t="s">
        <v>24</v>
      </c>
      <c r="H482" s="54">
        <v>2.0</v>
      </c>
      <c r="I482" s="54">
        <v>3.0</v>
      </c>
      <c r="J482" s="49">
        <f t="shared" ref="J482:K482" si="965">LEN(SUBSTITUTE(SUBSTITUTE(SUBSTITUTE(B482 ,"ˈ",""),"d̠ʒ","ʒ"),"t̠ʃ","ʃ"))</f>
        <v>4</v>
      </c>
      <c r="K482" s="44">
        <f t="shared" si="965"/>
        <v>5</v>
      </c>
      <c r="L482" s="51">
        <f t="shared" ref="L482:M482" si="966">LEN(D482)-LEN(B482)+1</f>
        <v>2</v>
      </c>
      <c r="M482" s="51">
        <f t="shared" si="966"/>
        <v>3</v>
      </c>
      <c r="N482" s="51">
        <f t="shared" si="5"/>
        <v>-1</v>
      </c>
      <c r="O482" s="51" t="str">
        <f t="shared" si="6"/>
        <v>Target</v>
      </c>
      <c r="P482" s="51">
        <f t="shared" si="7"/>
        <v>-1</v>
      </c>
      <c r="Q482" s="51" t="str">
        <f t="shared" si="8"/>
        <v>Target</v>
      </c>
    </row>
    <row r="483">
      <c r="A483" s="48" t="s">
        <v>14</v>
      </c>
      <c r="B483" s="49" t="s">
        <v>3338</v>
      </c>
      <c r="C483" s="49" t="s">
        <v>3338</v>
      </c>
      <c r="D483" s="49" t="s">
        <v>3339</v>
      </c>
      <c r="E483" s="49" t="s">
        <v>3339</v>
      </c>
      <c r="F483" s="49" t="s">
        <v>2003</v>
      </c>
      <c r="G483" s="49" t="s">
        <v>2003</v>
      </c>
      <c r="H483" s="54">
        <v>1.0</v>
      </c>
      <c r="I483" s="54">
        <v>1.0</v>
      </c>
      <c r="J483" s="49">
        <f t="shared" ref="J483:K483" si="967">LEN(SUBSTITUTE(SUBSTITUTE(SUBSTITUTE(B483 ,"ˈ",""),"d̠ʒ","ʒ"),"t̠ʃ","ʃ"))</f>
        <v>5</v>
      </c>
      <c r="K483" s="44">
        <f t="shared" si="967"/>
        <v>5</v>
      </c>
      <c r="L483" s="51">
        <f t="shared" ref="L483:M483" si="968">LEN(D483)-LEN(B483)+1</f>
        <v>2</v>
      </c>
      <c r="M483" s="51">
        <f t="shared" si="968"/>
        <v>2</v>
      </c>
      <c r="N483" s="51">
        <f t="shared" si="5"/>
        <v>0</v>
      </c>
      <c r="O483" s="51" t="str">
        <f t="shared" si="6"/>
        <v>Equal</v>
      </c>
      <c r="P483" s="51">
        <f t="shared" si="7"/>
        <v>0</v>
      </c>
      <c r="Q483" s="51" t="str">
        <f t="shared" si="8"/>
        <v>Equal</v>
      </c>
    </row>
    <row r="484">
      <c r="A484" s="48" t="s">
        <v>14</v>
      </c>
      <c r="B484" s="49" t="s">
        <v>3341</v>
      </c>
      <c r="C484" s="49" t="s">
        <v>3342</v>
      </c>
      <c r="D484" s="49" t="s">
        <v>3343</v>
      </c>
      <c r="E484" s="49" t="s">
        <v>3344</v>
      </c>
      <c r="F484" s="49" t="s">
        <v>362</v>
      </c>
      <c r="G484" s="49" t="s">
        <v>566</v>
      </c>
      <c r="H484" s="54">
        <v>3.0</v>
      </c>
      <c r="I484" s="54">
        <v>2.0</v>
      </c>
      <c r="J484" s="49">
        <f t="shared" ref="J484:K484" si="969">LEN(SUBSTITUTE(SUBSTITUTE(SUBSTITUTE(B484 ,"ˈ",""),"d̠ʒ","ʒ"),"t̠ʃ","ʃ"))</f>
        <v>5</v>
      </c>
      <c r="K484" s="44">
        <f t="shared" si="969"/>
        <v>4</v>
      </c>
      <c r="L484" s="51">
        <f t="shared" ref="L484:M484" si="970">LEN(D484)-LEN(B484)+1</f>
        <v>3</v>
      </c>
      <c r="M484" s="51">
        <f t="shared" si="970"/>
        <v>2</v>
      </c>
      <c r="N484" s="51">
        <f t="shared" si="5"/>
        <v>1</v>
      </c>
      <c r="O484" s="51" t="str">
        <f t="shared" si="6"/>
        <v>Source</v>
      </c>
      <c r="P484" s="51">
        <f t="shared" si="7"/>
        <v>1</v>
      </c>
      <c r="Q484" s="51" t="str">
        <f t="shared" si="8"/>
        <v>Source</v>
      </c>
    </row>
    <row r="485">
      <c r="A485" s="48" t="s">
        <v>14</v>
      </c>
      <c r="B485" s="49" t="s">
        <v>3347</v>
      </c>
      <c r="C485" s="48" t="s">
        <v>3347</v>
      </c>
      <c r="D485" s="49" t="s">
        <v>3348</v>
      </c>
      <c r="E485" s="49" t="s">
        <v>3348</v>
      </c>
      <c r="F485" s="49" t="s">
        <v>2700</v>
      </c>
      <c r="G485" s="49" t="s">
        <v>2700</v>
      </c>
      <c r="H485" s="54">
        <v>1.0</v>
      </c>
      <c r="I485" s="54">
        <v>1.0</v>
      </c>
      <c r="J485" s="49">
        <f t="shared" ref="J485:K485" si="971">LEN(SUBSTITUTE(SUBSTITUTE(SUBSTITUTE(B485 ,"ˈ",""),"d̠ʒ","ʒ"),"t̠ʃ","ʃ"))</f>
        <v>4</v>
      </c>
      <c r="K485" s="44">
        <f t="shared" si="971"/>
        <v>4</v>
      </c>
      <c r="L485" s="51">
        <f t="shared" ref="L485:M485" si="972">LEN(D485)-LEN(B485)+1</f>
        <v>2</v>
      </c>
      <c r="M485" s="51">
        <f t="shared" si="972"/>
        <v>2</v>
      </c>
      <c r="N485" s="51">
        <f t="shared" si="5"/>
        <v>0</v>
      </c>
      <c r="O485" s="51" t="str">
        <f t="shared" si="6"/>
        <v>Equal</v>
      </c>
      <c r="P485" s="51">
        <f t="shared" si="7"/>
        <v>0</v>
      </c>
      <c r="Q485" s="51" t="str">
        <f t="shared" si="8"/>
        <v>Equal</v>
      </c>
    </row>
    <row r="486">
      <c r="A486" s="48" t="s">
        <v>14</v>
      </c>
      <c r="B486" s="49" t="s">
        <v>3351</v>
      </c>
      <c r="C486" s="49" t="s">
        <v>3352</v>
      </c>
      <c r="D486" s="49" t="s">
        <v>3353</v>
      </c>
      <c r="E486" s="49" t="s">
        <v>3354</v>
      </c>
      <c r="F486" s="49" t="s">
        <v>245</v>
      </c>
      <c r="G486" s="49" t="s">
        <v>3358</v>
      </c>
      <c r="H486" s="54">
        <v>3.0</v>
      </c>
      <c r="I486" s="54">
        <v>2.0</v>
      </c>
      <c r="J486" s="49">
        <f t="shared" ref="J486:K486" si="973">LEN(SUBSTITUTE(SUBSTITUTE(SUBSTITUTE(B486 ,"ˈ",""),"d̠ʒ","ʒ"),"t̠ʃ","ʃ"))</f>
        <v>6</v>
      </c>
      <c r="K486" s="44">
        <f t="shared" si="973"/>
        <v>5</v>
      </c>
      <c r="L486" s="51">
        <f t="shared" ref="L486:M486" si="974">LEN(D486)-LEN(B486)+1</f>
        <v>3</v>
      </c>
      <c r="M486" s="51">
        <f t="shared" si="974"/>
        <v>2</v>
      </c>
      <c r="N486" s="51">
        <f t="shared" si="5"/>
        <v>1</v>
      </c>
      <c r="O486" s="51" t="str">
        <f t="shared" si="6"/>
        <v>Source</v>
      </c>
      <c r="P486" s="51">
        <f t="shared" si="7"/>
        <v>1</v>
      </c>
      <c r="Q486" s="51" t="str">
        <f t="shared" si="8"/>
        <v>Source</v>
      </c>
    </row>
    <row r="487">
      <c r="A487" s="48" t="s">
        <v>14</v>
      </c>
      <c r="B487" s="49" t="s">
        <v>3359</v>
      </c>
      <c r="C487" s="49" t="s">
        <v>3360</v>
      </c>
      <c r="D487" s="49" t="s">
        <v>3361</v>
      </c>
      <c r="E487" s="49" t="s">
        <v>3362</v>
      </c>
      <c r="F487" s="49" t="s">
        <v>349</v>
      </c>
      <c r="G487" s="49" t="s">
        <v>1086</v>
      </c>
      <c r="H487" s="54">
        <v>1.0</v>
      </c>
      <c r="I487" s="54">
        <v>1.0</v>
      </c>
      <c r="J487" s="49">
        <f t="shared" ref="J487:K487" si="975">LEN(SUBSTITUTE(SUBSTITUTE(SUBSTITUTE(B487 ,"ˈ",""),"d̠ʒ","ʒ"),"t̠ʃ","ʃ"))</f>
        <v>6</v>
      </c>
      <c r="K487" s="44">
        <f t="shared" si="975"/>
        <v>7</v>
      </c>
      <c r="L487" s="51">
        <f t="shared" ref="L487:M487" si="976">LEN(D487)-LEN(B487)+1</f>
        <v>3</v>
      </c>
      <c r="M487" s="51">
        <f t="shared" si="976"/>
        <v>3</v>
      </c>
      <c r="N487" s="51">
        <f t="shared" si="5"/>
        <v>-1</v>
      </c>
      <c r="O487" s="51" t="str">
        <f t="shared" si="6"/>
        <v>Target</v>
      </c>
      <c r="P487" s="51">
        <f t="shared" si="7"/>
        <v>0</v>
      </c>
      <c r="Q487" s="51" t="str">
        <f t="shared" si="8"/>
        <v>Equal</v>
      </c>
    </row>
    <row r="488">
      <c r="A488" s="48" t="s">
        <v>14</v>
      </c>
      <c r="B488" s="49" t="s">
        <v>3365</v>
      </c>
      <c r="C488" s="49" t="s">
        <v>3366</v>
      </c>
      <c r="D488" s="49" t="s">
        <v>3367</v>
      </c>
      <c r="E488" s="49" t="s">
        <v>3368</v>
      </c>
      <c r="F488" s="49" t="s">
        <v>238</v>
      </c>
      <c r="G488" s="49" t="s">
        <v>238</v>
      </c>
      <c r="H488" s="54">
        <v>2.0</v>
      </c>
      <c r="I488" s="54">
        <v>2.0</v>
      </c>
      <c r="J488" s="49">
        <f t="shared" ref="J488:K488" si="977">LEN(SUBSTITUTE(SUBSTITUTE(SUBSTITUTE(B488 ,"ˈ",""),"d̠ʒ","ʒ"),"t̠ʃ","ʃ"))</f>
        <v>4</v>
      </c>
      <c r="K488" s="44">
        <f t="shared" si="977"/>
        <v>4</v>
      </c>
      <c r="L488" s="51">
        <f t="shared" ref="L488:M488" si="978">LEN(D488)-LEN(B488)+1</f>
        <v>2</v>
      </c>
      <c r="M488" s="51">
        <f t="shared" si="978"/>
        <v>2</v>
      </c>
      <c r="N488" s="51">
        <f t="shared" si="5"/>
        <v>0</v>
      </c>
      <c r="O488" s="51" t="str">
        <f t="shared" si="6"/>
        <v>Equal</v>
      </c>
      <c r="P488" s="51">
        <f t="shared" si="7"/>
        <v>0</v>
      </c>
      <c r="Q488" s="51" t="str">
        <f t="shared" si="8"/>
        <v>Equal</v>
      </c>
    </row>
    <row r="489">
      <c r="A489" s="48" t="s">
        <v>14</v>
      </c>
      <c r="B489" s="49" t="s">
        <v>3372</v>
      </c>
      <c r="C489" s="49" t="s">
        <v>3373</v>
      </c>
      <c r="D489" s="49" t="s">
        <v>3374</v>
      </c>
      <c r="E489" s="49" t="s">
        <v>3375</v>
      </c>
      <c r="F489" s="49" t="s">
        <v>108</v>
      </c>
      <c r="G489" s="49" t="s">
        <v>175</v>
      </c>
      <c r="H489" s="54">
        <v>1.0</v>
      </c>
      <c r="I489" s="54">
        <v>1.0</v>
      </c>
      <c r="J489" s="49">
        <f t="shared" ref="J489:K489" si="979">LEN(SUBSTITUTE(SUBSTITUTE(SUBSTITUTE(B489 ,"ˈ",""),"d̠ʒ","ʒ"),"t̠ʃ","ʃ"))</f>
        <v>6</v>
      </c>
      <c r="K489" s="44">
        <f t="shared" si="979"/>
        <v>6</v>
      </c>
      <c r="L489" s="51">
        <f t="shared" ref="L489:M489" si="980">LEN(D489)-LEN(B489)+1</f>
        <v>3</v>
      </c>
      <c r="M489" s="51">
        <f t="shared" si="980"/>
        <v>3</v>
      </c>
      <c r="N489" s="51">
        <f t="shared" si="5"/>
        <v>0</v>
      </c>
      <c r="O489" s="51" t="str">
        <f t="shared" si="6"/>
        <v>Equal</v>
      </c>
      <c r="P489" s="51">
        <f t="shared" si="7"/>
        <v>0</v>
      </c>
      <c r="Q489" s="51" t="str">
        <f t="shared" si="8"/>
        <v>Equal</v>
      </c>
    </row>
    <row r="490">
      <c r="A490" s="48" t="s">
        <v>14</v>
      </c>
      <c r="B490" s="49" t="s">
        <v>3378</v>
      </c>
      <c r="C490" s="49" t="s">
        <v>3379</v>
      </c>
      <c r="D490" s="49" t="s">
        <v>3380</v>
      </c>
      <c r="E490" s="49" t="s">
        <v>3381</v>
      </c>
      <c r="F490" s="49" t="s">
        <v>181</v>
      </c>
      <c r="G490" s="49" t="s">
        <v>428</v>
      </c>
      <c r="H490" s="54">
        <v>3.0</v>
      </c>
      <c r="I490" s="54">
        <v>2.0</v>
      </c>
      <c r="J490" s="49">
        <f t="shared" ref="J490:K490" si="981">LEN(SUBSTITUTE(SUBSTITUTE(SUBSTITUTE(B490 ,"ˈ",""),"d̠ʒ","ʒ"),"t̠ʃ","ʃ"))</f>
        <v>7</v>
      </c>
      <c r="K490" s="44">
        <f t="shared" si="981"/>
        <v>8</v>
      </c>
      <c r="L490" s="51">
        <f t="shared" ref="L490:M490" si="982">LEN(D490)-LEN(B490)+1</f>
        <v>3</v>
      </c>
      <c r="M490" s="51">
        <f t="shared" si="982"/>
        <v>2</v>
      </c>
      <c r="N490" s="51">
        <f t="shared" si="5"/>
        <v>-1</v>
      </c>
      <c r="O490" s="51" t="str">
        <f t="shared" si="6"/>
        <v>Target</v>
      </c>
      <c r="P490" s="51">
        <f t="shared" si="7"/>
        <v>1</v>
      </c>
      <c r="Q490" s="51" t="str">
        <f t="shared" si="8"/>
        <v>Source</v>
      </c>
    </row>
    <row r="491">
      <c r="A491" s="48" t="s">
        <v>14</v>
      </c>
      <c r="B491" s="49" t="s">
        <v>3384</v>
      </c>
      <c r="C491" s="49" t="s">
        <v>3385</v>
      </c>
      <c r="D491" s="49" t="s">
        <v>3386</v>
      </c>
      <c r="E491" s="49" t="s">
        <v>3387</v>
      </c>
      <c r="F491" s="49" t="s">
        <v>194</v>
      </c>
      <c r="G491" s="49" t="s">
        <v>810</v>
      </c>
      <c r="H491" s="54">
        <v>1.0</v>
      </c>
      <c r="I491" s="54">
        <v>1.0</v>
      </c>
      <c r="J491" s="49">
        <f t="shared" ref="J491:K491" si="983">LEN(SUBSTITUTE(SUBSTITUTE(SUBSTITUTE(B491 ,"ˈ",""),"d̠ʒ","ʒ"),"t̠ʃ","ʃ"))</f>
        <v>4</v>
      </c>
      <c r="K491" s="44">
        <f t="shared" si="983"/>
        <v>4</v>
      </c>
      <c r="L491" s="51">
        <f t="shared" ref="L491:M491" si="984">LEN(D491)-LEN(B491)+1</f>
        <v>2</v>
      </c>
      <c r="M491" s="51">
        <f t="shared" si="984"/>
        <v>2</v>
      </c>
      <c r="N491" s="51">
        <f t="shared" si="5"/>
        <v>0</v>
      </c>
      <c r="O491" s="51" t="str">
        <f t="shared" si="6"/>
        <v>Equal</v>
      </c>
      <c r="P491" s="51">
        <f t="shared" si="7"/>
        <v>0</v>
      </c>
      <c r="Q491" s="51" t="str">
        <f t="shared" si="8"/>
        <v>Equal</v>
      </c>
    </row>
    <row r="492">
      <c r="A492" s="48" t="s">
        <v>14</v>
      </c>
      <c r="B492" s="49" t="s">
        <v>3390</v>
      </c>
      <c r="C492" s="49" t="s">
        <v>3391</v>
      </c>
      <c r="D492" s="49" t="s">
        <v>3392</v>
      </c>
      <c r="E492" s="49" t="s">
        <v>3393</v>
      </c>
      <c r="F492" s="49" t="s">
        <v>840</v>
      </c>
      <c r="G492" s="49" t="s">
        <v>840</v>
      </c>
      <c r="H492" s="54">
        <v>2.0</v>
      </c>
      <c r="I492" s="54">
        <v>2.0</v>
      </c>
      <c r="J492" s="49">
        <f t="shared" ref="J492:K492" si="985">LEN(SUBSTITUTE(SUBSTITUTE(SUBSTITUTE(B492 ,"ˈ",""),"d̠ʒ","ʒ"),"t̠ʃ","ʃ"))</f>
        <v>4</v>
      </c>
      <c r="K492" s="44">
        <f t="shared" si="985"/>
        <v>4</v>
      </c>
      <c r="L492" s="51">
        <f t="shared" ref="L492:M492" si="986">LEN(D492)-LEN(B492)+1</f>
        <v>2</v>
      </c>
      <c r="M492" s="51">
        <f t="shared" si="986"/>
        <v>2</v>
      </c>
      <c r="N492" s="51">
        <f t="shared" si="5"/>
        <v>0</v>
      </c>
      <c r="O492" s="51" t="str">
        <f t="shared" si="6"/>
        <v>Equal</v>
      </c>
      <c r="P492" s="51">
        <f t="shared" si="7"/>
        <v>0</v>
      </c>
      <c r="Q492" s="51" t="str">
        <f t="shared" si="8"/>
        <v>Equal</v>
      </c>
    </row>
    <row r="493">
      <c r="A493" s="48" t="s">
        <v>14</v>
      </c>
      <c r="B493" s="49" t="s">
        <v>3396</v>
      </c>
      <c r="C493" s="49" t="s">
        <v>3397</v>
      </c>
      <c r="D493" s="49" t="s">
        <v>3398</v>
      </c>
      <c r="E493" s="49" t="s">
        <v>3399</v>
      </c>
      <c r="F493" s="49" t="s">
        <v>244</v>
      </c>
      <c r="G493" s="49" t="s">
        <v>1686</v>
      </c>
      <c r="H493" s="54">
        <v>1.0</v>
      </c>
      <c r="I493" s="54">
        <v>1.0</v>
      </c>
      <c r="J493" s="49">
        <f t="shared" ref="J493:K493" si="987">LEN(SUBSTITUTE(SUBSTITUTE(SUBSTITUTE(B493 ,"ˈ",""),"d̠ʒ","ʒ"),"t̠ʃ","ʃ"))</f>
        <v>4</v>
      </c>
      <c r="K493" s="44">
        <f t="shared" si="987"/>
        <v>5</v>
      </c>
      <c r="L493" s="51">
        <f t="shared" ref="L493:M493" si="988">LEN(D493)-LEN(B493)+1</f>
        <v>2</v>
      </c>
      <c r="M493" s="51">
        <f t="shared" si="988"/>
        <v>2</v>
      </c>
      <c r="N493" s="51">
        <f t="shared" si="5"/>
        <v>-1</v>
      </c>
      <c r="O493" s="51" t="str">
        <f t="shared" si="6"/>
        <v>Target</v>
      </c>
      <c r="P493" s="51">
        <f t="shared" si="7"/>
        <v>0</v>
      </c>
      <c r="Q493" s="51" t="str">
        <f t="shared" si="8"/>
        <v>Equal</v>
      </c>
    </row>
    <row r="494">
      <c r="A494" s="48" t="s">
        <v>14</v>
      </c>
      <c r="B494" s="49" t="s">
        <v>3403</v>
      </c>
      <c r="C494" s="49" t="s">
        <v>3404</v>
      </c>
      <c r="D494" s="49" t="s">
        <v>3405</v>
      </c>
      <c r="E494" s="49" t="s">
        <v>3406</v>
      </c>
      <c r="F494" s="49" t="s">
        <v>116</v>
      </c>
      <c r="G494" s="49" t="s">
        <v>116</v>
      </c>
      <c r="H494" s="54">
        <v>2.0</v>
      </c>
      <c r="I494" s="54">
        <v>2.0</v>
      </c>
      <c r="J494" s="49">
        <f t="shared" ref="J494:K494" si="989">LEN(SUBSTITUTE(SUBSTITUTE(SUBSTITUTE(B494 ,"ˈ",""),"d̠ʒ","ʒ"),"t̠ʃ","ʃ"))</f>
        <v>4</v>
      </c>
      <c r="K494" s="44">
        <f t="shared" si="989"/>
        <v>4</v>
      </c>
      <c r="L494" s="51">
        <f t="shared" ref="L494:M494" si="990">LEN(D494)-LEN(B494)+1</f>
        <v>2</v>
      </c>
      <c r="M494" s="51">
        <f t="shared" si="990"/>
        <v>2</v>
      </c>
      <c r="N494" s="51">
        <f t="shared" si="5"/>
        <v>0</v>
      </c>
      <c r="O494" s="51" t="str">
        <f t="shared" si="6"/>
        <v>Equal</v>
      </c>
      <c r="P494" s="51">
        <f t="shared" si="7"/>
        <v>0</v>
      </c>
      <c r="Q494" s="51" t="str">
        <f t="shared" si="8"/>
        <v>Equal</v>
      </c>
    </row>
    <row r="495">
      <c r="A495" s="48" t="s">
        <v>14</v>
      </c>
      <c r="B495" s="49" t="s">
        <v>3409</v>
      </c>
      <c r="C495" s="49" t="s">
        <v>3410</v>
      </c>
      <c r="D495" s="49" t="s">
        <v>3411</v>
      </c>
      <c r="E495" s="49" t="s">
        <v>3412</v>
      </c>
      <c r="F495" s="49" t="s">
        <v>55</v>
      </c>
      <c r="G495" s="49" t="s">
        <v>56</v>
      </c>
      <c r="H495" s="54">
        <v>1.0</v>
      </c>
      <c r="I495" s="54">
        <v>1.0</v>
      </c>
      <c r="J495" s="49">
        <f t="shared" ref="J495:K495" si="991">LEN(SUBSTITUTE(SUBSTITUTE(SUBSTITUTE(B495 ,"ˈ",""),"d̠ʒ","ʒ"),"t̠ʃ","ʃ"))</f>
        <v>6</v>
      </c>
      <c r="K495" s="44">
        <f t="shared" si="991"/>
        <v>6</v>
      </c>
      <c r="L495" s="51">
        <f t="shared" ref="L495:M495" si="992">LEN(D495)-LEN(B495)+1</f>
        <v>3</v>
      </c>
      <c r="M495" s="51">
        <f t="shared" si="992"/>
        <v>3</v>
      </c>
      <c r="N495" s="51">
        <f t="shared" si="5"/>
        <v>0</v>
      </c>
      <c r="O495" s="51" t="str">
        <f t="shared" si="6"/>
        <v>Equal</v>
      </c>
      <c r="P495" s="51">
        <f t="shared" si="7"/>
        <v>0</v>
      </c>
      <c r="Q495" s="51" t="str">
        <f t="shared" si="8"/>
        <v>Equal</v>
      </c>
    </row>
    <row r="496">
      <c r="A496" s="48" t="s">
        <v>14</v>
      </c>
      <c r="B496" s="49" t="s">
        <v>3415</v>
      </c>
      <c r="C496" s="49" t="s">
        <v>3416</v>
      </c>
      <c r="D496" s="49" t="s">
        <v>3706</v>
      </c>
      <c r="E496" s="49" t="s">
        <v>3418</v>
      </c>
      <c r="F496" s="49" t="s">
        <v>175</v>
      </c>
      <c r="G496" s="49" t="s">
        <v>175</v>
      </c>
      <c r="H496" s="54">
        <v>2.0</v>
      </c>
      <c r="I496" s="54">
        <v>3.0</v>
      </c>
      <c r="J496" s="49">
        <f t="shared" ref="J496:K496" si="993">LEN(SUBSTITUTE(SUBSTITUTE(SUBSTITUTE(B496 ,"ˈ",""),"d̠ʒ","ʒ"),"t̠ʃ","ʃ"))</f>
        <v>5</v>
      </c>
      <c r="K496" s="44">
        <f t="shared" si="993"/>
        <v>6</v>
      </c>
      <c r="L496" s="51">
        <f t="shared" ref="L496:M496" si="994">LEN(D496)-LEN(B496)+1</f>
        <v>2</v>
      </c>
      <c r="M496" s="51">
        <f t="shared" si="994"/>
        <v>3</v>
      </c>
      <c r="N496" s="51">
        <f t="shared" si="5"/>
        <v>-1</v>
      </c>
      <c r="O496" s="51" t="str">
        <f t="shared" si="6"/>
        <v>Target</v>
      </c>
      <c r="P496" s="51">
        <f t="shared" si="7"/>
        <v>-1</v>
      </c>
      <c r="Q496" s="51" t="str">
        <f t="shared" si="8"/>
        <v>Target</v>
      </c>
    </row>
    <row r="497">
      <c r="A497" s="48" t="s">
        <v>14</v>
      </c>
      <c r="B497" s="49" t="s">
        <v>3421</v>
      </c>
      <c r="C497" s="49" t="s">
        <v>3422</v>
      </c>
      <c r="D497" s="49" t="s">
        <v>3423</v>
      </c>
      <c r="E497" s="49" t="s">
        <v>3424</v>
      </c>
      <c r="F497" s="49" t="s">
        <v>386</v>
      </c>
      <c r="G497" s="49" t="s">
        <v>190</v>
      </c>
      <c r="H497" s="54">
        <v>1.0</v>
      </c>
      <c r="I497" s="54">
        <v>1.0</v>
      </c>
      <c r="J497" s="49">
        <f t="shared" ref="J497:K497" si="995">LEN(SUBSTITUTE(SUBSTITUTE(SUBSTITUTE(B497 ,"ˈ",""),"d̠ʒ","ʒ"),"t̠ʃ","ʃ"))</f>
        <v>5</v>
      </c>
      <c r="K497" s="44">
        <f t="shared" si="995"/>
        <v>7</v>
      </c>
      <c r="L497" s="51">
        <f t="shared" ref="L497:M497" si="996">LEN(D497)-LEN(B497)+1</f>
        <v>2</v>
      </c>
      <c r="M497" s="51">
        <f t="shared" si="996"/>
        <v>2</v>
      </c>
      <c r="N497" s="51">
        <f t="shared" si="5"/>
        <v>-2</v>
      </c>
      <c r="O497" s="51" t="str">
        <f t="shared" si="6"/>
        <v>Target</v>
      </c>
      <c r="P497" s="51">
        <f t="shared" si="7"/>
        <v>0</v>
      </c>
      <c r="Q497" s="51" t="str">
        <f t="shared" si="8"/>
        <v>Equal</v>
      </c>
    </row>
    <row r="498">
      <c r="A498" s="48" t="s">
        <v>14</v>
      </c>
      <c r="B498" s="49" t="s">
        <v>2092</v>
      </c>
      <c r="C498" s="49" t="s">
        <v>3428</v>
      </c>
      <c r="D498" s="49" t="s">
        <v>2092</v>
      </c>
      <c r="E498" s="49" t="s">
        <v>3429</v>
      </c>
      <c r="F498" s="49" t="s">
        <v>36</v>
      </c>
      <c r="G498" s="49" t="s">
        <v>1234</v>
      </c>
      <c r="H498" s="54" t="s">
        <v>36</v>
      </c>
      <c r="I498" s="58">
        <v>6.0</v>
      </c>
      <c r="J498" s="49">
        <f t="shared" ref="J498:K498" si="997">LEN(SUBSTITUTE(SUBSTITUTE(SUBSTITUTE(B498 ,"ˈ",""),"d̠ʒ","ʒ"),"t̠ʃ","ʃ"))</f>
        <v>2</v>
      </c>
      <c r="K498" s="44">
        <f t="shared" si="997"/>
        <v>15</v>
      </c>
      <c r="L498" s="51">
        <f t="shared" ref="L498:M498" si="998">LEN(D498)-LEN(B498)+1</f>
        <v>1</v>
      </c>
      <c r="M498" s="51">
        <f t="shared" si="998"/>
        <v>4</v>
      </c>
      <c r="N498" s="51">
        <f t="shared" si="5"/>
        <v>-13</v>
      </c>
      <c r="O498" s="51" t="str">
        <f t="shared" si="6"/>
        <v>Target</v>
      </c>
      <c r="P498" s="51">
        <f t="shared" si="7"/>
        <v>-3</v>
      </c>
      <c r="Q498" s="51" t="str">
        <f t="shared" si="8"/>
        <v>Target</v>
      </c>
    </row>
    <row r="499">
      <c r="A499" s="48" t="s">
        <v>14</v>
      </c>
      <c r="B499" s="49" t="s">
        <v>3432</v>
      </c>
      <c r="C499" s="49" t="s">
        <v>3433</v>
      </c>
      <c r="D499" s="49" t="s">
        <v>3434</v>
      </c>
      <c r="E499" s="49" t="s">
        <v>3435</v>
      </c>
      <c r="F499" s="49" t="s">
        <v>3436</v>
      </c>
      <c r="G499" s="49" t="s">
        <v>3437</v>
      </c>
      <c r="H499" s="54">
        <v>1.0</v>
      </c>
      <c r="I499" s="54">
        <v>1.0</v>
      </c>
      <c r="J499" s="49">
        <f t="shared" ref="J499:K499" si="999">LEN(SUBSTITUTE(SUBSTITUTE(SUBSTITUTE(B499 ,"ˈ",""),"d̠ʒ","ʒ"),"t̠ʃ","ʃ"))</f>
        <v>7</v>
      </c>
      <c r="K499" s="44">
        <f t="shared" si="999"/>
        <v>8</v>
      </c>
      <c r="L499" s="51">
        <f t="shared" ref="L499:M499" si="1000">LEN(D499)-LEN(B499)+1</f>
        <v>3</v>
      </c>
      <c r="M499" s="51">
        <f t="shared" si="1000"/>
        <v>3</v>
      </c>
      <c r="N499" s="51">
        <f t="shared" si="5"/>
        <v>-1</v>
      </c>
      <c r="O499" s="51" t="str">
        <f t="shared" si="6"/>
        <v>Target</v>
      </c>
      <c r="P499" s="51">
        <f t="shared" si="7"/>
        <v>0</v>
      </c>
      <c r="Q499" s="51" t="str">
        <f t="shared" si="8"/>
        <v>Equal</v>
      </c>
    </row>
    <row r="500">
      <c r="A500" s="48" t="s">
        <v>14</v>
      </c>
      <c r="B500" s="49" t="s">
        <v>3439</v>
      </c>
      <c r="C500" s="49" t="s">
        <v>3440</v>
      </c>
      <c r="D500" s="49" t="s">
        <v>3441</v>
      </c>
      <c r="E500" s="49" t="s">
        <v>3442</v>
      </c>
      <c r="F500" s="49" t="s">
        <v>629</v>
      </c>
      <c r="G500" s="49" t="s">
        <v>3444</v>
      </c>
      <c r="H500" s="54">
        <v>3.0</v>
      </c>
      <c r="I500" s="54">
        <v>3.0</v>
      </c>
      <c r="J500" s="49">
        <f t="shared" ref="J500:K500" si="1001">LEN(SUBSTITUTE(SUBSTITUTE(SUBSTITUTE(B500 ,"ˈ",""),"d̠ʒ","ʒ"),"t̠ʃ","ʃ"))</f>
        <v>6</v>
      </c>
      <c r="K500" s="44">
        <f t="shared" si="1001"/>
        <v>8</v>
      </c>
      <c r="L500" s="51">
        <f t="shared" ref="L500:M500" si="1002">LEN(D500)-LEN(B500)+1</f>
        <v>3</v>
      </c>
      <c r="M500" s="51">
        <f t="shared" si="1002"/>
        <v>3</v>
      </c>
      <c r="N500" s="51">
        <f t="shared" si="5"/>
        <v>-2</v>
      </c>
      <c r="O500" s="51" t="str">
        <f t="shared" si="6"/>
        <v>Target</v>
      </c>
      <c r="P500" s="51">
        <f t="shared" si="7"/>
        <v>0</v>
      </c>
      <c r="Q500" s="51" t="str">
        <f t="shared" si="8"/>
        <v>Equal</v>
      </c>
    </row>
    <row r="501">
      <c r="A501" s="48" t="s">
        <v>14</v>
      </c>
      <c r="B501" s="49" t="s">
        <v>3445</v>
      </c>
      <c r="C501" s="49" t="s">
        <v>3446</v>
      </c>
      <c r="D501" s="49" t="s">
        <v>3447</v>
      </c>
      <c r="E501" s="49" t="s">
        <v>3448</v>
      </c>
      <c r="F501" s="49" t="s">
        <v>2013</v>
      </c>
      <c r="G501" s="49" t="s">
        <v>3449</v>
      </c>
      <c r="H501" s="54">
        <v>1.0</v>
      </c>
      <c r="I501" s="54">
        <v>1.0</v>
      </c>
      <c r="J501" s="49">
        <f t="shared" ref="J501:K501" si="1003">LEN(SUBSTITUTE(SUBSTITUTE(SUBSTITUTE(B501 ,"ˈ",""),"d̠ʒ","ʒ"),"t̠ʃ","ʃ"))</f>
        <v>7</v>
      </c>
      <c r="K501" s="44">
        <f t="shared" si="1003"/>
        <v>9</v>
      </c>
      <c r="L501" s="51">
        <f t="shared" ref="L501:M501" si="1004">LEN(D501)-LEN(B501)+1</f>
        <v>3</v>
      </c>
      <c r="M501" s="51">
        <f t="shared" si="1004"/>
        <v>3</v>
      </c>
      <c r="N501" s="51">
        <f t="shared" si="5"/>
        <v>-2</v>
      </c>
      <c r="O501" s="51" t="str">
        <f t="shared" si="6"/>
        <v>Target</v>
      </c>
      <c r="P501" s="51">
        <f t="shared" si="7"/>
        <v>0</v>
      </c>
      <c r="Q501" s="51" t="str">
        <f t="shared" si="8"/>
        <v>Equal</v>
      </c>
    </row>
    <row r="502">
      <c r="A502" s="48" t="s">
        <v>14</v>
      </c>
      <c r="B502" s="49" t="s">
        <v>3707</v>
      </c>
      <c r="C502" s="49" t="s">
        <v>3708</v>
      </c>
      <c r="D502" s="49" t="s">
        <v>3454</v>
      </c>
      <c r="E502" s="49" t="s">
        <v>3709</v>
      </c>
      <c r="F502" s="49" t="s">
        <v>629</v>
      </c>
      <c r="G502" s="49" t="s">
        <v>387</v>
      </c>
      <c r="H502" s="54">
        <v>4.0</v>
      </c>
      <c r="I502" s="54">
        <v>4.0</v>
      </c>
      <c r="J502" s="49">
        <f t="shared" ref="J502:K502" si="1005">LEN(SUBSTITUTE(SUBSTITUTE(SUBSTITUTE(B502 ,"ˈ",""),"d̠ʒ","ʒ"),"t̠ʃ","ʃ"))</f>
        <v>9</v>
      </c>
      <c r="K502" s="44">
        <f t="shared" si="1005"/>
        <v>8</v>
      </c>
      <c r="L502" s="51">
        <f t="shared" ref="L502:M502" si="1006">LEN(D502)-LEN(B502)+1</f>
        <v>3</v>
      </c>
      <c r="M502" s="51">
        <f t="shared" si="1006"/>
        <v>4</v>
      </c>
      <c r="N502" s="51">
        <f t="shared" si="5"/>
        <v>1</v>
      </c>
      <c r="O502" s="51" t="str">
        <f t="shared" si="6"/>
        <v>Source</v>
      </c>
      <c r="P502" s="51">
        <f t="shared" si="7"/>
        <v>-1</v>
      </c>
      <c r="Q502" s="51" t="str">
        <f t="shared" si="8"/>
        <v>Target</v>
      </c>
    </row>
    <row r="503">
      <c r="A503" s="48" t="s">
        <v>14</v>
      </c>
      <c r="B503" s="49" t="s">
        <v>3460</v>
      </c>
      <c r="C503" s="49" t="s">
        <v>3461</v>
      </c>
      <c r="D503" s="49" t="s">
        <v>3460</v>
      </c>
      <c r="E503" s="49" t="s">
        <v>3462</v>
      </c>
      <c r="F503" s="49" t="s">
        <v>3460</v>
      </c>
      <c r="G503" s="49" t="s">
        <v>172</v>
      </c>
      <c r="H503" s="54">
        <v>1.0</v>
      </c>
      <c r="I503" s="54">
        <v>1.0</v>
      </c>
      <c r="J503" s="49">
        <f t="shared" ref="J503:K503" si="1007">LEN(SUBSTITUTE(SUBSTITUTE(SUBSTITUTE(B503 ,"ˈ",""),"d̠ʒ","ʒ"),"t̠ʃ","ʃ"))</f>
        <v>3</v>
      </c>
      <c r="K503" s="44">
        <f t="shared" si="1007"/>
        <v>7</v>
      </c>
      <c r="L503" s="51">
        <f t="shared" ref="L503:M503" si="1008">LEN(D503)-LEN(B503)+1</f>
        <v>1</v>
      </c>
      <c r="M503" s="51">
        <f t="shared" si="1008"/>
        <v>3</v>
      </c>
      <c r="N503" s="51">
        <f t="shared" si="5"/>
        <v>-4</v>
      </c>
      <c r="O503" s="51" t="str">
        <f t="shared" si="6"/>
        <v>Target</v>
      </c>
      <c r="P503" s="51">
        <f t="shared" si="7"/>
        <v>-2</v>
      </c>
      <c r="Q503" s="51" t="str">
        <f t="shared" si="8"/>
        <v>Target</v>
      </c>
    </row>
    <row r="504">
      <c r="A504" s="48" t="s">
        <v>14</v>
      </c>
      <c r="B504" s="49" t="s">
        <v>3466</v>
      </c>
      <c r="C504" s="49" t="s">
        <v>3467</v>
      </c>
      <c r="D504" s="49" t="s">
        <v>3468</v>
      </c>
      <c r="E504" s="49" t="s">
        <v>3469</v>
      </c>
      <c r="F504" s="49" t="s">
        <v>2279</v>
      </c>
      <c r="G504" s="49" t="s">
        <v>3471</v>
      </c>
      <c r="H504" s="54">
        <v>2.0</v>
      </c>
      <c r="I504" s="54">
        <v>2.0</v>
      </c>
      <c r="J504" s="49">
        <f t="shared" ref="J504:K504" si="1009">LEN(SUBSTITUTE(SUBSTITUTE(SUBSTITUTE(B504 ,"ˈ",""),"d̠ʒ","ʒ"),"t̠ʃ","ʃ"))</f>
        <v>4</v>
      </c>
      <c r="K504" s="44">
        <f t="shared" si="1009"/>
        <v>5</v>
      </c>
      <c r="L504" s="51">
        <f t="shared" ref="L504:M504" si="1010">LEN(D504)-LEN(B504)+1</f>
        <v>2</v>
      </c>
      <c r="M504" s="51">
        <f t="shared" si="1010"/>
        <v>2</v>
      </c>
      <c r="N504" s="51">
        <f t="shared" si="5"/>
        <v>-1</v>
      </c>
      <c r="O504" s="51" t="str">
        <f t="shared" si="6"/>
        <v>Target</v>
      </c>
      <c r="P504" s="51">
        <f t="shared" si="7"/>
        <v>0</v>
      </c>
      <c r="Q504" s="51" t="str">
        <f t="shared" si="8"/>
        <v>Equal</v>
      </c>
    </row>
    <row r="505">
      <c r="A505" s="48" t="s">
        <v>14</v>
      </c>
      <c r="B505" s="49" t="s">
        <v>3472</v>
      </c>
      <c r="C505" s="49" t="s">
        <v>3473</v>
      </c>
      <c r="D505" s="49" t="s">
        <v>3474</v>
      </c>
      <c r="E505" s="49" t="s">
        <v>3475</v>
      </c>
      <c r="F505" s="49" t="s">
        <v>1210</v>
      </c>
      <c r="G505" s="49" t="s">
        <v>1217</v>
      </c>
      <c r="H505" s="54">
        <v>1.0</v>
      </c>
      <c r="I505" s="54">
        <v>1.0</v>
      </c>
      <c r="J505" s="49">
        <f t="shared" ref="J505:K505" si="1011">LEN(SUBSTITUTE(SUBSTITUTE(SUBSTITUTE(B505 ,"ˈ",""),"d̠ʒ","ʒ"),"t̠ʃ","ʃ"))</f>
        <v>6</v>
      </c>
      <c r="K505" s="44">
        <f t="shared" si="1011"/>
        <v>7</v>
      </c>
      <c r="L505" s="51">
        <f t="shared" ref="L505:M505" si="1012">LEN(D505)-LEN(B505)+1</f>
        <v>3</v>
      </c>
      <c r="M505" s="51">
        <f t="shared" si="1012"/>
        <v>3</v>
      </c>
      <c r="N505" s="51">
        <f t="shared" si="5"/>
        <v>-1</v>
      </c>
      <c r="O505" s="51" t="str">
        <f t="shared" si="6"/>
        <v>Target</v>
      </c>
      <c r="P505" s="51">
        <f t="shared" si="7"/>
        <v>0</v>
      </c>
      <c r="Q505" s="51" t="str">
        <f t="shared" si="8"/>
        <v>Equal</v>
      </c>
    </row>
    <row r="506">
      <c r="A506" s="48" t="s">
        <v>14</v>
      </c>
      <c r="B506" s="49" t="s">
        <v>3478</v>
      </c>
      <c r="C506" s="49" t="s">
        <v>3479</v>
      </c>
      <c r="D506" s="49" t="s">
        <v>3480</v>
      </c>
      <c r="E506" s="49" t="s">
        <v>3481</v>
      </c>
      <c r="F506" s="49" t="s">
        <v>1830</v>
      </c>
      <c r="G506" s="49" t="s">
        <v>1899</v>
      </c>
      <c r="H506" s="54">
        <v>2.0</v>
      </c>
      <c r="I506" s="54">
        <v>3.0</v>
      </c>
      <c r="J506" s="49">
        <f t="shared" ref="J506:K506" si="1013">LEN(SUBSTITUTE(SUBSTITUTE(SUBSTITUTE(B506 ,"ˈ",""),"d̠ʒ","ʒ"),"t̠ʃ","ʃ"))</f>
        <v>5</v>
      </c>
      <c r="K506" s="44">
        <f t="shared" si="1013"/>
        <v>6</v>
      </c>
      <c r="L506" s="51">
        <f t="shared" ref="L506:M506" si="1014">LEN(D506)-LEN(B506)+1</f>
        <v>2</v>
      </c>
      <c r="M506" s="51">
        <f t="shared" si="1014"/>
        <v>3</v>
      </c>
      <c r="N506" s="51">
        <f t="shared" si="5"/>
        <v>-1</v>
      </c>
      <c r="O506" s="51" t="str">
        <f t="shared" si="6"/>
        <v>Target</v>
      </c>
      <c r="P506" s="51">
        <f t="shared" si="7"/>
        <v>-1</v>
      </c>
      <c r="Q506" s="51" t="str">
        <f t="shared" si="8"/>
        <v>Target</v>
      </c>
    </row>
    <row r="507">
      <c r="A507" s="48" t="s">
        <v>14</v>
      </c>
      <c r="B507" s="49" t="s">
        <v>3484</v>
      </c>
      <c r="C507" s="49" t="s">
        <v>3485</v>
      </c>
      <c r="D507" s="49" t="s">
        <v>3486</v>
      </c>
      <c r="E507" s="49" t="s">
        <v>3487</v>
      </c>
      <c r="F507" s="49" t="s">
        <v>131</v>
      </c>
      <c r="G507" s="49" t="s">
        <v>132</v>
      </c>
      <c r="H507" s="54">
        <v>1.0</v>
      </c>
      <c r="I507" s="54">
        <v>1.0</v>
      </c>
      <c r="J507" s="49">
        <f t="shared" ref="J507:K507" si="1015">LEN(SUBSTITUTE(SUBSTITUTE(SUBSTITUTE(B507 ,"ˈ",""),"d̠ʒ","ʒ"),"t̠ʃ","ʃ"))</f>
        <v>4</v>
      </c>
      <c r="K507" s="44">
        <f t="shared" si="1015"/>
        <v>5</v>
      </c>
      <c r="L507" s="51">
        <f t="shared" ref="L507:M507" si="1016">LEN(D507)-LEN(B507)+1</f>
        <v>2</v>
      </c>
      <c r="M507" s="51">
        <f t="shared" si="1016"/>
        <v>2</v>
      </c>
      <c r="N507" s="51">
        <f t="shared" si="5"/>
        <v>-1</v>
      </c>
      <c r="O507" s="51" t="str">
        <f t="shared" si="6"/>
        <v>Target</v>
      </c>
      <c r="P507" s="51">
        <f t="shared" si="7"/>
        <v>0</v>
      </c>
      <c r="Q507" s="51" t="str">
        <f t="shared" si="8"/>
        <v>Equal</v>
      </c>
    </row>
    <row r="508">
      <c r="A508" s="48" t="s">
        <v>14</v>
      </c>
      <c r="B508" s="49" t="s">
        <v>3490</v>
      </c>
      <c r="C508" s="49" t="s">
        <v>3491</v>
      </c>
      <c r="D508" s="49" t="s">
        <v>3492</v>
      </c>
      <c r="E508" s="49" t="s">
        <v>3493</v>
      </c>
      <c r="F508" s="49" t="s">
        <v>784</v>
      </c>
      <c r="G508" s="49" t="s">
        <v>784</v>
      </c>
      <c r="H508" s="54">
        <v>4.0</v>
      </c>
      <c r="I508" s="54">
        <v>4.0</v>
      </c>
      <c r="J508" s="49">
        <f t="shared" ref="J508:K508" si="1017">LEN(SUBSTITUTE(SUBSTITUTE(SUBSTITUTE(B508 ,"ˈ",""),"d̠ʒ","ʒ"),"t̠ʃ","ʃ"))</f>
        <v>9</v>
      </c>
      <c r="K508" s="44">
        <f t="shared" si="1017"/>
        <v>9</v>
      </c>
      <c r="L508" s="51">
        <f t="shared" ref="L508:M508" si="1018">LEN(D508)-LEN(B508)+1</f>
        <v>4</v>
      </c>
      <c r="M508" s="51">
        <f t="shared" si="1018"/>
        <v>4</v>
      </c>
      <c r="N508" s="51">
        <f t="shared" si="5"/>
        <v>0</v>
      </c>
      <c r="O508" s="51" t="str">
        <f t="shared" si="6"/>
        <v>Equal</v>
      </c>
      <c r="P508" s="51">
        <f t="shared" si="7"/>
        <v>0</v>
      </c>
      <c r="Q508" s="51" t="str">
        <f t="shared" si="8"/>
        <v>Equal</v>
      </c>
    </row>
    <row r="509">
      <c r="A509" s="48" t="s">
        <v>14</v>
      </c>
      <c r="B509" s="49" t="s">
        <v>3496</v>
      </c>
      <c r="C509" s="49" t="s">
        <v>3497</v>
      </c>
      <c r="D509" s="49" t="s">
        <v>3498</v>
      </c>
      <c r="E509" s="49" t="s">
        <v>3499</v>
      </c>
      <c r="F509" s="49" t="s">
        <v>471</v>
      </c>
      <c r="G509" s="49" t="s">
        <v>143</v>
      </c>
      <c r="H509" s="54">
        <v>1.0</v>
      </c>
      <c r="I509" s="54">
        <v>1.0</v>
      </c>
      <c r="J509" s="49">
        <f t="shared" ref="J509:K509" si="1019">LEN(SUBSTITUTE(SUBSTITUTE(SUBSTITUTE(B509 ,"ˈ",""),"d̠ʒ","ʒ"),"t̠ʃ","ʃ"))</f>
        <v>5</v>
      </c>
      <c r="K509" s="44">
        <f t="shared" si="1019"/>
        <v>6</v>
      </c>
      <c r="L509" s="51">
        <f t="shared" ref="L509:M509" si="1020">LEN(D509)-LEN(B509)+1</f>
        <v>3</v>
      </c>
      <c r="M509" s="51">
        <f t="shared" si="1020"/>
        <v>3</v>
      </c>
      <c r="N509" s="51">
        <f t="shared" si="5"/>
        <v>-1</v>
      </c>
      <c r="O509" s="51" t="str">
        <f t="shared" si="6"/>
        <v>Target</v>
      </c>
      <c r="P509" s="51">
        <f t="shared" si="7"/>
        <v>0</v>
      </c>
      <c r="Q509" s="51" t="str">
        <f t="shared" si="8"/>
        <v>Equal</v>
      </c>
    </row>
    <row r="510">
      <c r="A510" s="48" t="s">
        <v>14</v>
      </c>
      <c r="B510" s="49" t="s">
        <v>3502</v>
      </c>
      <c r="C510" s="49" t="s">
        <v>3503</v>
      </c>
      <c r="D510" s="49" t="s">
        <v>3504</v>
      </c>
      <c r="E510" s="49" t="s">
        <v>3505</v>
      </c>
      <c r="F510" s="49" t="s">
        <v>181</v>
      </c>
      <c r="G510" s="49" t="s">
        <v>428</v>
      </c>
      <c r="H510" s="54">
        <v>2.0</v>
      </c>
      <c r="I510" s="54">
        <v>2.0</v>
      </c>
      <c r="J510" s="49">
        <f t="shared" ref="J510:K510" si="1021">LEN(SUBSTITUTE(SUBSTITUTE(SUBSTITUTE(B510 ,"ˈ",""),"d̠ʒ","ʒ"),"t̠ʃ","ʃ"))</f>
        <v>5</v>
      </c>
      <c r="K510" s="44">
        <f t="shared" si="1021"/>
        <v>7</v>
      </c>
      <c r="L510" s="51">
        <f t="shared" ref="L510:M510" si="1022">LEN(D510)-LEN(B510)+1</f>
        <v>2</v>
      </c>
      <c r="M510" s="51">
        <f t="shared" si="1022"/>
        <v>2</v>
      </c>
      <c r="N510" s="51">
        <f t="shared" si="5"/>
        <v>-2</v>
      </c>
      <c r="O510" s="51" t="str">
        <f t="shared" si="6"/>
        <v>Target</v>
      </c>
      <c r="P510" s="51">
        <f t="shared" si="7"/>
        <v>0</v>
      </c>
      <c r="Q510" s="51" t="str">
        <f t="shared" si="8"/>
        <v>Equal</v>
      </c>
    </row>
    <row r="511">
      <c r="A511" s="48" t="s">
        <v>14</v>
      </c>
      <c r="B511" s="49" t="s">
        <v>3508</v>
      </c>
      <c r="C511" s="49" t="s">
        <v>3509</v>
      </c>
      <c r="D511" s="49" t="s">
        <v>3510</v>
      </c>
      <c r="E511" s="49" t="s">
        <v>3511</v>
      </c>
      <c r="F511" s="49" t="s">
        <v>623</v>
      </c>
      <c r="G511" s="49" t="s">
        <v>623</v>
      </c>
      <c r="H511" s="54">
        <v>1.0</v>
      </c>
      <c r="I511" s="54">
        <v>1.0</v>
      </c>
      <c r="J511" s="49">
        <f t="shared" ref="J511:K511" si="1023">LEN(SUBSTITUTE(SUBSTITUTE(SUBSTITUTE(B511 ,"ˈ",""),"d̠ʒ","ʒ"),"t̠ʃ","ʃ"))</f>
        <v>4</v>
      </c>
      <c r="K511" s="44">
        <f t="shared" si="1023"/>
        <v>5</v>
      </c>
      <c r="L511" s="51">
        <f t="shared" ref="L511:M511" si="1024">LEN(D511)-LEN(B511)+1</f>
        <v>2</v>
      </c>
      <c r="M511" s="51">
        <f t="shared" si="1024"/>
        <v>2</v>
      </c>
      <c r="N511" s="51">
        <f t="shared" si="5"/>
        <v>-1</v>
      </c>
      <c r="O511" s="51" t="str">
        <f t="shared" si="6"/>
        <v>Target</v>
      </c>
      <c r="P511" s="51">
        <f t="shared" si="7"/>
        <v>0</v>
      </c>
      <c r="Q511" s="51" t="str">
        <f t="shared" si="8"/>
        <v>Equal</v>
      </c>
    </row>
    <row r="512">
      <c r="A512" s="48" t="s">
        <v>14</v>
      </c>
      <c r="B512" s="49" t="s">
        <v>3515</v>
      </c>
      <c r="C512" s="49" t="s">
        <v>3516</v>
      </c>
      <c r="D512" s="49" t="s">
        <v>3517</v>
      </c>
      <c r="E512" s="49" t="s">
        <v>3518</v>
      </c>
      <c r="F512" s="49" t="s">
        <v>55</v>
      </c>
      <c r="G512" s="49" t="s">
        <v>56</v>
      </c>
      <c r="H512" s="54">
        <v>2.0</v>
      </c>
      <c r="I512" s="54">
        <v>2.0</v>
      </c>
      <c r="J512" s="49">
        <f t="shared" ref="J512:K512" si="1025">LEN(SUBSTITUTE(SUBSTITUTE(SUBSTITUTE(B512 ,"ˈ",""),"d̠ʒ","ʒ"),"t̠ʃ","ʃ"))</f>
        <v>4</v>
      </c>
      <c r="K512" s="44">
        <f t="shared" si="1025"/>
        <v>5</v>
      </c>
      <c r="L512" s="51">
        <f t="shared" ref="L512:M512" si="1026">LEN(D512)-LEN(B512)+1</f>
        <v>2</v>
      </c>
      <c r="M512" s="51">
        <f t="shared" si="1026"/>
        <v>2</v>
      </c>
      <c r="N512" s="51">
        <f t="shared" si="5"/>
        <v>-1</v>
      </c>
      <c r="O512" s="51" t="str">
        <f t="shared" si="6"/>
        <v>Target</v>
      </c>
      <c r="P512" s="51">
        <f t="shared" si="7"/>
        <v>0</v>
      </c>
      <c r="Q512" s="51" t="str">
        <f t="shared" si="8"/>
        <v>Equal</v>
      </c>
    </row>
    <row r="513">
      <c r="A513" s="48" t="s">
        <v>14</v>
      </c>
      <c r="B513" s="49" t="s">
        <v>3521</v>
      </c>
      <c r="C513" s="49" t="s">
        <v>3522</v>
      </c>
      <c r="D513" s="49" t="s">
        <v>3523</v>
      </c>
      <c r="E513" s="49" t="s">
        <v>3524</v>
      </c>
      <c r="F513" s="49" t="s">
        <v>1541</v>
      </c>
      <c r="G513" s="49" t="s">
        <v>254</v>
      </c>
      <c r="H513" s="54">
        <v>1.0</v>
      </c>
      <c r="I513" s="54">
        <v>1.0</v>
      </c>
      <c r="J513" s="49">
        <f t="shared" ref="J513:K513" si="1027">LEN(SUBSTITUTE(SUBSTITUTE(SUBSTITUTE(B513 ,"ˈ",""),"d̠ʒ","ʒ"),"t̠ʃ","ʃ"))</f>
        <v>6</v>
      </c>
      <c r="K513" s="44">
        <f t="shared" si="1027"/>
        <v>7</v>
      </c>
      <c r="L513" s="51">
        <f t="shared" ref="L513:M513" si="1028">LEN(D513)-LEN(B513)+1</f>
        <v>3</v>
      </c>
      <c r="M513" s="51">
        <f t="shared" si="1028"/>
        <v>3</v>
      </c>
      <c r="N513" s="51">
        <f t="shared" si="5"/>
        <v>-1</v>
      </c>
      <c r="O513" s="51" t="str">
        <f t="shared" si="6"/>
        <v>Target</v>
      </c>
      <c r="P513" s="51">
        <f t="shared" si="7"/>
        <v>0</v>
      </c>
      <c r="Q513" s="51" t="str">
        <f t="shared" si="8"/>
        <v>Equal</v>
      </c>
    </row>
    <row r="514">
      <c r="A514" s="48" t="s">
        <v>14</v>
      </c>
      <c r="B514" s="49" t="s">
        <v>3528</v>
      </c>
      <c r="C514" s="49" t="s">
        <v>3528</v>
      </c>
      <c r="D514" s="49" t="s">
        <v>3529</v>
      </c>
      <c r="E514" s="49" t="s">
        <v>3529</v>
      </c>
      <c r="F514" s="49" t="s">
        <v>116</v>
      </c>
      <c r="G514" s="49" t="s">
        <v>116</v>
      </c>
      <c r="H514" s="54">
        <v>3.0</v>
      </c>
      <c r="I514" s="54">
        <v>3.0</v>
      </c>
      <c r="J514" s="49">
        <f t="shared" ref="J514:K514" si="1029">LEN(SUBSTITUTE(SUBSTITUTE(SUBSTITUTE(B514 ,"ˈ",""),"d̠ʒ","ʒ"),"t̠ʃ","ʃ"))</f>
        <v>7</v>
      </c>
      <c r="K514" s="44">
        <f t="shared" si="1029"/>
        <v>7</v>
      </c>
      <c r="L514" s="51">
        <f t="shared" ref="L514:M514" si="1030">LEN(D514)-LEN(B514)+1</f>
        <v>3</v>
      </c>
      <c r="M514" s="51">
        <f t="shared" si="1030"/>
        <v>3</v>
      </c>
      <c r="N514" s="51">
        <f t="shared" si="5"/>
        <v>0</v>
      </c>
      <c r="O514" s="51" t="str">
        <f t="shared" si="6"/>
        <v>Equal</v>
      </c>
      <c r="P514" s="51">
        <f t="shared" si="7"/>
        <v>0</v>
      </c>
      <c r="Q514" s="51" t="str">
        <f t="shared" si="8"/>
        <v>Equal</v>
      </c>
    </row>
    <row r="515">
      <c r="A515" s="48" t="s">
        <v>14</v>
      </c>
      <c r="B515" s="49" t="s">
        <v>3533</v>
      </c>
      <c r="C515" s="49" t="s">
        <v>3534</v>
      </c>
      <c r="D515" s="49" t="s">
        <v>3535</v>
      </c>
      <c r="E515" s="49" t="s">
        <v>3536</v>
      </c>
      <c r="F515" s="49" t="s">
        <v>702</v>
      </c>
      <c r="G515" s="49" t="s">
        <v>254</v>
      </c>
      <c r="H515" s="54">
        <v>1.0</v>
      </c>
      <c r="I515" s="54">
        <v>1.0</v>
      </c>
      <c r="J515" s="49">
        <f t="shared" ref="J515:K515" si="1031">LEN(SUBSTITUTE(SUBSTITUTE(SUBSTITUTE(B515 ,"ˈ",""),"d̠ʒ","ʒ"),"t̠ʃ","ʃ"))</f>
        <v>6</v>
      </c>
      <c r="K515" s="44">
        <f t="shared" si="1031"/>
        <v>5</v>
      </c>
      <c r="L515" s="51">
        <f t="shared" ref="L515:M515" si="1032">LEN(D515)-LEN(B515)+1</f>
        <v>3</v>
      </c>
      <c r="M515" s="51">
        <f t="shared" si="1032"/>
        <v>2</v>
      </c>
      <c r="N515" s="51">
        <f t="shared" si="5"/>
        <v>1</v>
      </c>
      <c r="O515" s="51" t="str">
        <f t="shared" si="6"/>
        <v>Source</v>
      </c>
      <c r="P515" s="51">
        <f t="shared" si="7"/>
        <v>1</v>
      </c>
      <c r="Q515" s="51" t="str">
        <f t="shared" si="8"/>
        <v>Source</v>
      </c>
    </row>
    <row r="516">
      <c r="A516" s="48" t="s">
        <v>14</v>
      </c>
      <c r="B516" s="49" t="s">
        <v>3540</v>
      </c>
      <c r="C516" s="49" t="s">
        <v>3541</v>
      </c>
      <c r="D516" s="49" t="s">
        <v>3542</v>
      </c>
      <c r="E516" s="49" t="s">
        <v>3543</v>
      </c>
      <c r="F516" s="49" t="s">
        <v>1807</v>
      </c>
      <c r="G516" s="49" t="s">
        <v>238</v>
      </c>
      <c r="H516" s="54">
        <v>2.0</v>
      </c>
      <c r="I516" s="54">
        <v>2.0</v>
      </c>
      <c r="J516" s="49">
        <f t="shared" ref="J516:K516" si="1033">LEN(SUBSTITUTE(SUBSTITUTE(SUBSTITUTE(B516 ,"ˈ",""),"d̠ʒ","ʒ"),"t̠ʃ","ʃ"))</f>
        <v>4</v>
      </c>
      <c r="K516" s="44">
        <f t="shared" si="1033"/>
        <v>5</v>
      </c>
      <c r="L516" s="51">
        <f t="shared" ref="L516:M516" si="1034">LEN(D516)-LEN(B516)+1</f>
        <v>2</v>
      </c>
      <c r="M516" s="51">
        <f t="shared" si="1034"/>
        <v>2</v>
      </c>
      <c r="N516" s="51">
        <f t="shared" si="5"/>
        <v>-1</v>
      </c>
      <c r="O516" s="51" t="str">
        <f t="shared" si="6"/>
        <v>Target</v>
      </c>
      <c r="P516" s="51">
        <f t="shared" si="7"/>
        <v>0</v>
      </c>
      <c r="Q516" s="51" t="str">
        <f t="shared" si="8"/>
        <v>Equal</v>
      </c>
    </row>
    <row r="517">
      <c r="A517" s="48" t="s">
        <v>14</v>
      </c>
      <c r="B517" s="49" t="s">
        <v>3546</v>
      </c>
      <c r="C517" s="48" t="s">
        <v>3547</v>
      </c>
      <c r="D517" s="49" t="s">
        <v>3548</v>
      </c>
      <c r="E517" s="49" t="s">
        <v>3548</v>
      </c>
      <c r="F517" s="49" t="s">
        <v>3549</v>
      </c>
      <c r="G517" s="49" t="s">
        <v>3549</v>
      </c>
      <c r="H517" s="54">
        <v>1.0</v>
      </c>
      <c r="I517" s="54">
        <v>1.0</v>
      </c>
      <c r="J517" s="49">
        <f t="shared" ref="J517:K517" si="1035">LEN(SUBSTITUTE(SUBSTITUTE(SUBSTITUTE(B517 ,"ˈ",""),"d̠ʒ","ʒ"),"t̠ʃ","ʃ"))</f>
        <v>5</v>
      </c>
      <c r="K517" s="44">
        <f t="shared" si="1035"/>
        <v>5</v>
      </c>
      <c r="L517" s="51">
        <f t="shared" ref="L517:M517" si="1036">LEN(D517)-LEN(B517)+1</f>
        <v>2</v>
      </c>
      <c r="M517" s="51">
        <f t="shared" si="1036"/>
        <v>2</v>
      </c>
      <c r="N517" s="51">
        <f t="shared" si="5"/>
        <v>0</v>
      </c>
      <c r="O517" s="51" t="str">
        <f t="shared" si="6"/>
        <v>Equal</v>
      </c>
      <c r="P517" s="51">
        <f t="shared" si="7"/>
        <v>0</v>
      </c>
      <c r="Q517" s="51" t="str">
        <f t="shared" si="8"/>
        <v>Equal</v>
      </c>
    </row>
    <row r="518">
      <c r="A518" s="48" t="s">
        <v>14</v>
      </c>
      <c r="B518" s="49" t="s">
        <v>3552</v>
      </c>
      <c r="C518" s="49" t="s">
        <v>3553</v>
      </c>
      <c r="D518" s="49" t="s">
        <v>3554</v>
      </c>
      <c r="E518" s="49" t="s">
        <v>3555</v>
      </c>
      <c r="F518" s="49" t="s">
        <v>70</v>
      </c>
      <c r="G518" s="49" t="s">
        <v>3427</v>
      </c>
      <c r="H518" s="54">
        <v>2.0</v>
      </c>
      <c r="I518" s="54">
        <v>2.0</v>
      </c>
      <c r="J518" s="49">
        <f t="shared" ref="J518:K518" si="1037">LEN(SUBSTITUTE(SUBSTITUTE(SUBSTITUTE(B518 ,"ˈ",""),"d̠ʒ","ʒ"),"t̠ʃ","ʃ"))</f>
        <v>5</v>
      </c>
      <c r="K518" s="44">
        <f t="shared" si="1037"/>
        <v>7</v>
      </c>
      <c r="L518" s="51">
        <f t="shared" ref="L518:M518" si="1038">LEN(D518)-LEN(B518)+1</f>
        <v>2</v>
      </c>
      <c r="M518" s="51">
        <f t="shared" si="1038"/>
        <v>2</v>
      </c>
      <c r="N518" s="51">
        <f t="shared" si="5"/>
        <v>-2</v>
      </c>
      <c r="O518" s="51" t="str">
        <f t="shared" si="6"/>
        <v>Target</v>
      </c>
      <c r="P518" s="51">
        <f t="shared" si="7"/>
        <v>0</v>
      </c>
      <c r="Q518" s="51" t="str">
        <f t="shared" si="8"/>
        <v>Equal</v>
      </c>
    </row>
    <row r="519">
      <c r="A519" s="48" t="s">
        <v>14</v>
      </c>
      <c r="B519" s="49" t="s">
        <v>3558</v>
      </c>
      <c r="C519" s="49" t="s">
        <v>3559</v>
      </c>
      <c r="D519" s="49" t="s">
        <v>3560</v>
      </c>
      <c r="E519" s="49" t="s">
        <v>3561</v>
      </c>
      <c r="F519" s="49" t="s">
        <v>614</v>
      </c>
      <c r="G519" s="49" t="s">
        <v>614</v>
      </c>
      <c r="H519" s="54">
        <v>1.0</v>
      </c>
      <c r="I519" s="54">
        <v>1.0</v>
      </c>
      <c r="J519" s="49">
        <f t="shared" ref="J519:K519" si="1039">LEN(SUBSTITUTE(SUBSTITUTE(SUBSTITUTE(B519 ,"ˈ",""),"d̠ʒ","ʒ"),"t̠ʃ","ʃ"))</f>
        <v>4</v>
      </c>
      <c r="K519" s="44">
        <f t="shared" si="1039"/>
        <v>4</v>
      </c>
      <c r="L519" s="51">
        <f t="shared" ref="L519:M519" si="1040">LEN(D519)-LEN(B519)+1</f>
        <v>2</v>
      </c>
      <c r="M519" s="51">
        <f t="shared" si="1040"/>
        <v>2</v>
      </c>
      <c r="N519" s="51">
        <f t="shared" si="5"/>
        <v>0</v>
      </c>
      <c r="O519" s="51" t="str">
        <f t="shared" si="6"/>
        <v>Equal</v>
      </c>
      <c r="P519" s="51">
        <f t="shared" si="7"/>
        <v>0</v>
      </c>
      <c r="Q519" s="51" t="str">
        <f t="shared" si="8"/>
        <v>Equal</v>
      </c>
    </row>
    <row r="520">
      <c r="A520" s="48" t="s">
        <v>14</v>
      </c>
      <c r="B520" s="49" t="s">
        <v>3564</v>
      </c>
      <c r="C520" s="49" t="s">
        <v>3565</v>
      </c>
      <c r="D520" s="49" t="s">
        <v>3566</v>
      </c>
      <c r="E520" s="49" t="s">
        <v>3567</v>
      </c>
      <c r="F520" s="49" t="s">
        <v>238</v>
      </c>
      <c r="G520" s="49" t="s">
        <v>238</v>
      </c>
      <c r="H520" s="54">
        <v>2.0</v>
      </c>
      <c r="I520" s="54">
        <v>2.0</v>
      </c>
      <c r="J520" s="49">
        <f t="shared" ref="J520:K520" si="1041">LEN(SUBSTITUTE(SUBSTITUTE(SUBSTITUTE(B520 ,"ˈ",""),"d̠ʒ","ʒ"),"t̠ʃ","ʃ"))</f>
        <v>5</v>
      </c>
      <c r="K520" s="44">
        <f t="shared" si="1041"/>
        <v>5</v>
      </c>
      <c r="L520" s="51">
        <f t="shared" ref="L520:M520" si="1042">LEN(D520)-LEN(B520)+1</f>
        <v>2</v>
      </c>
      <c r="M520" s="51">
        <f t="shared" si="1042"/>
        <v>2</v>
      </c>
      <c r="N520" s="51">
        <f t="shared" si="5"/>
        <v>0</v>
      </c>
      <c r="O520" s="51" t="str">
        <f t="shared" si="6"/>
        <v>Equal</v>
      </c>
      <c r="P520" s="51">
        <f t="shared" si="7"/>
        <v>0</v>
      </c>
      <c r="Q520" s="51" t="str">
        <f t="shared" si="8"/>
        <v>Equal</v>
      </c>
    </row>
    <row r="521">
      <c r="A521" s="48" t="s">
        <v>14</v>
      </c>
      <c r="B521" s="49" t="s">
        <v>3572</v>
      </c>
      <c r="C521" s="49" t="s">
        <v>3573</v>
      </c>
      <c r="D521" s="49" t="s">
        <v>3574</v>
      </c>
      <c r="E521" s="49" t="s">
        <v>3575</v>
      </c>
      <c r="F521" s="49" t="s">
        <v>1807</v>
      </c>
      <c r="G521" s="49" t="s">
        <v>3576</v>
      </c>
      <c r="H521" s="54">
        <v>1.0</v>
      </c>
      <c r="I521" s="54">
        <v>1.0</v>
      </c>
      <c r="J521" s="49">
        <f t="shared" ref="J521:K521" si="1043">LEN(SUBSTITUTE(SUBSTITUTE(SUBSTITUTE(B521 ,"ˈ",""),"d̠ʒ","ʒ"),"t̠ʃ","ʃ"))</f>
        <v>7</v>
      </c>
      <c r="K521" s="44">
        <f t="shared" si="1043"/>
        <v>8</v>
      </c>
      <c r="L521" s="51">
        <f t="shared" ref="L521:M521" si="1044">LEN(D521)-LEN(B521)+1</f>
        <v>3</v>
      </c>
      <c r="M521" s="51">
        <f t="shared" si="1044"/>
        <v>3</v>
      </c>
      <c r="N521" s="51">
        <f t="shared" si="5"/>
        <v>-1</v>
      </c>
      <c r="O521" s="51" t="str">
        <f t="shared" si="6"/>
        <v>Target</v>
      </c>
      <c r="P521" s="51">
        <f t="shared" si="7"/>
        <v>0</v>
      </c>
      <c r="Q521" s="51" t="str">
        <f t="shared" si="8"/>
        <v>Equal</v>
      </c>
    </row>
    <row r="522">
      <c r="A522" s="48" t="s">
        <v>14</v>
      </c>
      <c r="B522" s="49" t="s">
        <v>3579</v>
      </c>
      <c r="C522" s="49" t="s">
        <v>3580</v>
      </c>
      <c r="D522" s="49" t="s">
        <v>3581</v>
      </c>
      <c r="E522" s="49" t="s">
        <v>3582</v>
      </c>
      <c r="F522" s="49" t="s">
        <v>2424</v>
      </c>
      <c r="G522" s="49" t="s">
        <v>1210</v>
      </c>
      <c r="H522" s="54">
        <v>2.0</v>
      </c>
      <c r="I522" s="54">
        <v>2.0</v>
      </c>
      <c r="J522" s="49">
        <f t="shared" ref="J522:K522" si="1045">LEN(SUBSTITUTE(SUBSTITUTE(SUBSTITUTE(B522 ,"ˈ",""),"d̠ʒ","ʒ"),"t̠ʃ","ʃ"))</f>
        <v>3</v>
      </c>
      <c r="K522" s="44">
        <f t="shared" si="1045"/>
        <v>4</v>
      </c>
      <c r="L522" s="51">
        <f t="shared" ref="L522:M522" si="1046">LEN(D522)-LEN(B522)+1</f>
        <v>2</v>
      </c>
      <c r="M522" s="51">
        <f t="shared" si="1046"/>
        <v>2</v>
      </c>
      <c r="N522" s="51">
        <f t="shared" si="5"/>
        <v>-1</v>
      </c>
      <c r="O522" s="51" t="str">
        <f t="shared" si="6"/>
        <v>Target</v>
      </c>
      <c r="P522" s="51">
        <f t="shared" si="7"/>
        <v>0</v>
      </c>
      <c r="Q522" s="51" t="str">
        <f t="shared" si="8"/>
        <v>Equal</v>
      </c>
    </row>
    <row r="523">
      <c r="A523" s="48" t="s">
        <v>14</v>
      </c>
      <c r="B523" s="49" t="s">
        <v>3585</v>
      </c>
      <c r="C523" s="49" t="s">
        <v>3586</v>
      </c>
      <c r="D523" s="49" t="s">
        <v>3587</v>
      </c>
      <c r="E523" s="49" t="s">
        <v>3588</v>
      </c>
      <c r="F523" s="49" t="s">
        <v>2754</v>
      </c>
      <c r="G523" s="49" t="s">
        <v>745</v>
      </c>
      <c r="H523" s="54">
        <v>1.0</v>
      </c>
      <c r="I523" s="54">
        <v>1.0</v>
      </c>
      <c r="J523" s="49">
        <f t="shared" ref="J523:K523" si="1047">LEN(SUBSTITUTE(SUBSTITUTE(SUBSTITUTE(B523 ,"ˈ",""),"d̠ʒ","ʒ"),"t̠ʃ","ʃ"))</f>
        <v>6</v>
      </c>
      <c r="K523" s="44">
        <f t="shared" si="1047"/>
        <v>7</v>
      </c>
      <c r="L523" s="51">
        <f t="shared" ref="L523:M523" si="1048">LEN(D523)-LEN(B523)+1</f>
        <v>3</v>
      </c>
      <c r="M523" s="51">
        <f t="shared" si="1048"/>
        <v>3</v>
      </c>
      <c r="N523" s="51">
        <f t="shared" si="5"/>
        <v>-1</v>
      </c>
      <c r="O523" s="51" t="str">
        <f t="shared" si="6"/>
        <v>Target</v>
      </c>
      <c r="P523" s="51">
        <f t="shared" si="7"/>
        <v>0</v>
      </c>
      <c r="Q523" s="51" t="str">
        <f t="shared" si="8"/>
        <v>Equal</v>
      </c>
    </row>
    <row r="524">
      <c r="H524" s="59"/>
      <c r="I524" s="59"/>
      <c r="J524" s="49"/>
      <c r="K524" s="44"/>
    </row>
    <row r="525">
      <c r="H525" s="59"/>
      <c r="I525" s="59"/>
      <c r="J525" s="49"/>
      <c r="K525" s="44"/>
    </row>
    <row r="526">
      <c r="H526" s="59"/>
      <c r="I526" s="59"/>
      <c r="J526" s="49"/>
      <c r="K526" s="44"/>
    </row>
    <row r="527">
      <c r="H527" s="59"/>
      <c r="I527" s="59"/>
      <c r="J527" s="49"/>
      <c r="K527" s="44"/>
    </row>
    <row r="528">
      <c r="H528" s="59"/>
      <c r="I528" s="59"/>
      <c r="J528" s="49"/>
      <c r="K528" s="44"/>
    </row>
    <row r="529">
      <c r="H529" s="59"/>
      <c r="I529" s="59"/>
      <c r="J529" s="49"/>
      <c r="K529" s="44"/>
    </row>
    <row r="530">
      <c r="H530" s="59"/>
      <c r="I530" s="59"/>
      <c r="J530" s="49"/>
      <c r="K530" s="44"/>
    </row>
    <row r="531">
      <c r="H531" s="59"/>
      <c r="I531" s="59"/>
      <c r="J531" s="49"/>
      <c r="K531" s="44"/>
    </row>
    <row r="532">
      <c r="H532" s="59"/>
      <c r="I532" s="59"/>
      <c r="J532" s="49"/>
      <c r="K532" s="44"/>
    </row>
    <row r="533">
      <c r="H533" s="59"/>
      <c r="I533" s="59"/>
      <c r="J533" s="49"/>
      <c r="K533" s="44"/>
    </row>
    <row r="534">
      <c r="H534" s="59"/>
      <c r="I534" s="59"/>
      <c r="J534" s="49"/>
      <c r="K534" s="44"/>
    </row>
    <row r="535">
      <c r="H535" s="59"/>
      <c r="I535" s="59"/>
      <c r="J535" s="49"/>
      <c r="K535" s="44"/>
    </row>
    <row r="536">
      <c r="H536" s="59"/>
      <c r="I536" s="59"/>
      <c r="J536" s="49"/>
      <c r="K536" s="44"/>
    </row>
    <row r="537">
      <c r="H537" s="59"/>
      <c r="I537" s="59"/>
      <c r="J537" s="49"/>
      <c r="K537" s="44"/>
    </row>
    <row r="538">
      <c r="H538" s="59"/>
      <c r="I538" s="59"/>
      <c r="K538" s="44"/>
    </row>
    <row r="539">
      <c r="H539" s="59"/>
      <c r="I539" s="59"/>
      <c r="K539" s="44"/>
    </row>
    <row r="540">
      <c r="H540" s="59"/>
      <c r="I540" s="59"/>
      <c r="K540" s="44"/>
    </row>
    <row r="541">
      <c r="H541" s="59"/>
      <c r="I541" s="59"/>
      <c r="K541" s="44"/>
    </row>
    <row r="542">
      <c r="H542" s="59"/>
      <c r="I542" s="59"/>
      <c r="K542" s="44"/>
    </row>
    <row r="543">
      <c r="H543" s="59"/>
      <c r="I543" s="59"/>
      <c r="K543" s="44"/>
    </row>
    <row r="544">
      <c r="H544" s="59"/>
      <c r="I544" s="59"/>
      <c r="K544" s="44"/>
    </row>
    <row r="545">
      <c r="H545" s="59"/>
      <c r="I545" s="59"/>
      <c r="K545" s="44"/>
    </row>
    <row r="546">
      <c r="K546" s="44"/>
    </row>
    <row r="547">
      <c r="K547" s="44"/>
    </row>
    <row r="548">
      <c r="K548" s="44"/>
    </row>
    <row r="549">
      <c r="K549" s="44"/>
    </row>
    <row r="550">
      <c r="K550" s="44"/>
    </row>
    <row r="551">
      <c r="K551" s="44"/>
    </row>
    <row r="552">
      <c r="K552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0</v>
      </c>
      <c r="B1" s="17" t="s">
        <v>14</v>
      </c>
    </row>
    <row r="2">
      <c r="A2" s="60" t="s">
        <v>3710</v>
      </c>
      <c r="B2" s="17" t="s">
        <v>3711</v>
      </c>
    </row>
    <row r="3">
      <c r="A3" s="60" t="s">
        <v>3712</v>
      </c>
      <c r="B3" s="17" t="s">
        <v>3713</v>
      </c>
    </row>
    <row r="4">
      <c r="A4" s="60" t="s">
        <v>3714</v>
      </c>
      <c r="B4" s="25">
        <v>1485.0</v>
      </c>
    </row>
    <row r="5">
      <c r="A5" s="60" t="s">
        <v>3715</v>
      </c>
      <c r="B5" s="25">
        <v>1975.0</v>
      </c>
    </row>
    <row r="6">
      <c r="A6" s="60" t="s">
        <v>3716</v>
      </c>
      <c r="B6" s="17" t="s">
        <v>3717</v>
      </c>
    </row>
    <row r="7">
      <c r="A7" s="60" t="s">
        <v>3718</v>
      </c>
      <c r="B7" s="17" t="s">
        <v>3719</v>
      </c>
    </row>
    <row r="8">
      <c r="A8" s="60" t="s">
        <v>3720</v>
      </c>
      <c r="B8" s="25">
        <v>4.0</v>
      </c>
    </row>
    <row r="9">
      <c r="A9" s="60" t="s">
        <v>3721</v>
      </c>
      <c r="B9" s="17" t="s">
        <v>3722</v>
      </c>
    </row>
    <row r="10">
      <c r="A10" s="60" t="s">
        <v>13</v>
      </c>
    </row>
    <row r="13">
      <c r="A13" s="60" t="s">
        <v>0</v>
      </c>
      <c r="B13" s="60" t="s">
        <v>3710</v>
      </c>
      <c r="C13" s="60" t="s">
        <v>3712</v>
      </c>
      <c r="D13" s="60" t="s">
        <v>3723</v>
      </c>
      <c r="E13" s="60" t="s">
        <v>3724</v>
      </c>
      <c r="F13" s="60" t="s">
        <v>3725</v>
      </c>
      <c r="G13" s="60" t="s">
        <v>3726</v>
      </c>
      <c r="H13" s="60" t="s">
        <v>3727</v>
      </c>
      <c r="I13" s="60" t="s">
        <v>3721</v>
      </c>
      <c r="J13" s="60" t="s">
        <v>13</v>
      </c>
    </row>
    <row r="14">
      <c r="A14" s="17" t="s">
        <v>14</v>
      </c>
      <c r="B14" s="61" t="s">
        <v>3711</v>
      </c>
      <c r="C14" s="17" t="s">
        <v>3713</v>
      </c>
      <c r="D14" s="17">
        <v>1485.0</v>
      </c>
      <c r="E14" s="17">
        <v>1975.0</v>
      </c>
      <c r="F14" s="17" t="s">
        <v>3728</v>
      </c>
      <c r="G14" s="17" t="s">
        <v>3719</v>
      </c>
      <c r="H14" s="17">
        <v>4.0</v>
      </c>
      <c r="I14" s="17" t="s">
        <v>3722</v>
      </c>
    </row>
  </sheetData>
  <drawing r:id="rId1"/>
</worksheet>
</file>